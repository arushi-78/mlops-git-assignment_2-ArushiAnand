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48\EXCELCNV\68057b6d-e9d4-4417-98d6-97ef78ae91f9\"/>
    </mc:Choice>
  </mc:AlternateContent>
  <xr:revisionPtr revIDLastSave="0" documentId="8_{994F3426-7D7C-47D8-8198-A38CA0294F74}" xr6:coauthVersionLast="47" xr6:coauthVersionMax="47" xr10:uidLastSave="{00000000-0000-0000-0000-000000000000}"/>
  <bookViews>
    <workbookView xWindow="-60" yWindow="-60" windowWidth="15480" windowHeight="11640" xr2:uid="{6CD14AFA-2CE7-41AB-92FC-F53A70AC06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7" i="1"/>
  <c r="F34" i="1"/>
  <c r="F58" i="1"/>
  <c r="F77" i="1"/>
  <c r="F94" i="1"/>
  <c r="F95" i="1"/>
  <c r="F96" i="1"/>
  <c r="F104" i="1"/>
  <c r="F105" i="1"/>
  <c r="F115" i="1"/>
  <c r="F119" i="1"/>
  <c r="F120" i="1"/>
  <c r="F124" i="1"/>
  <c r="F159" i="1"/>
  <c r="F164" i="1"/>
  <c r="F166" i="1"/>
  <c r="F170" i="1"/>
  <c r="F172" i="1"/>
  <c r="F184" i="1"/>
  <c r="F185" i="1"/>
  <c r="F189" i="1"/>
  <c r="F199" i="1"/>
  <c r="F203" i="1"/>
  <c r="F211" i="1"/>
  <c r="F212" i="1"/>
  <c r="F213" i="1"/>
  <c r="F224" i="1"/>
  <c r="F225" i="1"/>
  <c r="F230" i="1"/>
  <c r="F231" i="1"/>
  <c r="F252" i="1"/>
  <c r="F253" i="1"/>
  <c r="F256" i="1"/>
  <c r="F257" i="1"/>
  <c r="F276" i="1"/>
  <c r="F277" i="1"/>
  <c r="F290" i="1"/>
  <c r="F292" i="1"/>
  <c r="F302" i="1"/>
  <c r="F308" i="1"/>
  <c r="F311" i="1"/>
  <c r="F333" i="1"/>
  <c r="F337" i="1"/>
  <c r="F343" i="1"/>
  <c r="F344" i="1"/>
  <c r="F350" i="1"/>
  <c r="F356" i="1"/>
  <c r="F357" i="1"/>
  <c r="F368" i="1"/>
  <c r="F370" i="1"/>
  <c r="F382" i="1"/>
  <c r="F386" i="1"/>
  <c r="F396" i="1"/>
  <c r="F404" i="1"/>
  <c r="F408" i="1"/>
  <c r="F411" i="1"/>
  <c r="F414" i="1"/>
  <c r="F417" i="1"/>
  <c r="F427" i="1"/>
  <c r="F435" i="1"/>
  <c r="F436" i="1"/>
  <c r="F439" i="1"/>
  <c r="F445" i="1"/>
  <c r="F459" i="1"/>
  <c r="F463" i="1"/>
  <c r="F466" i="1"/>
  <c r="F469" i="1"/>
  <c r="F470" i="1"/>
  <c r="F474" i="1"/>
  <c r="F475" i="1"/>
  <c r="F478" i="1"/>
  <c r="F484" i="1"/>
  <c r="F486" i="1"/>
  <c r="F489" i="1"/>
  <c r="F491" i="1"/>
  <c r="F498" i="1"/>
  <c r="F508" i="1"/>
  <c r="F510" i="1"/>
  <c r="F511" i="1"/>
  <c r="F518" i="1"/>
  <c r="F519" i="1"/>
  <c r="F520" i="1"/>
  <c r="F521" i="1"/>
  <c r="F522" i="1"/>
  <c r="F526" i="1"/>
  <c r="F534" i="1"/>
  <c r="F544" i="1"/>
  <c r="F552" i="1"/>
  <c r="F553" i="1"/>
  <c r="F555" i="1"/>
  <c r="F576" i="1"/>
  <c r="F578" i="1"/>
  <c r="F579" i="1"/>
  <c r="F585" i="1"/>
  <c r="F586" i="1"/>
  <c r="F588" i="1"/>
  <c r="F593" i="1"/>
  <c r="F596" i="1"/>
  <c r="F604" i="1"/>
  <c r="F610" i="1"/>
  <c r="F618" i="1"/>
  <c r="F621" i="1"/>
  <c r="F626" i="1"/>
  <c r="F634" i="1"/>
  <c r="F637" i="1"/>
  <c r="F642" i="1"/>
  <c r="F646" i="1"/>
  <c r="F647" i="1"/>
  <c r="F649" i="1"/>
  <c r="F653" i="1"/>
  <c r="F659" i="1"/>
  <c r="F668" i="1"/>
  <c r="F674" i="1"/>
  <c r="F686" i="1"/>
  <c r="F698" i="1"/>
  <c r="F705" i="1"/>
  <c r="F725" i="1"/>
  <c r="F727" i="1"/>
  <c r="F731" i="1"/>
  <c r="F733" i="1"/>
  <c r="F747" i="1"/>
  <c r="F750" i="1"/>
  <c r="F756" i="1"/>
  <c r="F773" i="1"/>
  <c r="F776" i="1"/>
  <c r="F786" i="1"/>
  <c r="F807" i="1"/>
  <c r="F813" i="1"/>
  <c r="F814" i="1"/>
  <c r="F846" i="1"/>
  <c r="F848" i="1"/>
  <c r="F860" i="1"/>
  <c r="F863" i="1"/>
  <c r="F880" i="1"/>
  <c r="F885" i="1"/>
  <c r="F899" i="1"/>
  <c r="F922" i="1"/>
  <c r="F945" i="1"/>
  <c r="F950" i="1"/>
  <c r="F960" i="1"/>
  <c r="F962" i="1"/>
  <c r="F974" i="1"/>
  <c r="F980" i="1"/>
  <c r="F986" i="1"/>
  <c r="F993" i="1"/>
  <c r="F1000" i="1"/>
  <c r="F1004" i="1"/>
  <c r="F1029" i="1"/>
  <c r="F1039" i="1"/>
  <c r="F1044" i="1"/>
  <c r="F1045" i="1"/>
  <c r="F1048" i="1"/>
  <c r="F1059" i="1"/>
  <c r="F1064" i="1"/>
  <c r="F1069" i="1"/>
  <c r="F1087" i="1"/>
  <c r="F1091" i="1"/>
  <c r="F1093" i="1"/>
  <c r="F1095" i="1"/>
  <c r="F1105" i="1"/>
  <c r="F1121" i="1"/>
  <c r="F1133" i="1"/>
  <c r="F1138" i="1"/>
  <c r="F1139" i="1"/>
  <c r="F1145" i="1"/>
  <c r="F1147" i="1"/>
  <c r="F1159" i="1"/>
  <c r="F1160" i="1"/>
  <c r="F1164" i="1"/>
  <c r="F1168" i="1"/>
  <c r="F1170" i="1"/>
  <c r="F1189" i="1"/>
  <c r="F1191" i="1"/>
  <c r="F1192" i="1"/>
  <c r="F1196" i="1"/>
  <c r="F1197" i="1"/>
  <c r="F1219" i="1"/>
  <c r="F1227" i="1"/>
  <c r="F1240" i="1"/>
  <c r="F1243" i="1"/>
  <c r="F1244" i="1"/>
  <c r="F1246" i="1"/>
  <c r="F1266" i="1"/>
  <c r="F1269" i="1"/>
  <c r="F1273" i="1"/>
  <c r="F1274" i="1"/>
  <c r="F1275" i="1"/>
  <c r="F1298" i="1"/>
  <c r="F1304" i="1"/>
  <c r="F1305" i="1"/>
  <c r="F1308" i="1"/>
  <c r="F1313" i="1"/>
  <c r="F1325" i="1"/>
  <c r="F1327" i="1"/>
  <c r="F1329" i="1"/>
  <c r="F1333" i="1"/>
  <c r="F1335" i="1"/>
  <c r="F1339" i="1"/>
  <c r="F1342" i="1"/>
  <c r="F1349" i="1"/>
  <c r="F1356" i="1"/>
  <c r="F1361" i="1"/>
  <c r="F1366" i="1"/>
  <c r="F1372" i="1"/>
  <c r="F1383" i="1"/>
  <c r="F1386" i="1"/>
  <c r="F1397" i="1"/>
  <c r="F1403" i="1"/>
  <c r="F1405" i="1"/>
  <c r="F1411" i="1"/>
  <c r="F1413" i="1"/>
  <c r="F1415" i="1"/>
  <c r="F1436" i="1"/>
  <c r="F1449" i="1"/>
  <c r="F1465" i="1"/>
  <c r="F1471" i="1"/>
  <c r="F1478" i="1"/>
  <c r="F1487" i="1"/>
  <c r="F1491" i="1"/>
  <c r="F1496" i="1"/>
  <c r="F1510" i="1"/>
  <c r="F1511" i="1"/>
  <c r="F1516" i="1"/>
  <c r="F1524" i="1"/>
  <c r="F1534" i="1"/>
  <c r="F1537" i="1"/>
  <c r="F1540" i="1"/>
  <c r="F1541" i="1"/>
  <c r="F1542" i="1"/>
  <c r="F1545" i="1"/>
  <c r="F1555" i="1"/>
  <c r="F1557" i="1"/>
  <c r="F1560" i="1"/>
  <c r="F1563" i="1"/>
  <c r="F1564" i="1"/>
  <c r="F1579" i="1"/>
  <c r="F1588" i="1"/>
  <c r="F1589" i="1"/>
  <c r="F1596" i="1"/>
  <c r="F1615" i="1"/>
  <c r="F1618" i="1"/>
  <c r="F1626" i="1"/>
  <c r="F1643" i="1"/>
  <c r="F1644" i="1"/>
  <c r="F1646" i="1"/>
  <c r="F1648" i="1"/>
  <c r="F1662" i="1"/>
  <c r="F1680" i="1"/>
  <c r="F1697" i="1"/>
  <c r="F1698" i="1"/>
  <c r="F1706" i="1"/>
  <c r="F1710" i="1"/>
  <c r="F1714" i="1"/>
  <c r="F1720" i="1"/>
  <c r="F1735" i="1"/>
  <c r="F1736" i="1"/>
  <c r="F1746" i="1"/>
  <c r="F1750" i="1"/>
  <c r="F1754" i="1"/>
  <c r="F1757" i="1"/>
  <c r="F1761" i="1"/>
  <c r="F1766" i="1"/>
  <c r="F1783" i="1"/>
  <c r="F1794" i="1"/>
  <c r="F1796" i="1"/>
  <c r="F1803" i="1"/>
  <c r="F1804" i="1"/>
  <c r="F1815" i="1"/>
  <c r="F1819" i="1"/>
  <c r="F1822" i="1"/>
  <c r="F1839" i="1"/>
  <c r="F1845" i="1"/>
  <c r="F1852" i="1"/>
  <c r="F1856" i="1"/>
  <c r="F1857" i="1"/>
  <c r="F1865" i="1"/>
  <c r="F1872" i="1"/>
  <c r="F1882" i="1"/>
  <c r="F1884" i="1"/>
  <c r="F1885" i="1"/>
  <c r="F1902" i="1"/>
  <c r="F1904" i="1"/>
  <c r="F1927" i="1"/>
  <c r="F1932" i="1"/>
  <c r="F1936" i="1"/>
  <c r="F1940" i="1"/>
  <c r="F1946" i="1"/>
  <c r="F1947" i="1"/>
  <c r="F1959" i="1"/>
  <c r="F1962" i="1"/>
  <c r="F1970" i="1"/>
  <c r="F1976" i="1"/>
  <c r="F1981" i="1"/>
  <c r="F1982" i="1"/>
  <c r="F1986" i="1"/>
  <c r="F1987" i="1"/>
  <c r="F1997" i="1"/>
  <c r="F2004" i="1"/>
  <c r="F2025" i="1"/>
  <c r="F2031" i="1"/>
  <c r="F2036" i="1"/>
  <c r="F2051" i="1"/>
  <c r="F2054" i="1"/>
  <c r="F2060" i="1"/>
  <c r="F2069" i="1"/>
  <c r="F2081" i="1"/>
  <c r="F2085" i="1"/>
  <c r="F2091" i="1"/>
  <c r="F2098" i="1"/>
  <c r="F2099" i="1"/>
  <c r="F2113" i="1"/>
  <c r="F2121" i="1"/>
  <c r="F2131" i="1"/>
  <c r="F2135" i="1"/>
  <c r="F2137" i="1"/>
  <c r="F2140" i="1"/>
  <c r="F2161" i="1"/>
  <c r="F2170" i="1"/>
  <c r="F2178" i="1"/>
  <c r="F2179" i="1"/>
  <c r="F2185" i="1"/>
  <c r="F2187" i="1"/>
  <c r="F2193" i="1"/>
  <c r="F2196" i="1"/>
  <c r="F2201" i="1"/>
  <c r="F2202" i="1"/>
  <c r="F2217" i="1"/>
  <c r="F2230" i="1"/>
  <c r="F2238" i="1"/>
  <c r="F2241" i="1"/>
  <c r="F2243" i="1"/>
  <c r="F2259" i="1"/>
  <c r="F2264" i="1"/>
  <c r="F2274" i="1"/>
  <c r="F2276" i="1"/>
  <c r="F2285" i="1"/>
  <c r="F2286" i="1"/>
  <c r="F2292" i="1"/>
  <c r="F2309" i="1"/>
  <c r="F2310" i="1"/>
  <c r="F2311" i="1"/>
  <c r="F2319" i="1"/>
  <c r="F2320" i="1"/>
  <c r="F2334" i="1"/>
  <c r="F2337" i="1"/>
  <c r="F2340" i="1"/>
  <c r="F2346" i="1"/>
  <c r="F2355" i="1"/>
  <c r="F2366" i="1"/>
  <c r="F2379" i="1"/>
  <c r="F2385" i="1"/>
  <c r="F2387" i="1"/>
  <c r="F2393" i="1"/>
  <c r="F2406" i="1"/>
  <c r="F2412" i="1"/>
  <c r="F2414" i="1"/>
  <c r="F2427" i="1"/>
  <c r="F2436" i="1"/>
  <c r="F2439" i="1"/>
  <c r="F2440" i="1"/>
  <c r="F2446" i="1"/>
  <c r="F2449" i="1"/>
  <c r="F2466" i="1"/>
  <c r="F2469" i="1"/>
  <c r="F2472" i="1"/>
  <c r="F2493" i="1"/>
  <c r="F2503" i="1"/>
  <c r="F2511" i="1"/>
  <c r="F2525" i="1"/>
  <c r="F2545" i="1"/>
  <c r="F2549" i="1"/>
  <c r="F2551" i="1"/>
  <c r="F2552" i="1"/>
  <c r="F2558" i="1"/>
  <c r="F2559" i="1"/>
  <c r="F2562" i="1"/>
  <c r="F2564" i="1"/>
  <c r="F2567" i="1"/>
  <c r="F2577" i="1"/>
  <c r="F2580" i="1"/>
  <c r="F2585" i="1"/>
  <c r="F2592" i="1"/>
  <c r="F2602" i="1"/>
  <c r="F2635" i="1"/>
  <c r="F2636" i="1"/>
  <c r="F2645" i="1"/>
  <c r="F2658" i="1"/>
  <c r="F2659" i="1"/>
  <c r="F2661" i="1"/>
  <c r="F2665" i="1"/>
  <c r="F2671" i="1"/>
  <c r="F2673" i="1"/>
  <c r="F2686" i="1"/>
  <c r="F2701" i="1"/>
  <c r="F2704" i="1"/>
  <c r="F2706" i="1"/>
  <c r="F2728" i="1"/>
  <c r="F2732" i="1"/>
  <c r="F2737" i="1"/>
  <c r="F2748" i="1"/>
  <c r="F2752" i="1"/>
  <c r="F2766" i="1"/>
  <c r="F2769" i="1"/>
  <c r="F2778" i="1"/>
  <c r="F2783" i="1"/>
  <c r="F2793" i="1"/>
  <c r="F2795" i="1"/>
  <c r="F2799" i="1"/>
  <c r="F2804" i="1"/>
  <c r="F2805" i="1"/>
  <c r="F2806" i="1"/>
  <c r="F2811" i="1"/>
  <c r="F2818" i="1"/>
  <c r="F2822" i="1"/>
  <c r="F2823" i="1"/>
  <c r="F2826" i="1"/>
  <c r="F2834" i="1"/>
  <c r="F2840" i="1"/>
  <c r="F2869" i="1"/>
  <c r="F2875" i="1"/>
  <c r="F2884" i="1"/>
  <c r="F2890" i="1"/>
  <c r="F2907" i="1"/>
  <c r="F2912" i="1"/>
  <c r="F2917" i="1"/>
  <c r="F2920" i="1"/>
  <c r="F2922" i="1"/>
  <c r="F2931" i="1"/>
  <c r="F2933" i="1"/>
  <c r="F2934" i="1"/>
  <c r="F2939" i="1"/>
  <c r="F2940" i="1"/>
  <c r="F2944" i="1"/>
  <c r="F2946" i="1"/>
  <c r="F2955" i="1"/>
  <c r="F2957" i="1"/>
  <c r="F2962" i="1"/>
  <c r="F2964" i="1"/>
  <c r="F2994" i="1"/>
  <c r="F3000" i="1"/>
  <c r="F3007" i="1"/>
  <c r="F3008" i="1"/>
  <c r="F3033" i="1"/>
  <c r="F3039" i="1"/>
  <c r="F3055" i="1"/>
  <c r="F3058" i="1"/>
  <c r="F3065" i="1"/>
  <c r="F3067" i="1"/>
  <c r="F3072" i="1"/>
  <c r="F3074" i="1"/>
  <c r="F3076" i="1"/>
  <c r="F3085" i="1"/>
  <c r="F3086" i="1"/>
  <c r="F3092" i="1"/>
  <c r="F3108" i="1"/>
  <c r="F3113" i="1"/>
  <c r="F3114" i="1"/>
  <c r="F3115" i="1"/>
  <c r="F3128" i="1"/>
  <c r="F3132" i="1"/>
  <c r="F3137" i="1"/>
  <c r="F3138" i="1"/>
  <c r="F3141" i="1"/>
  <c r="F3164" i="1"/>
  <c r="F3168" i="1"/>
  <c r="F3172" i="1"/>
  <c r="F3175" i="1"/>
  <c r="F3185" i="1"/>
  <c r="F3191" i="1"/>
  <c r="F3192" i="1"/>
  <c r="F3206" i="1"/>
  <c r="F3224" i="1"/>
  <c r="F3230" i="1"/>
  <c r="F3235" i="1"/>
  <c r="F3240" i="1"/>
  <c r="F3247" i="1"/>
  <c r="F3251" i="1"/>
  <c r="F3277" i="1"/>
  <c r="F3279" i="1"/>
  <c r="F3280" i="1"/>
  <c r="F3282" i="1"/>
  <c r="F3283" i="1"/>
  <c r="F3285" i="1"/>
  <c r="F3289" i="1"/>
  <c r="F3298" i="1"/>
  <c r="F3309" i="1"/>
  <c r="F3314" i="1"/>
  <c r="F3317" i="1"/>
  <c r="F3319" i="1"/>
  <c r="F3332" i="1"/>
  <c r="F3343" i="1"/>
  <c r="F3364" i="1"/>
  <c r="F3378" i="1"/>
  <c r="F3379" i="1"/>
  <c r="F3380" i="1"/>
  <c r="F3382" i="1"/>
  <c r="F3395" i="1"/>
  <c r="F3399" i="1"/>
  <c r="F3402" i="1"/>
  <c r="F3411" i="1"/>
  <c r="F3420" i="1"/>
  <c r="F3424" i="1"/>
  <c r="F3436" i="1"/>
  <c r="F3448" i="1"/>
  <c r="F3462" i="1"/>
  <c r="F3467" i="1"/>
  <c r="F3480" i="1"/>
  <c r="F3484" i="1"/>
  <c r="F3489" i="1"/>
  <c r="F3493" i="1"/>
  <c r="F3496" i="1"/>
  <c r="F3503" i="1"/>
  <c r="F3510" i="1"/>
  <c r="F3517" i="1"/>
  <c r="F3519" i="1"/>
  <c r="F3530" i="1"/>
  <c r="F3531" i="1"/>
  <c r="F3535" i="1"/>
  <c r="F3539" i="1"/>
  <c r="F3543" i="1"/>
  <c r="F3558" i="1"/>
  <c r="F3561" i="1"/>
  <c r="F3571" i="1"/>
  <c r="F3573" i="1"/>
  <c r="F3583" i="1"/>
  <c r="F3585" i="1"/>
  <c r="F3591" i="1"/>
  <c r="F3598" i="1"/>
  <c r="F3616" i="1"/>
  <c r="F3619" i="1"/>
  <c r="F3626" i="1"/>
  <c r="F3633" i="1"/>
  <c r="F3638" i="1"/>
  <c r="F3640" i="1"/>
  <c r="F3642" i="1"/>
  <c r="F3643" i="1"/>
  <c r="F3651" i="1"/>
  <c r="F3665" i="1"/>
  <c r="F3671" i="1"/>
  <c r="F3673" i="1"/>
  <c r="F3684" i="1"/>
  <c r="F3690" i="1"/>
  <c r="F3695" i="1"/>
  <c r="F3701" i="1"/>
  <c r="F3716" i="1"/>
  <c r="F3731" i="1"/>
  <c r="F3739" i="1"/>
  <c r="F3742" i="1"/>
  <c r="F3747" i="1"/>
  <c r="F3750" i="1"/>
  <c r="F3769" i="1"/>
  <c r="F3775" i="1"/>
  <c r="F3777" i="1"/>
  <c r="F3782" i="1"/>
  <c r="F3797" i="1"/>
  <c r="F3818" i="1"/>
  <c r="F3824" i="1"/>
  <c r="F3825" i="1"/>
  <c r="F3827" i="1"/>
  <c r="F3837" i="1"/>
  <c r="F3857" i="1"/>
  <c r="F3859" i="1"/>
  <c r="F3867" i="1"/>
  <c r="F3873" i="1"/>
  <c r="F3882" i="1"/>
  <c r="F3884" i="1"/>
  <c r="F3891" i="1"/>
  <c r="F3893" i="1"/>
  <c r="F3905" i="1"/>
  <c r="F3907" i="1"/>
  <c r="F3912" i="1"/>
  <c r="F3915" i="1"/>
  <c r="F3926" i="1"/>
  <c r="F3951" i="1"/>
  <c r="F3955" i="1"/>
  <c r="F3956" i="1"/>
  <c r="F3958" i="1"/>
  <c r="F3961" i="1"/>
  <c r="F3964" i="1"/>
  <c r="F3973" i="1"/>
  <c r="F3976" i="1"/>
  <c r="F3978" i="1"/>
  <c r="F4004" i="1"/>
  <c r="F4011" i="1"/>
  <c r="F4016" i="1"/>
  <c r="F4023" i="1"/>
  <c r="F4024" i="1"/>
  <c r="F4032" i="1"/>
  <c r="F4034" i="1"/>
  <c r="F4036" i="1"/>
  <c r="F4037" i="1"/>
  <c r="F4038" i="1"/>
  <c r="F4042" i="1"/>
  <c r="F4047" i="1"/>
  <c r="F4050" i="1"/>
  <c r="F4057" i="1"/>
  <c r="F4058" i="1"/>
  <c r="F4059" i="1"/>
  <c r="F4063" i="1"/>
  <c r="F4065" i="1"/>
  <c r="F4069" i="1"/>
  <c r="F4074" i="1"/>
  <c r="F4075" i="1"/>
  <c r="F4081" i="1"/>
  <c r="F4088" i="1"/>
  <c r="F4096" i="1"/>
  <c r="F4097" i="1"/>
  <c r="F4106" i="1"/>
  <c r="F4108" i="1"/>
  <c r="F4113" i="1"/>
  <c r="F4122" i="1"/>
  <c r="F4123" i="1"/>
  <c r="F4139" i="1"/>
  <c r="F4149" i="1"/>
  <c r="F4159" i="1"/>
  <c r="F4163" i="1"/>
  <c r="F4164" i="1"/>
  <c r="F4168" i="1"/>
  <c r="F4177" i="1"/>
  <c r="F4178" i="1"/>
  <c r="F4179" i="1"/>
  <c r="F4181" i="1"/>
  <c r="F4199" i="1"/>
  <c r="F4208" i="1"/>
  <c r="F4212" i="1"/>
  <c r="F4217" i="1"/>
  <c r="F4218" i="1"/>
  <c r="F4230" i="1"/>
  <c r="F4241" i="1"/>
  <c r="F4248" i="1"/>
  <c r="F4253" i="1"/>
  <c r="F4258" i="1"/>
  <c r="F4261" i="1"/>
  <c r="F4274" i="1"/>
  <c r="F4280" i="1"/>
  <c r="F4284" i="1"/>
  <c r="F4290" i="1"/>
  <c r="F4292" i="1"/>
  <c r="F4300" i="1"/>
  <c r="F4307" i="1"/>
  <c r="F4309" i="1"/>
  <c r="F4314" i="1"/>
  <c r="F4320" i="1"/>
  <c r="F4331" i="1"/>
  <c r="F4336" i="1"/>
  <c r="F4343" i="1"/>
  <c r="F4352" i="1"/>
  <c r="F4356" i="1"/>
  <c r="F4359" i="1"/>
  <c r="F4362" i="1"/>
  <c r="F4375" i="1"/>
  <c r="F4387" i="1"/>
  <c r="F4388" i="1"/>
  <c r="F4389" i="1"/>
  <c r="F4390" i="1"/>
  <c r="F4392" i="1"/>
  <c r="F4394" i="1"/>
  <c r="F4400" i="1"/>
  <c r="F4402" i="1"/>
  <c r="F4407" i="1"/>
  <c r="F4408" i="1"/>
  <c r="F4414" i="1"/>
  <c r="F4415" i="1"/>
  <c r="F4423" i="1"/>
  <c r="F4428" i="1"/>
  <c r="F4442" i="1"/>
  <c r="F4445" i="1"/>
  <c r="F4464" i="1"/>
  <c r="F4481" i="1"/>
  <c r="F4499" i="1"/>
  <c r="F4514" i="1"/>
  <c r="F4515" i="1"/>
  <c r="F4518" i="1"/>
  <c r="F4524" i="1"/>
  <c r="F4525" i="1"/>
  <c r="F4527" i="1"/>
  <c r="F4531" i="1"/>
  <c r="F4536" i="1"/>
  <c r="F4537" i="1"/>
  <c r="F4538" i="1"/>
  <c r="F4542" i="1"/>
  <c r="F4551" i="1"/>
  <c r="F4580" i="1"/>
  <c r="F4583" i="1"/>
  <c r="F4587" i="1"/>
  <c r="F4590" i="1"/>
  <c r="F4592" i="1"/>
  <c r="F4599" i="1"/>
  <c r="F4605" i="1"/>
  <c r="F4626" i="1"/>
  <c r="F4635" i="1"/>
  <c r="F4637" i="1"/>
  <c r="F4659" i="1"/>
  <c r="F4660" i="1"/>
  <c r="F4662" i="1"/>
  <c r="F4664" i="1"/>
  <c r="F4670" i="1"/>
  <c r="F4676" i="1"/>
  <c r="F4686" i="1"/>
  <c r="F4692" i="1"/>
  <c r="F4697" i="1"/>
  <c r="F4700" i="1"/>
  <c r="F4708" i="1"/>
  <c r="F4710" i="1"/>
  <c r="F4717" i="1"/>
  <c r="F4719" i="1"/>
  <c r="F4726" i="1"/>
  <c r="F4730" i="1"/>
  <c r="F4743" i="1"/>
  <c r="F4763" i="1"/>
  <c r="F4765" i="1"/>
  <c r="F4777" i="1"/>
  <c r="F4778" i="1"/>
  <c r="F4781" i="1"/>
  <c r="F4796" i="1"/>
  <c r="F4801" i="1"/>
  <c r="F4807" i="1"/>
  <c r="F4828" i="1"/>
  <c r="F4831" i="1"/>
  <c r="F4834" i="1"/>
  <c r="F4866" i="1"/>
  <c r="F4869" i="1"/>
  <c r="F4876" i="1"/>
  <c r="F4884" i="1"/>
  <c r="F4894" i="1"/>
  <c r="F4897" i="1"/>
  <c r="F4906" i="1"/>
  <c r="F4913" i="1"/>
  <c r="F4925" i="1"/>
  <c r="F4926" i="1"/>
  <c r="F4933" i="1"/>
  <c r="F4937" i="1"/>
  <c r="F4942" i="1"/>
  <c r="F4949" i="1"/>
  <c r="F4952" i="1"/>
  <c r="F4953" i="1"/>
  <c r="F4962" i="1"/>
  <c r="F4963" i="1"/>
  <c r="F4964" i="1"/>
  <c r="F4972" i="1"/>
  <c r="F4979" i="1"/>
  <c r="F4981" i="1"/>
  <c r="F4982" i="1"/>
  <c r="F4985" i="1"/>
  <c r="F4992" i="1"/>
  <c r="F5015" i="1"/>
</calcChain>
</file>

<file path=xl/sharedStrings.xml><?xml version="1.0" encoding="utf-8"?>
<sst xmlns="http://schemas.openxmlformats.org/spreadsheetml/2006/main" count="17818" uniqueCount="11877">
  <si>
    <t>customer_id</t>
  </si>
  <si>
    <t>age</t>
  </si>
  <si>
    <t>email</t>
  </si>
  <si>
    <t>salary</t>
  </si>
  <si>
    <t>country</t>
  </si>
  <si>
    <t>phone</t>
  </si>
  <si>
    <t>signup_date</t>
  </si>
  <si>
    <t>C04875</t>
  </si>
  <si>
    <t>user4875@example.com</t>
  </si>
  <si>
    <t>USA</t>
  </si>
  <si>
    <t>C01026</t>
  </si>
  <si>
    <t>user1026@example.com</t>
  </si>
  <si>
    <t>Australia</t>
  </si>
  <si>
    <t>C03546</t>
  </si>
  <si>
    <t>user3546@example.com</t>
  </si>
  <si>
    <t>423.366.4508</t>
  </si>
  <si>
    <t>C03822</t>
  </si>
  <si>
    <t>@domain.com</t>
  </si>
  <si>
    <t>India</t>
  </si>
  <si>
    <t>719-808-4765</t>
  </si>
  <si>
    <t>C04395</t>
  </si>
  <si>
    <t>user4395@example.com</t>
  </si>
  <si>
    <t>C00923</t>
  </si>
  <si>
    <t>user3423@example.com</t>
  </si>
  <si>
    <t>970.521.2218</t>
  </si>
  <si>
    <t>C01991</t>
  </si>
  <si>
    <t>user2418@example.com</t>
  </si>
  <si>
    <t>UK</t>
  </si>
  <si>
    <t>(318) 414-9221</t>
  </si>
  <si>
    <t>C00380</t>
  </si>
  <si>
    <t>user1096@example.com</t>
  </si>
  <si>
    <t>C04460</t>
  </si>
  <si>
    <t>user4460@example.com</t>
  </si>
  <si>
    <t>502-394-4542</t>
  </si>
  <si>
    <t>C00706</t>
  </si>
  <si>
    <t>user706@example.com</t>
  </si>
  <si>
    <t>Canada</t>
  </si>
  <si>
    <t>553-249-1162</t>
  </si>
  <si>
    <t>C02375</t>
  </si>
  <si>
    <t>user2375@example.com</t>
  </si>
  <si>
    <t>733 274 6639</t>
  </si>
  <si>
    <t>C00531</t>
  </si>
  <si>
    <t>user531@example.com</t>
  </si>
  <si>
    <t>C00801</t>
  </si>
  <si>
    <t>101-932-8612</t>
  </si>
  <si>
    <t>C00113</t>
  </si>
  <si>
    <t>user4525@example.com</t>
  </si>
  <si>
    <t>C01457</t>
  </si>
  <si>
    <t>user1457@example.com</t>
  </si>
  <si>
    <t>Spain</t>
  </si>
  <si>
    <t>213.259.1983</t>
  </si>
  <si>
    <t>C01392</t>
  </si>
  <si>
    <t>user1392@example.com</t>
  </si>
  <si>
    <t>246-173-7986</t>
  </si>
  <si>
    <t>C03650</t>
  </si>
  <si>
    <t>user3650@example.com</t>
  </si>
  <si>
    <t>110-289-4419</t>
  </si>
  <si>
    <t>C03200</t>
  </si>
  <si>
    <t>user3200@example.com</t>
  </si>
  <si>
    <t>(820) 179-7187</t>
  </si>
  <si>
    <t>C02672</t>
  </si>
  <si>
    <t>invalid-email</t>
  </si>
  <si>
    <t>724-154-6871</t>
  </si>
  <si>
    <t>C02813</t>
  </si>
  <si>
    <t>user2813@example.com</t>
  </si>
  <si>
    <t>725.881.9693</t>
  </si>
  <si>
    <t>user66@example.com</t>
  </si>
  <si>
    <t>(816) 781-6412</t>
  </si>
  <si>
    <t>C00158</t>
  </si>
  <si>
    <t>user158@example.com</t>
  </si>
  <si>
    <t>112-521-2600</t>
  </si>
  <si>
    <t>C03241</t>
  </si>
  <si>
    <t>user3241@example.com</t>
  </si>
  <si>
    <t>641 918 9027</t>
  </si>
  <si>
    <t>C04102</t>
  </si>
  <si>
    <t>user4102@example.com</t>
  </si>
  <si>
    <t>168-828-5327</t>
  </si>
  <si>
    <t>C00627</t>
  </si>
  <si>
    <t>user627@example.com</t>
  </si>
  <si>
    <t>C00019</t>
  </si>
  <si>
    <t>user1966@example.com</t>
  </si>
  <si>
    <t>2023-02-30</t>
  </si>
  <si>
    <t>C01439</t>
  </si>
  <si>
    <t>user1439@example.com</t>
  </si>
  <si>
    <t>C02241</t>
  </si>
  <si>
    <t>user2241@example.com</t>
  </si>
  <si>
    <t>470.448.9215</t>
  </si>
  <si>
    <t>2023-02-29</t>
  </si>
  <si>
    <t>C03014</t>
  </si>
  <si>
    <t>user3014@example.com</t>
  </si>
  <si>
    <t>Brazil</t>
  </si>
  <si>
    <t>C03907</t>
  </si>
  <si>
    <t>user3907@example.com</t>
  </si>
  <si>
    <t>342-234-2896</t>
  </si>
  <si>
    <t>C02854</t>
  </si>
  <si>
    <t>user3519@example.com</t>
  </si>
  <si>
    <t>202.190.9252</t>
  </si>
  <si>
    <t>C00643</t>
  </si>
  <si>
    <t>user643@example.com</t>
  </si>
  <si>
    <t>113-275-8817</t>
  </si>
  <si>
    <t>C01927</t>
  </si>
  <si>
    <t>user1927@example.com</t>
  </si>
  <si>
    <t>C02188</t>
  </si>
  <si>
    <t>user2188@example.com</t>
  </si>
  <si>
    <t>957.797.4130</t>
  </si>
  <si>
    <t>C00684</t>
  </si>
  <si>
    <t>user684@example.com</t>
  </si>
  <si>
    <t>448.903.6820</t>
  </si>
  <si>
    <t>C00677</t>
  </si>
  <si>
    <t>user677@example.com</t>
  </si>
  <si>
    <t>912-525-9089</t>
  </si>
  <si>
    <t>C01895</t>
  </si>
  <si>
    <t>user1895@example.com</t>
  </si>
  <si>
    <t>(412) 859-4453</t>
  </si>
  <si>
    <t>C01877</t>
  </si>
  <si>
    <t>user@@domain.com</t>
  </si>
  <si>
    <t>298.451.8152</t>
  </si>
  <si>
    <t>C01058</t>
  </si>
  <si>
    <t>user1058@example.com</t>
  </si>
  <si>
    <t>287.552.1099</t>
  </si>
  <si>
    <t>C04850</t>
  </si>
  <si>
    <t>user4850@example.com</t>
  </si>
  <si>
    <t>230-653-5849</t>
  </si>
  <si>
    <t>C00822</t>
  </si>
  <si>
    <t>user3951@example.com</t>
  </si>
  <si>
    <t>341.666.3357</t>
  </si>
  <si>
    <t>C02836</t>
  </si>
  <si>
    <t>user2836@example.com</t>
  </si>
  <si>
    <t>C03140</t>
  </si>
  <si>
    <t>user3140@example.com</t>
  </si>
  <si>
    <t>502.387.8610</t>
  </si>
  <si>
    <t>C00297</t>
  </si>
  <si>
    <t>user297@example.com</t>
  </si>
  <si>
    <t>164-481-6656</t>
  </si>
  <si>
    <t>C03363</t>
  </si>
  <si>
    <t>user3363@example.com</t>
  </si>
  <si>
    <t>651.873.8478</t>
  </si>
  <si>
    <t>C03605</t>
  </si>
  <si>
    <t>user3605@example.com</t>
  </si>
  <si>
    <t>354 628 4176</t>
  </si>
  <si>
    <t>C04700</t>
  </si>
  <si>
    <t>user4700@example.com</t>
  </si>
  <si>
    <t>C04206</t>
  </si>
  <si>
    <t>user4206@example.com</t>
  </si>
  <si>
    <t>798 985 5488</t>
  </si>
  <si>
    <t>C02381</t>
  </si>
  <si>
    <t>user2381@example.com</t>
  </si>
  <si>
    <t>(384) 723-2959</t>
  </si>
  <si>
    <t>C00834</t>
  </si>
  <si>
    <t>user1256@example.com</t>
  </si>
  <si>
    <t>274-425-7382</t>
  </si>
  <si>
    <t>C00169</t>
  </si>
  <si>
    <t>user169@example.com</t>
  </si>
  <si>
    <t>808 783 6298</t>
  </si>
  <si>
    <t>C04134</t>
  </si>
  <si>
    <t>user4134@example.com</t>
  </si>
  <si>
    <t>(830) 220-5237</t>
  </si>
  <si>
    <t>C00030</t>
  </si>
  <si>
    <t>user30@example.com</t>
  </si>
  <si>
    <t>(637) 409-3867</t>
  </si>
  <si>
    <t>C01748</t>
  </si>
  <si>
    <t>user1748@example.com</t>
  </si>
  <si>
    <t>C04984</t>
  </si>
  <si>
    <t>user4984@example.com</t>
  </si>
  <si>
    <t>291.572.2037</t>
  </si>
  <si>
    <t>C04980</t>
  </si>
  <si>
    <t>user4980@example.com</t>
  </si>
  <si>
    <t>(779) 617-3569</t>
  </si>
  <si>
    <t>C02112</t>
  </si>
  <si>
    <t>.user@domain.com</t>
  </si>
  <si>
    <t>no-dot@com</t>
  </si>
  <si>
    <t>C02811</t>
  </si>
  <si>
    <t>user2811@example.com</t>
  </si>
  <si>
    <t>424 579 5025</t>
  </si>
  <si>
    <t>C02102</t>
  </si>
  <si>
    <t>user2102@example.com</t>
  </si>
  <si>
    <t>535-816-2269</t>
  </si>
  <si>
    <t>C00512</t>
  </si>
  <si>
    <t>user1011@example.com</t>
  </si>
  <si>
    <t>(179) 787-1183</t>
  </si>
  <si>
    <t>2023-04-31</t>
  </si>
  <si>
    <t>C04631</t>
  </si>
  <si>
    <t>user4631@example.com</t>
  </si>
  <si>
    <t>670-387-6215</t>
  </si>
  <si>
    <t>C00545</t>
  </si>
  <si>
    <t>user545@example.com</t>
  </si>
  <si>
    <t>689.184.2815</t>
  </si>
  <si>
    <t>C01742</t>
  </si>
  <si>
    <t>user1742@example.com</t>
  </si>
  <si>
    <t>703 527 5526</t>
  </si>
  <si>
    <t>C03732</t>
  </si>
  <si>
    <t>user3732@example.com</t>
  </si>
  <si>
    <t>(115) 675-8895</t>
  </si>
  <si>
    <t>C04817</t>
  </si>
  <si>
    <t>user4817@example.com</t>
  </si>
  <si>
    <t>C01718</t>
  </si>
  <si>
    <t>user1718@example.com</t>
  </si>
  <si>
    <t>C00995</t>
  </si>
  <si>
    <t>user995@example.com</t>
  </si>
  <si>
    <t>521 880 2986</t>
  </si>
  <si>
    <t>C04789</t>
  </si>
  <si>
    <t>user4789@example.com</t>
  </si>
  <si>
    <t>408.972.9496</t>
  </si>
  <si>
    <t>C02776</t>
  </si>
  <si>
    <t>user2776@example.com</t>
  </si>
  <si>
    <t>C04060</t>
  </si>
  <si>
    <t>573-829-4755</t>
  </si>
  <si>
    <t>C00024</t>
  </si>
  <si>
    <t>user24@example.com</t>
  </si>
  <si>
    <t>(684) 720-7382</t>
  </si>
  <si>
    <t>C00950</t>
  </si>
  <si>
    <t>user950@example.com</t>
  </si>
  <si>
    <t>333 332 4438</t>
  </si>
  <si>
    <t>C00241</t>
  </si>
  <si>
    <t>user241@example.com</t>
  </si>
  <si>
    <t>280 263 1706</t>
  </si>
  <si>
    <t>C01555</t>
  </si>
  <si>
    <t>user1555@example.com</t>
  </si>
  <si>
    <t>C01435</t>
  </si>
  <si>
    <t>user1435@example.com</t>
  </si>
  <si>
    <t>C01671</t>
  </si>
  <si>
    <t>user1671@example.com</t>
  </si>
  <si>
    <t>C00486</t>
  </si>
  <si>
    <t>user486@example.com</t>
  </si>
  <si>
    <t>537 314 6690</t>
  </si>
  <si>
    <t>C02754</t>
  </si>
  <si>
    <t>user2754@example.com</t>
  </si>
  <si>
    <t>(230) 630-1584</t>
  </si>
  <si>
    <t>C03652</t>
  </si>
  <si>
    <t>user3652@example.com</t>
  </si>
  <si>
    <t>897.524.2835</t>
  </si>
  <si>
    <t>C04272</t>
  </si>
  <si>
    <t>user4272@example.com</t>
  </si>
  <si>
    <t>968.335.6006</t>
  </si>
  <si>
    <t>C00804</t>
  </si>
  <si>
    <t>user804@example.com</t>
  </si>
  <si>
    <t>C03781</t>
  </si>
  <si>
    <t>user3781@example.com</t>
  </si>
  <si>
    <t>C01740</t>
  </si>
  <si>
    <t>user1740@example.com</t>
  </si>
  <si>
    <t>997 639 3866</t>
  </si>
  <si>
    <t>C04016</t>
  </si>
  <si>
    <t>user4016@example.com</t>
  </si>
  <si>
    <t>C02196</t>
  </si>
  <si>
    <t>user2196@example.com</t>
  </si>
  <si>
    <t>890.757.9569</t>
  </si>
  <si>
    <t>C00085</t>
  </si>
  <si>
    <t>606.760.2007</t>
  </si>
  <si>
    <t>C02124</t>
  </si>
  <si>
    <t>user2124@example.com</t>
  </si>
  <si>
    <t>458-751-4703</t>
  </si>
  <si>
    <t>C03017</t>
  </si>
  <si>
    <t>user3017@example.com</t>
  </si>
  <si>
    <t>245.369.8486</t>
  </si>
  <si>
    <t>C02534</t>
  </si>
  <si>
    <t>user2534@example.com</t>
  </si>
  <si>
    <t>C01872</t>
  </si>
  <si>
    <t>user1872@example.com</t>
  </si>
  <si>
    <t>C00107</t>
  </si>
  <si>
    <t>user107@example.com</t>
  </si>
  <si>
    <t>(186) 240-7813</t>
  </si>
  <si>
    <t>C03151</t>
  </si>
  <si>
    <t>user3151@example.com</t>
  </si>
  <si>
    <t>C00100</t>
  </si>
  <si>
    <t>user2990@example.com</t>
  </si>
  <si>
    <t>C01579</t>
  </si>
  <si>
    <t>user1579@example.com</t>
  </si>
  <si>
    <t>C00200</t>
  </si>
  <si>
    <t>user200@example.com</t>
  </si>
  <si>
    <t>498 164 9856</t>
  </si>
  <si>
    <t>C04412</t>
  </si>
  <si>
    <t>user4412@example.com</t>
  </si>
  <si>
    <t>(801) 287-2125</t>
  </si>
  <si>
    <t>C03066</t>
  </si>
  <si>
    <t>user3066@example.com</t>
  </si>
  <si>
    <t>223.312.4042</t>
  </si>
  <si>
    <t>C04956</t>
  </si>
  <si>
    <t>user4956@example.com</t>
  </si>
  <si>
    <t>C04241</t>
  </si>
  <si>
    <t>user4241@example.com</t>
  </si>
  <si>
    <t>250-847-2817</t>
  </si>
  <si>
    <t>C04657</t>
  </si>
  <si>
    <t>user4657@example.com</t>
  </si>
  <si>
    <t>C03131</t>
  </si>
  <si>
    <t>user3131@example.com</t>
  </si>
  <si>
    <t>560 720 4681</t>
  </si>
  <si>
    <t>C02182</t>
  </si>
  <si>
    <t>user2182@example.com</t>
  </si>
  <si>
    <t>C03415</t>
  </si>
  <si>
    <t>user3415@example.com</t>
  </si>
  <si>
    <t>C00882</t>
  </si>
  <si>
    <t>user882@example.com</t>
  </si>
  <si>
    <t>C04223</t>
  </si>
  <si>
    <t>user4223@example.com</t>
  </si>
  <si>
    <t>Mexico</t>
  </si>
  <si>
    <t>(976) 291-2940</t>
  </si>
  <si>
    <t>C04570</t>
  </si>
  <si>
    <t>user4570@example.com</t>
  </si>
  <si>
    <t>(186) 684-9390</t>
  </si>
  <si>
    <t>user@</t>
  </si>
  <si>
    <t>159 432 9297</t>
  </si>
  <si>
    <t>2023-06-31</t>
  </si>
  <si>
    <t>C00554</t>
  </si>
  <si>
    <t>573-303-5289</t>
  </si>
  <si>
    <t>C00734</t>
  </si>
  <si>
    <t>user734@example.com</t>
  </si>
  <si>
    <t>C00180</t>
  </si>
  <si>
    <t>user180@example.com</t>
  </si>
  <si>
    <t>119 609 3438</t>
  </si>
  <si>
    <t>C00417</t>
  </si>
  <si>
    <t>488.534.4510</t>
  </si>
  <si>
    <t>C00080</t>
  </si>
  <si>
    <t>user80@example.com</t>
  </si>
  <si>
    <t>C00473</t>
  </si>
  <si>
    <t>user473@example.com</t>
  </si>
  <si>
    <t>C00157</t>
  </si>
  <si>
    <t>user671@example.com</t>
  </si>
  <si>
    <t>(400) 840-7395</t>
  </si>
  <si>
    <t>C04909</t>
  </si>
  <si>
    <t>user4909@example.com</t>
  </si>
  <si>
    <t>655.185.3322</t>
  </si>
  <si>
    <t>C01502</t>
  </si>
  <si>
    <t>user1502@example.com</t>
  </si>
  <si>
    <t>172-283-8548</t>
  </si>
  <si>
    <t>C02803</t>
  </si>
  <si>
    <t>user2803@example.com</t>
  </si>
  <si>
    <t>C02093</t>
  </si>
  <si>
    <t>user2093@example.com</t>
  </si>
  <si>
    <t>C00249</t>
  </si>
  <si>
    <t>user249@example.com</t>
  </si>
  <si>
    <t>303 865 6336</t>
  </si>
  <si>
    <t>C00539</t>
  </si>
  <si>
    <t>user539@example.com</t>
  </si>
  <si>
    <t>(815) 367-9295</t>
  </si>
  <si>
    <t>C01346</t>
  </si>
  <si>
    <t>(744) 860-2971</t>
  </si>
  <si>
    <t>C04699</t>
  </si>
  <si>
    <t>user1271@example.com</t>
  </si>
  <si>
    <t>516.889.6123</t>
  </si>
  <si>
    <t>C00229</t>
  </si>
  <si>
    <t>user229@example.com</t>
  </si>
  <si>
    <t>C00298</t>
  </si>
  <si>
    <t>user298@example.com</t>
  </si>
  <si>
    <t>597 613 9629</t>
  </si>
  <si>
    <t>C02821</t>
  </si>
  <si>
    <t>user2821@example.com</t>
  </si>
  <si>
    <t>446 820 3870</t>
  </si>
  <si>
    <t>C03723</t>
  </si>
  <si>
    <t>user3723@example.com</t>
  </si>
  <si>
    <t>947.103.6647</t>
  </si>
  <si>
    <t>C01184</t>
  </si>
  <si>
    <t>user1184@example.com</t>
  </si>
  <si>
    <t>500 173 9648</t>
  </si>
  <si>
    <t>C02060</t>
  </si>
  <si>
    <t>user2060@example.com</t>
  </si>
  <si>
    <t>(470) 648-4251</t>
  </si>
  <si>
    <t>C00191</t>
  </si>
  <si>
    <t>user466@example.com</t>
  </si>
  <si>
    <t>Germany</t>
  </si>
  <si>
    <t>538-453-6855</t>
  </si>
  <si>
    <t>C02992</t>
  </si>
  <si>
    <t>user2992@example.com</t>
  </si>
  <si>
    <t>C00506</t>
  </si>
  <si>
    <t>user506@example.com</t>
  </si>
  <si>
    <t>(379) 239-1477</t>
  </si>
  <si>
    <t>C04081</t>
  </si>
  <si>
    <t>user4081@example.com</t>
  </si>
  <si>
    <t>702 597 8657</t>
  </si>
  <si>
    <t>C03173</t>
  </si>
  <si>
    <t>user3173@example.com</t>
  </si>
  <si>
    <t>967-171-5544</t>
  </si>
  <si>
    <t>2023-13-01</t>
  </si>
  <si>
    <t>C02094</t>
  </si>
  <si>
    <t>user2094@example.com</t>
  </si>
  <si>
    <t>885-605-5129</t>
  </si>
  <si>
    <t>C01670</t>
  </si>
  <si>
    <t>user1670@example.com</t>
  </si>
  <si>
    <t>982.251.7771</t>
  </si>
  <si>
    <t>C01753</t>
  </si>
  <si>
    <t>user1753@example.com</t>
  </si>
  <si>
    <t>600-413-1083</t>
  </si>
  <si>
    <t>C04785</t>
  </si>
  <si>
    <t>user4785@example.com</t>
  </si>
  <si>
    <t>(261) 206-1130</t>
  </si>
  <si>
    <t>C00350</t>
  </si>
  <si>
    <t>user2654@example.com</t>
  </si>
  <si>
    <t>C00427</t>
  </si>
  <si>
    <t>user427@example.com</t>
  </si>
  <si>
    <t>C01259</t>
  </si>
  <si>
    <t>missingatsign.com</t>
  </si>
  <si>
    <t>706 230 5244</t>
  </si>
  <si>
    <t>C01074</t>
  </si>
  <si>
    <t>user1074@example.com</t>
  </si>
  <si>
    <t>877-407-9801</t>
  </si>
  <si>
    <t>C02907</t>
  </si>
  <si>
    <t>user2907@example.com</t>
  </si>
  <si>
    <t>(707) 288-4555</t>
  </si>
  <si>
    <t>C03892</t>
  </si>
  <si>
    <t>266 240 6421</t>
  </si>
  <si>
    <t>user4872@example.com</t>
  </si>
  <si>
    <t>(202) 233-2385</t>
  </si>
  <si>
    <t>C00658</t>
  </si>
  <si>
    <t>user658@example.com</t>
  </si>
  <si>
    <t>441-108-2682</t>
  </si>
  <si>
    <t>C00394</t>
  </si>
  <si>
    <t>user394@example.com</t>
  </si>
  <si>
    <t>(826) 411-1471</t>
  </si>
  <si>
    <t>C03394</t>
  </si>
  <si>
    <t>user3394@example.com</t>
  </si>
  <si>
    <t>623 225 8884</t>
  </si>
  <si>
    <t>C00280</t>
  </si>
  <si>
    <t>user280@example.com</t>
  </si>
  <si>
    <t>C03719</t>
  </si>
  <si>
    <t>user3719@example.com</t>
  </si>
  <si>
    <t>(867) 321-6070</t>
  </si>
  <si>
    <t>C04580</t>
  </si>
  <si>
    <t>190-402-3406</t>
  </si>
  <si>
    <t>user1076@example.com</t>
  </si>
  <si>
    <t>489.574.6011</t>
  </si>
  <si>
    <t>C01136</t>
  </si>
  <si>
    <t>user1136@example.com</t>
  </si>
  <si>
    <t>748-468-1749</t>
  </si>
  <si>
    <t>2023-09-31</t>
  </si>
  <si>
    <t>C01589</t>
  </si>
  <si>
    <t>user1589@example.com</t>
  </si>
  <si>
    <t>732-824-9907</t>
  </si>
  <si>
    <t>C00578</t>
  </si>
  <si>
    <t>user578@example.com</t>
  </si>
  <si>
    <t>504.787.7076</t>
  </si>
  <si>
    <t>C02292</t>
  </si>
  <si>
    <t>user2292@example.com</t>
  </si>
  <si>
    <t>613.787.1749</t>
  </si>
  <si>
    <t>C01053</t>
  </si>
  <si>
    <t>C01091</t>
  </si>
  <si>
    <t>user1091@example.com</t>
  </si>
  <si>
    <t>C03412</t>
  </si>
  <si>
    <t>user3412@example.com</t>
  </si>
  <si>
    <t>C01428</t>
  </si>
  <si>
    <t>user1428@example.com</t>
  </si>
  <si>
    <t>430-230-3979</t>
  </si>
  <si>
    <t>C01050</t>
  </si>
  <si>
    <t>user1050@example.com</t>
  </si>
  <si>
    <t>C04457</t>
  </si>
  <si>
    <t>user4457@example.com</t>
  </si>
  <si>
    <t>C02519</t>
  </si>
  <si>
    <t>user@domain..com</t>
  </si>
  <si>
    <t>129.581.1560</t>
  </si>
  <si>
    <t>C03163</t>
  </si>
  <si>
    <t>user3163@example.com</t>
  </si>
  <si>
    <t>C00009</t>
  </si>
  <si>
    <t>755-306-5614</t>
  </si>
  <si>
    <t>C03858</t>
  </si>
  <si>
    <t>user3858@example.com</t>
  </si>
  <si>
    <t>C03516</t>
  </si>
  <si>
    <t>587-805-5539</t>
  </si>
  <si>
    <t>C04070</t>
  </si>
  <si>
    <t>C00145</t>
  </si>
  <si>
    <t>user145@example.com</t>
  </si>
  <si>
    <t>(488) 799-7390</t>
  </si>
  <si>
    <t>C01955</t>
  </si>
  <si>
    <t>user1955@example.com</t>
  </si>
  <si>
    <t>C00562</t>
  </si>
  <si>
    <t>user562@example.com</t>
  </si>
  <si>
    <t>(982) 932-5361</t>
  </si>
  <si>
    <t>C03104</t>
  </si>
  <si>
    <t>user3104@example.com</t>
  </si>
  <si>
    <t>585 134 5569</t>
  </si>
  <si>
    <t>C03787</t>
  </si>
  <si>
    <t>user3787@example.com</t>
  </si>
  <si>
    <t>647 210 3322</t>
  </si>
  <si>
    <t>C04765</t>
  </si>
  <si>
    <t>user4765@example.com</t>
  </si>
  <si>
    <t>(476) 458-2804</t>
  </si>
  <si>
    <t>C00152</t>
  </si>
  <si>
    <t>376.373.2610</t>
  </si>
  <si>
    <t>C00423</t>
  </si>
  <si>
    <t>390 567 6111</t>
  </si>
  <si>
    <t>C01019</t>
  </si>
  <si>
    <t>user@.com</t>
  </si>
  <si>
    <t>344.304.2497</t>
  </si>
  <si>
    <t>C01060</t>
  </si>
  <si>
    <t>user2707@example.com</t>
  </si>
  <si>
    <t>(937) 602-4085</t>
  </si>
  <si>
    <t>not-a-date</t>
  </si>
  <si>
    <t>C03376</t>
  </si>
  <si>
    <t>user3376@example.com</t>
  </si>
  <si>
    <t>613-989-6016</t>
  </si>
  <si>
    <t>C01213</t>
  </si>
  <si>
    <t>user1213@example.com</t>
  </si>
  <si>
    <t>(515) 932-1323</t>
  </si>
  <si>
    <t>C03045</t>
  </si>
  <si>
    <t>user3045@example.com</t>
  </si>
  <si>
    <t>(440) 467-8644</t>
  </si>
  <si>
    <t>invalid-date</t>
  </si>
  <si>
    <t>C00799</t>
  </si>
  <si>
    <t>user799@example.com</t>
  </si>
  <si>
    <t>C03164</t>
  </si>
  <si>
    <t>user3164@example.com</t>
  </si>
  <si>
    <t>C02715</t>
  </si>
  <si>
    <t>741.536.7623</t>
  </si>
  <si>
    <t>C00415</t>
  </si>
  <si>
    <t>user415@example.com</t>
  </si>
  <si>
    <t>814.703.4033</t>
  </si>
  <si>
    <t>C02303</t>
  </si>
  <si>
    <t>user2303@example.com</t>
  </si>
  <si>
    <t>255 573 9175</t>
  </si>
  <si>
    <t>C04762</t>
  </si>
  <si>
    <t>user4762@example.com</t>
  </si>
  <si>
    <t>C03592</t>
  </si>
  <si>
    <t>user3998@example.com</t>
  </si>
  <si>
    <t>217-720-2462</t>
  </si>
  <si>
    <t>C00625</t>
  </si>
  <si>
    <t>user625@example.com</t>
  </si>
  <si>
    <t>579.547.2297</t>
  </si>
  <si>
    <t>C01616</t>
  </si>
  <si>
    <t>user1616@example.com</t>
  </si>
  <si>
    <t>380.593.4264</t>
  </si>
  <si>
    <t>C00765</t>
  </si>
  <si>
    <t>user name@domain.com</t>
  </si>
  <si>
    <t>338 504 6554</t>
  </si>
  <si>
    <t>C02681</t>
  </si>
  <si>
    <t>user2681@example.com</t>
  </si>
  <si>
    <t>(967) 451-3998</t>
  </si>
  <si>
    <t>C04264</t>
  </si>
  <si>
    <t>user4264@example.com</t>
  </si>
  <si>
    <t>586-462-1206</t>
  </si>
  <si>
    <t>C03533</t>
  </si>
  <si>
    <t>China</t>
  </si>
  <si>
    <t>C00812</t>
  </si>
  <si>
    <t>user812@example.com</t>
  </si>
  <si>
    <t>C00101</t>
  </si>
  <si>
    <t>multiple@issues@invalid</t>
  </si>
  <si>
    <t>InvalidCountry</t>
  </si>
  <si>
    <t>C02824</t>
  </si>
  <si>
    <t>C00654</t>
  </si>
  <si>
    <t>270-256-8295</t>
  </si>
  <si>
    <t>C00860</t>
  </si>
  <si>
    <t>user860@example.com</t>
  </si>
  <si>
    <t>162-134-7183</t>
  </si>
  <si>
    <t>C01613</t>
  </si>
  <si>
    <t>user1613@example.com</t>
  </si>
  <si>
    <t>(321) 987-6978</t>
  </si>
  <si>
    <t>C00764</t>
  </si>
  <si>
    <t>user764@example.com</t>
  </si>
  <si>
    <t>C00334</t>
  </si>
  <si>
    <t>user334@example.com</t>
  </si>
  <si>
    <t>C01630</t>
  </si>
  <si>
    <t>user1630@example.com</t>
  </si>
  <si>
    <t>507.130.2878</t>
  </si>
  <si>
    <t>C04937</t>
  </si>
  <si>
    <t>user4937@example.com</t>
  </si>
  <si>
    <t>C04702</t>
  </si>
  <si>
    <t>user4702@example.com</t>
  </si>
  <si>
    <t>597-785-6165</t>
  </si>
  <si>
    <t>C00228</t>
  </si>
  <si>
    <t>810 926 8798</t>
  </si>
  <si>
    <t>C01946</t>
  </si>
  <si>
    <t>user1946@example.com</t>
  </si>
  <si>
    <t>(477) 145-5765</t>
  </si>
  <si>
    <t>C01352</t>
  </si>
  <si>
    <t>user1352@example.com</t>
  </si>
  <si>
    <t>(296) 528-5137</t>
  </si>
  <si>
    <t>C04343</t>
  </si>
  <si>
    <t>user4343@example.com</t>
  </si>
  <si>
    <t>C02697</t>
  </si>
  <si>
    <t>C00766</t>
  </si>
  <si>
    <t>user766@example.com</t>
  </si>
  <si>
    <t>C01399</t>
  </si>
  <si>
    <t>user1974@example.com</t>
  </si>
  <si>
    <t>C04078</t>
  </si>
  <si>
    <t>user4078@example.com</t>
  </si>
  <si>
    <t>524 535 2641</t>
  </si>
  <si>
    <t>C04589</t>
  </si>
  <si>
    <t>user4589@example.com</t>
  </si>
  <si>
    <t>C04268</t>
  </si>
  <si>
    <t>user4268@example.com</t>
  </si>
  <si>
    <t>831.750.4184</t>
  </si>
  <si>
    <t>C03995</t>
  </si>
  <si>
    <t>user3995@example.com</t>
  </si>
  <si>
    <t>C03317</t>
  </si>
  <si>
    <t>user3317@example.com</t>
  </si>
  <si>
    <t>236-398-7009</t>
  </si>
  <si>
    <t>C03296</t>
  </si>
  <si>
    <t>user3296@example.com</t>
  </si>
  <si>
    <t>610.841.7630</t>
  </si>
  <si>
    <t>C02764</t>
  </si>
  <si>
    <t>user2764@example.com</t>
  </si>
  <si>
    <t>573.305.1924</t>
  </si>
  <si>
    <t>C03537</t>
  </si>
  <si>
    <t>user3537@example.com</t>
  </si>
  <si>
    <t>C01232</t>
  </si>
  <si>
    <t>user1232@example.com</t>
  </si>
  <si>
    <t>(137) 292-3321</t>
  </si>
  <si>
    <t>C03629</t>
  </si>
  <si>
    <t>user@domain.</t>
  </si>
  <si>
    <t>C03214</t>
  </si>
  <si>
    <t>C02623</t>
  </si>
  <si>
    <t>977 191 6468</t>
  </si>
  <si>
    <t>C04199</t>
  </si>
  <si>
    <t>user4199@example.com</t>
  </si>
  <si>
    <t>C00374</t>
  </si>
  <si>
    <t>user374@example.com</t>
  </si>
  <si>
    <t>267.154.5467</t>
  </si>
  <si>
    <t>C03162</t>
  </si>
  <si>
    <t>C04879</t>
  </si>
  <si>
    <t>user4879@example.com</t>
  </si>
  <si>
    <t>C04727</t>
  </si>
  <si>
    <t>user4727@example.com</t>
  </si>
  <si>
    <t>C02789</t>
  </si>
  <si>
    <t>user2789@example.com</t>
  </si>
  <si>
    <t>C00034</t>
  </si>
  <si>
    <t>user34@example.com</t>
  </si>
  <si>
    <t>(294) 448-8921</t>
  </si>
  <si>
    <t>user4097@example.com</t>
  </si>
  <si>
    <t>(321) 596-5696</t>
  </si>
  <si>
    <t>C02313</t>
  </si>
  <si>
    <t>user2313@example.com</t>
  </si>
  <si>
    <t>883 123 5651</t>
  </si>
  <si>
    <t>C02408</t>
  </si>
  <si>
    <t>619.594.9424</t>
  </si>
  <si>
    <t>C00927</t>
  </si>
  <si>
    <t>C02139</t>
  </si>
  <si>
    <t>user2139@example.com</t>
  </si>
  <si>
    <t>179.153.3244</t>
  </si>
  <si>
    <t>C01774</t>
  </si>
  <si>
    <t>user1774@example.com</t>
  </si>
  <si>
    <t>520 572 1453</t>
  </si>
  <si>
    <t>C02700</t>
  </si>
  <si>
    <t>user2700@example.com</t>
  </si>
  <si>
    <t>457-799-3955</t>
  </si>
  <si>
    <t>C01552</t>
  </si>
  <si>
    <t>user1552@example.com</t>
  </si>
  <si>
    <t>933.472.1265</t>
  </si>
  <si>
    <t>C01306</t>
  </si>
  <si>
    <t>(504) 531-6426</t>
  </si>
  <si>
    <t>C02073</t>
  </si>
  <si>
    <t>user2073@example.com</t>
  </si>
  <si>
    <t>C02727</t>
  </si>
  <si>
    <t>C02423</t>
  </si>
  <si>
    <t>user2423@example.com</t>
  </si>
  <si>
    <t>(972) 261-3574</t>
  </si>
  <si>
    <t>user3665@example.com</t>
  </si>
  <si>
    <t>958.127.3282</t>
  </si>
  <si>
    <t>C02816</t>
  </si>
  <si>
    <t>user2816@example.com</t>
  </si>
  <si>
    <t>108-982-1864</t>
  </si>
  <si>
    <t>C04689</t>
  </si>
  <si>
    <t>(829) 620-1276</t>
  </si>
  <si>
    <t>C00811</t>
  </si>
  <si>
    <t>user811@example.com</t>
  </si>
  <si>
    <t>C01363</t>
  </si>
  <si>
    <t>user1363@example.com</t>
  </si>
  <si>
    <t>721 378 4390</t>
  </si>
  <si>
    <t>C00231</t>
  </si>
  <si>
    <t>user231@example.com</t>
  </si>
  <si>
    <t>521 344 3859</t>
  </si>
  <si>
    <t>C03428</t>
  </si>
  <si>
    <t>C04213</t>
  </si>
  <si>
    <t>C02471</t>
  </si>
  <si>
    <t>user2471@example.com</t>
  </si>
  <si>
    <t>(763) 689-6567</t>
  </si>
  <si>
    <t>C00247</t>
  </si>
  <si>
    <t>(119) 742-9457</t>
  </si>
  <si>
    <t>C03324</t>
  </si>
  <si>
    <t>C00997</t>
  </si>
  <si>
    <t>user997@example.com</t>
  </si>
  <si>
    <t>C00777</t>
  </si>
  <si>
    <t>448-547-3957</t>
  </si>
  <si>
    <t>C04248</t>
  </si>
  <si>
    <t>user4248@example.com</t>
  </si>
  <si>
    <t>230.226.4810</t>
  </si>
  <si>
    <t>C04167</t>
  </si>
  <si>
    <t>user4167@example.com</t>
  </si>
  <si>
    <t>(468) 385-5949</t>
  </si>
  <si>
    <t>C02092</t>
  </si>
  <si>
    <t>(512) 731-8758</t>
  </si>
  <si>
    <t>C01294</t>
  </si>
  <si>
    <t>user1294@example.com</t>
  </si>
  <si>
    <t>458-839-4050</t>
  </si>
  <si>
    <t>C03047</t>
  </si>
  <si>
    <t>451-618-3376</t>
  </si>
  <si>
    <t>C04920</t>
  </si>
  <si>
    <t>user4920@example.com</t>
  </si>
  <si>
    <t>779.365.9427</t>
  </si>
  <si>
    <t>C04958</t>
  </si>
  <si>
    <t>user4958@example.com</t>
  </si>
  <si>
    <t>519 121 3754</t>
  </si>
  <si>
    <t>C03708</t>
  </si>
  <si>
    <t>user3708@example.com</t>
  </si>
  <si>
    <t>C00712</t>
  </si>
  <si>
    <t>user712@example.com</t>
  </si>
  <si>
    <t>529.511.5986</t>
  </si>
  <si>
    <t>C00498</t>
  </si>
  <si>
    <t>520 426 2055</t>
  </si>
  <si>
    <t>C01832</t>
  </si>
  <si>
    <t>user1832@example.com</t>
  </si>
  <si>
    <t>881 483 1482</t>
  </si>
  <si>
    <t>C04714</t>
  </si>
  <si>
    <t>user4714@example.com</t>
  </si>
  <si>
    <t>C02221</t>
  </si>
  <si>
    <t>user2221@example.com</t>
  </si>
  <si>
    <t>691.510.1467</t>
  </si>
  <si>
    <t>C03397</t>
  </si>
  <si>
    <t>user3397@example.com</t>
  </si>
  <si>
    <t>280.497.4101</t>
  </si>
  <si>
    <t>C00590</t>
  </si>
  <si>
    <t>user590@example.com</t>
  </si>
  <si>
    <t>293-252-1894</t>
  </si>
  <si>
    <t>user1527@example.com</t>
  </si>
  <si>
    <t>927-470-8046</t>
  </si>
  <si>
    <t>C04166</t>
  </si>
  <si>
    <t>user4166@example.com</t>
  </si>
  <si>
    <t>510-440-1359</t>
  </si>
  <si>
    <t>C02111</t>
  </si>
  <si>
    <t>user2111@example.com</t>
  </si>
  <si>
    <t>2023-11-31</t>
  </si>
  <si>
    <t>C04334</t>
  </si>
  <si>
    <t>C04630</t>
  </si>
  <si>
    <t>847.662.8317</t>
  </si>
  <si>
    <t>C04613</t>
  </si>
  <si>
    <t>user4613@example.com</t>
  </si>
  <si>
    <t>905.480.7247</t>
  </si>
  <si>
    <t>C02652</t>
  </si>
  <si>
    <t>user2652@example.com</t>
  </si>
  <si>
    <t>C01109</t>
  </si>
  <si>
    <t>user1109@example.com</t>
  </si>
  <si>
    <t>(598) 286-9234</t>
  </si>
  <si>
    <t>C00150</t>
  </si>
  <si>
    <t>user150@example.com</t>
  </si>
  <si>
    <t>644-752-6797</t>
  </si>
  <si>
    <t>C04567</t>
  </si>
  <si>
    <t>user4567@example.com</t>
  </si>
  <si>
    <t>670 477 7843</t>
  </si>
  <si>
    <t>C04874</t>
  </si>
  <si>
    <t>user4874@example.com</t>
  </si>
  <si>
    <t>625 142 4861</t>
  </si>
  <si>
    <t>C00695</t>
  </si>
  <si>
    <t>836 705 9964</t>
  </si>
  <si>
    <t>C00013</t>
  </si>
  <si>
    <t>user13@example.com</t>
  </si>
  <si>
    <t>505.841.1477</t>
  </si>
  <si>
    <t>C03572</t>
  </si>
  <si>
    <t>user3572@example.com</t>
  </si>
  <si>
    <t>C03270</t>
  </si>
  <si>
    <t>user3270@example.com</t>
  </si>
  <si>
    <t>559-513-6472</t>
  </si>
  <si>
    <t>C01515</t>
  </si>
  <si>
    <t>(497) 995-8573</t>
  </si>
  <si>
    <t>C01785</t>
  </si>
  <si>
    <t>C03711</t>
  </si>
  <si>
    <t>683.733.4185</t>
  </si>
  <si>
    <t>C00732</t>
  </si>
  <si>
    <t>user732@example.com</t>
  </si>
  <si>
    <t>C00752</t>
  </si>
  <si>
    <t>user752@example.com</t>
  </si>
  <si>
    <t>412.483.5968</t>
  </si>
  <si>
    <t>C04941</t>
  </si>
  <si>
    <t>user4941@example.com</t>
  </si>
  <si>
    <t>866 418 2945</t>
  </si>
  <si>
    <t>C01322</t>
  </si>
  <si>
    <t>user1322@example.com</t>
  </si>
  <si>
    <t>817.353.8031</t>
  </si>
  <si>
    <t>C03993</t>
  </si>
  <si>
    <t>user3993@example.com</t>
  </si>
  <si>
    <t>723-217-3378</t>
  </si>
  <si>
    <t>C01860</t>
  </si>
  <si>
    <t>user1860@example.com</t>
  </si>
  <si>
    <t>(442) 883-1973</t>
  </si>
  <si>
    <t>user3560@example.com</t>
  </si>
  <si>
    <t>(243) 922-4612</t>
  </si>
  <si>
    <t>C02888</t>
  </si>
  <si>
    <t>user2888@example.com</t>
  </si>
  <si>
    <t>452 850 1989</t>
  </si>
  <si>
    <t>C01127</t>
  </si>
  <si>
    <t>user1127@example.com</t>
  </si>
  <si>
    <t>C04448</t>
  </si>
  <si>
    <t>user4448@example.com</t>
  </si>
  <si>
    <t>261-980-7843</t>
  </si>
  <si>
    <t>C02128</t>
  </si>
  <si>
    <t>C04930</t>
  </si>
  <si>
    <t>user4930@example.com</t>
  </si>
  <si>
    <t>C01211</t>
  </si>
  <si>
    <t>user1211@example.com</t>
  </si>
  <si>
    <t>685.228.2629</t>
  </si>
  <si>
    <t>C02226</t>
  </si>
  <si>
    <t>user2226@example.com</t>
  </si>
  <si>
    <t>416-911-3317</t>
  </si>
  <si>
    <t>C01416</t>
  </si>
  <si>
    <t>user1887@example.com</t>
  </si>
  <si>
    <t>656.310.9108</t>
  </si>
  <si>
    <t>C02043</t>
  </si>
  <si>
    <t>user2043@example.com</t>
  </si>
  <si>
    <t>C00587</t>
  </si>
  <si>
    <t>user587@example.com</t>
  </si>
  <si>
    <t>C04644</t>
  </si>
  <si>
    <t>user4644@example.com</t>
  </si>
  <si>
    <t>(299) 579-1055</t>
  </si>
  <si>
    <t>C02826</t>
  </si>
  <si>
    <t>user2826@example.com</t>
  </si>
  <si>
    <t>C04184</t>
  </si>
  <si>
    <t>C02340</t>
  </si>
  <si>
    <t>user2340@example.com</t>
  </si>
  <si>
    <t>311-691-8555</t>
  </si>
  <si>
    <t>C00133</t>
  </si>
  <si>
    <t>user133@example.com</t>
  </si>
  <si>
    <t>978.363.1232</t>
  </si>
  <si>
    <t>C01182</t>
  </si>
  <si>
    <t>user1182@example.com</t>
  </si>
  <si>
    <t>661-501-6528</t>
  </si>
  <si>
    <t>C01741</t>
  </si>
  <si>
    <t>user1741@example.com</t>
  </si>
  <si>
    <t>795.457.6426</t>
  </si>
  <si>
    <t>C00978</t>
  </si>
  <si>
    <t>user978@example.com</t>
  </si>
  <si>
    <t>(417) 542-8778</t>
  </si>
  <si>
    <t>C00283</t>
  </si>
  <si>
    <t>user678@example.com</t>
  </si>
  <si>
    <t>340.314.1770</t>
  </si>
  <si>
    <t>C04379</t>
  </si>
  <si>
    <t>(615) 266-6375</t>
  </si>
  <si>
    <t>C04708</t>
  </si>
  <si>
    <t>user4708@example.com</t>
  </si>
  <si>
    <t>C01118</t>
  </si>
  <si>
    <t>user1118@example.com</t>
  </si>
  <si>
    <t>C00288</t>
  </si>
  <si>
    <t>user288@example.com</t>
  </si>
  <si>
    <t>492-474-8624</t>
  </si>
  <si>
    <t>C01414</t>
  </si>
  <si>
    <t>388-465-2249</t>
  </si>
  <si>
    <t>C03136</t>
  </si>
  <si>
    <t>891 176 8090</t>
  </si>
  <si>
    <t>C03686</t>
  </si>
  <si>
    <t>user3686@example.com</t>
  </si>
  <si>
    <t>685 211 8952</t>
  </si>
  <si>
    <t>C04193</t>
  </si>
  <si>
    <t>user4193@example.com</t>
  </si>
  <si>
    <t>C01324</t>
  </si>
  <si>
    <t>user1324@example.com</t>
  </si>
  <si>
    <t>C04731</t>
  </si>
  <si>
    <t>user4731@example.com</t>
  </si>
  <si>
    <t>(175) 268-7985</t>
  </si>
  <si>
    <t>C03866</t>
  </si>
  <si>
    <t>user3866@example.com</t>
  </si>
  <si>
    <t>724-428-8991</t>
  </si>
  <si>
    <t>C01944</t>
  </si>
  <si>
    <t>user1944@example.com</t>
  </si>
  <si>
    <t>517.767.7139</t>
  </si>
  <si>
    <t>C04294</t>
  </si>
  <si>
    <t>C04215</t>
  </si>
  <si>
    <t>user4215@example.com</t>
  </si>
  <si>
    <t>(900) 618-1473</t>
  </si>
  <si>
    <t>C00843</t>
  </si>
  <si>
    <t>user843@example.com</t>
  </si>
  <si>
    <t>542.964.7666</t>
  </si>
  <si>
    <t>C03497</t>
  </si>
  <si>
    <t>C01293</t>
  </si>
  <si>
    <t>user1293@example.com</t>
  </si>
  <si>
    <t>405.462.2755</t>
  </si>
  <si>
    <t>C02693</t>
  </si>
  <si>
    <t>user2693@example.com</t>
  </si>
  <si>
    <t>(648) 323-6656</t>
  </si>
  <si>
    <t>C04544</t>
  </si>
  <si>
    <t>user4544@example.com</t>
  </si>
  <si>
    <t>(972) 234-3139</t>
  </si>
  <si>
    <t>C01766</t>
  </si>
  <si>
    <t>user1766@example.com</t>
  </si>
  <si>
    <t>C04894</t>
  </si>
  <si>
    <t>user4894@example.com</t>
  </si>
  <si>
    <t>412-614-9496</t>
  </si>
  <si>
    <t>C00959</t>
  </si>
  <si>
    <t>user4651@example.com</t>
  </si>
  <si>
    <t>C01349</t>
  </si>
  <si>
    <t>user1349@example.com</t>
  </si>
  <si>
    <t>France</t>
  </si>
  <si>
    <t>659-733-6618</t>
  </si>
  <si>
    <t>C02582</t>
  </si>
  <si>
    <t>user2582@example.com</t>
  </si>
  <si>
    <t>111.752.2921</t>
  </si>
  <si>
    <t>C00682</t>
  </si>
  <si>
    <t>user682@example.com</t>
  </si>
  <si>
    <t>540.216.4714</t>
  </si>
  <si>
    <t>C03974</t>
  </si>
  <si>
    <t>user3974@example.com</t>
  </si>
  <si>
    <t>user1418@example.com</t>
  </si>
  <si>
    <t>C02122</t>
  </si>
  <si>
    <t>user2122@example.com</t>
  </si>
  <si>
    <t>438 196 2001</t>
  </si>
  <si>
    <t>C04602</t>
  </si>
  <si>
    <t>user4602@example.com</t>
  </si>
  <si>
    <t>C02630</t>
  </si>
  <si>
    <t>user2630@example.com</t>
  </si>
  <si>
    <t>445.925.8172</t>
  </si>
  <si>
    <t>C02025</t>
  </si>
  <si>
    <t>user2025@example.com</t>
  </si>
  <si>
    <t>C03283</t>
  </si>
  <si>
    <t>user3283@example.com</t>
  </si>
  <si>
    <t>660 681 5180</t>
  </si>
  <si>
    <t>C02224</t>
  </si>
  <si>
    <t>user2224@example.com</t>
  </si>
  <si>
    <t>C00970</t>
  </si>
  <si>
    <t>user970@example.com</t>
  </si>
  <si>
    <t>291-303-2138</t>
  </si>
  <si>
    <t>C01240</t>
  </si>
  <si>
    <t>user1240@example.com</t>
  </si>
  <si>
    <t>user4517@example.com</t>
  </si>
  <si>
    <t>C04886</t>
  </si>
  <si>
    <t>(267) 121-6909</t>
  </si>
  <si>
    <t>C04679</t>
  </si>
  <si>
    <t>user4679@example.com</t>
  </si>
  <si>
    <t>227 259 7495</t>
  </si>
  <si>
    <t>C04084</t>
  </si>
  <si>
    <t>user4084@example.com</t>
  </si>
  <si>
    <t>C02687</t>
  </si>
  <si>
    <t>user2687@example.com</t>
  </si>
  <si>
    <t>C02446</t>
  </si>
  <si>
    <t>user2446@example.com</t>
  </si>
  <si>
    <t>650.478.8178</t>
  </si>
  <si>
    <t>C00556</t>
  </si>
  <si>
    <t>user556@example.com</t>
  </si>
  <si>
    <t>510-732-8027</t>
  </si>
  <si>
    <t>C02058</t>
  </si>
  <si>
    <t>user2058@example.com</t>
  </si>
  <si>
    <t>885.884.2039</t>
  </si>
  <si>
    <t>C00430</t>
  </si>
  <si>
    <t>user430@example.com</t>
  </si>
  <si>
    <t>246-504-7563</t>
  </si>
  <si>
    <t>C04604</t>
  </si>
  <si>
    <t>user4604@example.com</t>
  </si>
  <si>
    <t>677.583.5437</t>
  </si>
  <si>
    <t>C03566</t>
  </si>
  <si>
    <t>user3566@example.com</t>
  </si>
  <si>
    <t>130.133.1188</t>
  </si>
  <si>
    <t>C04273</t>
  </si>
  <si>
    <t>user4273@example.com</t>
  </si>
  <si>
    <t>136-978-2701</t>
  </si>
  <si>
    <t>C03019</t>
  </si>
  <si>
    <t>user3019@example.com</t>
  </si>
  <si>
    <t>278 114 2844</t>
  </si>
  <si>
    <t>C03541</t>
  </si>
  <si>
    <t>user3541@example.com</t>
  </si>
  <si>
    <t>830.632.9697</t>
  </si>
  <si>
    <t>C04146</t>
  </si>
  <si>
    <t>user4146@example.com</t>
  </si>
  <si>
    <t>255.166.8273</t>
  </si>
  <si>
    <t>C03114</t>
  </si>
  <si>
    <t>user3114@example.com</t>
  </si>
  <si>
    <t>C04376</t>
  </si>
  <si>
    <t>user4376@example.com</t>
  </si>
  <si>
    <t>381 154 8526</t>
  </si>
  <si>
    <t>C00291</t>
  </si>
  <si>
    <t>user291@example.com</t>
  </si>
  <si>
    <t>C03804</t>
  </si>
  <si>
    <t>user3804@example.com</t>
  </si>
  <si>
    <t>816 162 7597</t>
  </si>
  <si>
    <t>C02147</t>
  </si>
  <si>
    <t>user2147@example.com</t>
  </si>
  <si>
    <t>(748) 953-5550</t>
  </si>
  <si>
    <t>C00253</t>
  </si>
  <si>
    <t>699 596 1890</t>
  </si>
  <si>
    <t>C04351</t>
  </si>
  <si>
    <t>user4351@example.com</t>
  </si>
  <si>
    <t>C00351</t>
  </si>
  <si>
    <t>user351@example.com</t>
  </si>
  <si>
    <t>C04807</t>
  </si>
  <si>
    <t>user4807@example.com</t>
  </si>
  <si>
    <t>C02528</t>
  </si>
  <si>
    <t>user2528@example.com</t>
  </si>
  <si>
    <t>(430) 772-9847</t>
  </si>
  <si>
    <t>C03487</t>
  </si>
  <si>
    <t>C00472</t>
  </si>
  <si>
    <t>user472@example.com</t>
  </si>
  <si>
    <t>773 984 7921</t>
  </si>
  <si>
    <t>C00091</t>
  </si>
  <si>
    <t>user91@example.com</t>
  </si>
  <si>
    <t>683.913.5989</t>
  </si>
  <si>
    <t>C01739</t>
  </si>
  <si>
    <t>998.741.9927</t>
  </si>
  <si>
    <t>C01437</t>
  </si>
  <si>
    <t>user1437@example.com</t>
  </si>
  <si>
    <t>C00692</t>
  </si>
  <si>
    <t>user692@example.com</t>
  </si>
  <si>
    <t>C04887</t>
  </si>
  <si>
    <t>user4887@example.com</t>
  </si>
  <si>
    <t>253.247.2851</t>
  </si>
  <si>
    <t>C00027</t>
  </si>
  <si>
    <t>user27@example.com</t>
  </si>
  <si>
    <t>C02293</t>
  </si>
  <si>
    <t>user2293@example.com</t>
  </si>
  <si>
    <t>C03642</t>
  </si>
  <si>
    <t>user3642@example.com</t>
  </si>
  <si>
    <t>(707) 193-4243</t>
  </si>
  <si>
    <t>C03709</t>
  </si>
  <si>
    <t>user3709@example.com</t>
  </si>
  <si>
    <t>(438) 678-2686</t>
  </si>
  <si>
    <t>C00502</t>
  </si>
  <si>
    <t>user502@example.com</t>
  </si>
  <si>
    <t>C04592</t>
  </si>
  <si>
    <t>user4592@example.com</t>
  </si>
  <si>
    <t>644.341.4684</t>
  </si>
  <si>
    <t>C01607</t>
  </si>
  <si>
    <t>user1607@example.com</t>
  </si>
  <si>
    <t>(405) 110-3927</t>
  </si>
  <si>
    <t>C02099</t>
  </si>
  <si>
    <t>user2099@example.com</t>
  </si>
  <si>
    <t>420 767 4862</t>
  </si>
  <si>
    <t>C04607</t>
  </si>
  <si>
    <t>user4607@example.com</t>
  </si>
  <si>
    <t>(387) 229-2295</t>
  </si>
  <si>
    <t>C02978</t>
  </si>
  <si>
    <t>user2978@example.com</t>
  </si>
  <si>
    <t>C04033</t>
  </si>
  <si>
    <t>user4033@example.com</t>
  </si>
  <si>
    <t>333 233 3072</t>
  </si>
  <si>
    <t>C01420</t>
  </si>
  <si>
    <t>user1420@example.com</t>
  </si>
  <si>
    <t>C00255</t>
  </si>
  <si>
    <t>(496) 482-3234</t>
  </si>
  <si>
    <t>C01898</t>
  </si>
  <si>
    <t>user1898@example.com</t>
  </si>
  <si>
    <t>C03404</t>
  </si>
  <si>
    <t>user3404@example.com</t>
  </si>
  <si>
    <t>206 926 9395</t>
  </si>
  <si>
    <t>C01979</t>
  </si>
  <si>
    <t>user1979@example.com</t>
  </si>
  <si>
    <t>813 670 4955</t>
  </si>
  <si>
    <t>user4325@example.com</t>
  </si>
  <si>
    <t>805-147-8141</t>
  </si>
  <si>
    <t>C02527</t>
  </si>
  <si>
    <t>user2527@example.com</t>
  </si>
  <si>
    <t>587.580.5208</t>
  </si>
  <si>
    <t>C01273</t>
  </si>
  <si>
    <t>user1273@example.com</t>
  </si>
  <si>
    <t>C01452</t>
  </si>
  <si>
    <t>user1452@example.com</t>
  </si>
  <si>
    <t>C01262</t>
  </si>
  <si>
    <t>user1262@example.com</t>
  </si>
  <si>
    <t>681 853 5380</t>
  </si>
  <si>
    <t>C04899</t>
  </si>
  <si>
    <t>user4899@example.com</t>
  </si>
  <si>
    <t>C04663</t>
  </si>
  <si>
    <t>user4663@example.com</t>
  </si>
  <si>
    <t>(452) 230-7119</t>
  </si>
  <si>
    <t>C00316</t>
  </si>
  <si>
    <t>C02158</t>
  </si>
  <si>
    <t>user2158@example.com</t>
  </si>
  <si>
    <t>C01095</t>
  </si>
  <si>
    <t>219-889-2512</t>
  </si>
  <si>
    <t>C04911</t>
  </si>
  <si>
    <t>C01116</t>
  </si>
  <si>
    <t>user1116@example.com</t>
  </si>
  <si>
    <t>165.450.1486</t>
  </si>
  <si>
    <t>C03611</t>
  </si>
  <si>
    <t>404 262 1339</t>
  </si>
  <si>
    <t>C03138</t>
  </si>
  <si>
    <t>user3138@example.com</t>
  </si>
  <si>
    <t>C00070</t>
  </si>
  <si>
    <t>886.456.3087</t>
  </si>
  <si>
    <t>C03264</t>
  </si>
  <si>
    <t>user3264@example.com</t>
  </si>
  <si>
    <t>C04049</t>
  </si>
  <si>
    <t>user4049@example.com</t>
  </si>
  <si>
    <t>C01659</t>
  </si>
  <si>
    <t>user1659@example.com</t>
  </si>
  <si>
    <t>C04622</t>
  </si>
  <si>
    <t>895.424.6061</t>
  </si>
  <si>
    <t>C03050</t>
  </si>
  <si>
    <t>C03128</t>
  </si>
  <si>
    <t>870-542-1703</t>
  </si>
  <si>
    <t>C03874</t>
  </si>
  <si>
    <t>414 190 6328</t>
  </si>
  <si>
    <t>C03729</t>
  </si>
  <si>
    <t>user3729@example.com</t>
  </si>
  <si>
    <t>C01500</t>
  </si>
  <si>
    <t>(402) 265-2116</t>
  </si>
  <si>
    <t>C02651</t>
  </si>
  <si>
    <t>user2651@example.com</t>
  </si>
  <si>
    <t>C03655</t>
  </si>
  <si>
    <t>user3655@example.com</t>
  </si>
  <si>
    <t>583.752.9148</t>
  </si>
  <si>
    <t>C01345</t>
  </si>
  <si>
    <t>user1345@example.com</t>
  </si>
  <si>
    <t>C02881</t>
  </si>
  <si>
    <t>user2881@example.com</t>
  </si>
  <si>
    <t>(291) 968-6265</t>
  </si>
  <si>
    <t>C01102</t>
  </si>
  <si>
    <t>user1102@example.com</t>
  </si>
  <si>
    <t>(375) 866-4432</t>
  </si>
  <si>
    <t>C00388</t>
  </si>
  <si>
    <t>user388@example.com</t>
  </si>
  <si>
    <t>C04991</t>
  </si>
  <si>
    <t>user4991@example.com</t>
  </si>
  <si>
    <t>(888) 176-3087</t>
  </si>
  <si>
    <t>C02896</t>
  </si>
  <si>
    <t>611.407.9013</t>
  </si>
  <si>
    <t>C03248</t>
  </si>
  <si>
    <t>user3248@example.com</t>
  </si>
  <si>
    <t>311-175-7021</t>
  </si>
  <si>
    <t>C03602</t>
  </si>
  <si>
    <t>user3602@example.com</t>
  </si>
  <si>
    <t>669-641-1081</t>
  </si>
  <si>
    <t>C01913</t>
  </si>
  <si>
    <t>user1913@example.com</t>
  </si>
  <si>
    <t>C00411</t>
  </si>
  <si>
    <t>user411@example.com</t>
  </si>
  <si>
    <t>C00585</t>
  </si>
  <si>
    <t>user585@example.com</t>
  </si>
  <si>
    <t>865.469.8046</t>
  </si>
  <si>
    <t>C00110</t>
  </si>
  <si>
    <t>user110@example.com</t>
  </si>
  <si>
    <t>665 939 8373</t>
  </si>
  <si>
    <t>C02526</t>
  </si>
  <si>
    <t>user2526@example.com</t>
  </si>
  <si>
    <t>C02743</t>
  </si>
  <si>
    <t>user2743@example.com</t>
  </si>
  <si>
    <t>359 714 1170</t>
  </si>
  <si>
    <t>C03482</t>
  </si>
  <si>
    <t>user3482@example.com</t>
  </si>
  <si>
    <t>324 664 9350</t>
  </si>
  <si>
    <t>C04970</t>
  </si>
  <si>
    <t>user4970@example.com</t>
  </si>
  <si>
    <t>(942) 568-8145</t>
  </si>
  <si>
    <t>C02624</t>
  </si>
  <si>
    <t>user2624@example.com</t>
  </si>
  <si>
    <t>731.651.4728</t>
  </si>
  <si>
    <t>C01169</t>
  </si>
  <si>
    <t>user1169@example.com</t>
  </si>
  <si>
    <t>(611) 796-8467</t>
  </si>
  <si>
    <t>C00120</t>
  </si>
  <si>
    <t>user469@example.com</t>
  </si>
  <si>
    <t>C00830</t>
  </si>
  <si>
    <t>user830@example.com</t>
  </si>
  <si>
    <t>471 137 5599</t>
  </si>
  <si>
    <t>C01619</t>
  </si>
  <si>
    <t>user1619@example.com</t>
  </si>
  <si>
    <t>624 509 4163</t>
  </si>
  <si>
    <t>C03016</t>
  </si>
  <si>
    <t>888.135.2967</t>
  </si>
  <si>
    <t>C01962</t>
  </si>
  <si>
    <t>user1962@example.com</t>
  </si>
  <si>
    <t>C00487</t>
  </si>
  <si>
    <t>user487@example.com</t>
  </si>
  <si>
    <t>C01635</t>
  </si>
  <si>
    <t>user1635@example.com</t>
  </si>
  <si>
    <t>426-804-1178</t>
  </si>
  <si>
    <t>C00743</t>
  </si>
  <si>
    <t>user743@example.com</t>
  </si>
  <si>
    <t>805 601 7830</t>
  </si>
  <si>
    <t>C04425</t>
  </si>
  <si>
    <t>user4425@example.com</t>
  </si>
  <si>
    <t>C00908</t>
  </si>
  <si>
    <t>user908@example.com</t>
  </si>
  <si>
    <t>315.412.8474</t>
  </si>
  <si>
    <t>C02866</t>
  </si>
  <si>
    <t>user2866@example.com</t>
  </si>
  <si>
    <t>C03290</t>
  </si>
  <si>
    <t>user3290@example.com</t>
  </si>
  <si>
    <t>690.671.9977</t>
  </si>
  <si>
    <t>user890@example.com</t>
  </si>
  <si>
    <t>436 266 2717</t>
  </si>
  <si>
    <t>C03527</t>
  </si>
  <si>
    <t>(300) 947-4425</t>
  </si>
  <si>
    <t>C03937</t>
  </si>
  <si>
    <t>C00178</t>
  </si>
  <si>
    <t>user178@example.com</t>
  </si>
  <si>
    <t>832 365 2692</t>
  </si>
  <si>
    <t>C02911</t>
  </si>
  <si>
    <t>user2911@example.com</t>
  </si>
  <si>
    <t>949.974.5549</t>
  </si>
  <si>
    <t>C03275</t>
  </si>
  <si>
    <t>user3275@example.com</t>
  </si>
  <si>
    <t>C00081</t>
  </si>
  <si>
    <t>user81@example.com</t>
  </si>
  <si>
    <t>C04878</t>
  </si>
  <si>
    <t>810.136.4695</t>
  </si>
  <si>
    <t>C02551</t>
  </si>
  <si>
    <t>user2551@example.com</t>
  </si>
  <si>
    <t>C04221</t>
  </si>
  <si>
    <t>user4221@example.com</t>
  </si>
  <si>
    <t>C02618</t>
  </si>
  <si>
    <t>user2618@example.com</t>
  </si>
  <si>
    <t>938.799.6636</t>
  </si>
  <si>
    <t>C02901</t>
  </si>
  <si>
    <t>user2901@example.com</t>
  </si>
  <si>
    <t>989 575 8408</t>
  </si>
  <si>
    <t>C03236</t>
  </si>
  <si>
    <t>user222@example.com</t>
  </si>
  <si>
    <t>C00094</t>
  </si>
  <si>
    <t>user94@example.com</t>
  </si>
  <si>
    <t>C02628</t>
  </si>
  <si>
    <t>user2628@example.com</t>
  </si>
  <si>
    <t>C00928</t>
  </si>
  <si>
    <t>user928@example.com</t>
  </si>
  <si>
    <t>685 260 7129</t>
  </si>
  <si>
    <t>C00232</t>
  </si>
  <si>
    <t>user3966@example.com</t>
  </si>
  <si>
    <t>C01559</t>
  </si>
  <si>
    <t>user1559@example.com</t>
  </si>
  <si>
    <t>C03126</t>
  </si>
  <si>
    <t>user3382@example.com</t>
  </si>
  <si>
    <t>C02108</t>
  </si>
  <si>
    <t>user2108@example.com</t>
  </si>
  <si>
    <t>C01057</t>
  </si>
  <si>
    <t>user1057@example.com</t>
  </si>
  <si>
    <t>C03054</t>
  </si>
  <si>
    <t>user3054@example.com</t>
  </si>
  <si>
    <t>C03693</t>
  </si>
  <si>
    <t>user3693@example.com</t>
  </si>
  <si>
    <t>405.343.8813</t>
  </si>
  <si>
    <t>C00813</t>
  </si>
  <si>
    <t>user813@example.com</t>
  </si>
  <si>
    <t>C01642</t>
  </si>
  <si>
    <t>user3932@example.com</t>
  </si>
  <si>
    <t>124.645.3704</t>
  </si>
  <si>
    <t>C01874</t>
  </si>
  <si>
    <t>C04576</t>
  </si>
  <si>
    <t>user4576@example.com</t>
  </si>
  <si>
    <t>C02592</t>
  </si>
  <si>
    <t>user2592@example.com</t>
  </si>
  <si>
    <t>849-717-6940</t>
  </si>
  <si>
    <t>C01865</t>
  </si>
  <si>
    <t>C02941</t>
  </si>
  <si>
    <t>user2941@example.com</t>
  </si>
  <si>
    <t>(943) 930-4083</t>
  </si>
  <si>
    <t>C03426</t>
  </si>
  <si>
    <t>user3426@example.com</t>
  </si>
  <si>
    <t>126-391-6369</t>
  </si>
  <si>
    <t>C00623</t>
  </si>
  <si>
    <t>user2928@example.com</t>
  </si>
  <si>
    <t>C00600</t>
  </si>
  <si>
    <t>user600@example.com</t>
  </si>
  <si>
    <t>178 352 9161</t>
  </si>
  <si>
    <t>C02005</t>
  </si>
  <si>
    <t>user2005@example.com</t>
  </si>
  <si>
    <t>C04735</t>
  </si>
  <si>
    <t>user4735@example.com</t>
  </si>
  <si>
    <t>447 812 9690</t>
  </si>
  <si>
    <t>C00878</t>
  </si>
  <si>
    <t>user878@example.com</t>
  </si>
  <si>
    <t>230-419-8140</t>
  </si>
  <si>
    <t>C04145</t>
  </si>
  <si>
    <t>372-563-9383</t>
  </si>
  <si>
    <t>user1651@example.com</t>
  </si>
  <si>
    <t>646-640-1640</t>
  </si>
  <si>
    <t>C01413</t>
  </si>
  <si>
    <t>user1413@example.com</t>
  </si>
  <si>
    <t>273 212 4678</t>
  </si>
  <si>
    <t>C04861</t>
  </si>
  <si>
    <t>user4861@example.com</t>
  </si>
  <si>
    <t>C01695</t>
  </si>
  <si>
    <t>user1695@example.com</t>
  </si>
  <si>
    <t>C01783</t>
  </si>
  <si>
    <t>user1783@example.com</t>
  </si>
  <si>
    <t>376-949-2753</t>
  </si>
  <si>
    <t>C02655</t>
  </si>
  <si>
    <t>user2655@example.com</t>
  </si>
  <si>
    <t>C01719</t>
  </si>
  <si>
    <t>274-795-1159</t>
  </si>
  <si>
    <t>C02120</t>
  </si>
  <si>
    <t>user2120@example.com</t>
  </si>
  <si>
    <t>818.292.4264</t>
  </si>
  <si>
    <t>C02846</t>
  </si>
  <si>
    <t>user2846@example.com</t>
  </si>
  <si>
    <t>379-867-8505</t>
  </si>
  <si>
    <t>C04017</t>
  </si>
  <si>
    <t>user4017@example.com</t>
  </si>
  <si>
    <t>838.489.2081</t>
  </si>
  <si>
    <t>C00220</t>
  </si>
  <si>
    <t>user220@example.com</t>
  </si>
  <si>
    <t>223-380-3314</t>
  </si>
  <si>
    <t>C01685</t>
  </si>
  <si>
    <t>user1685@example.com</t>
  </si>
  <si>
    <t>(324) 472-7317</t>
  </si>
  <si>
    <t>C03911</t>
  </si>
  <si>
    <t>user3911@example.com</t>
  </si>
  <si>
    <t>C00725</t>
  </si>
  <si>
    <t>user725@example.com</t>
  </si>
  <si>
    <t>C02795</t>
  </si>
  <si>
    <t>574 472 6534</t>
  </si>
  <si>
    <t>C02482</t>
  </si>
  <si>
    <t>user2482@example.com</t>
  </si>
  <si>
    <t>C04526</t>
  </si>
  <si>
    <t>C00044</t>
  </si>
  <si>
    <t>user44@example.com</t>
  </si>
  <si>
    <t>C01039</t>
  </si>
  <si>
    <t>user1039@example.com</t>
  </si>
  <si>
    <t>(750) 879-6209</t>
  </si>
  <si>
    <t>C00211</t>
  </si>
  <si>
    <t>user211@example.com</t>
  </si>
  <si>
    <t>276-747-1818</t>
  </si>
  <si>
    <t>C02324</t>
  </si>
  <si>
    <t>user2324@example.com</t>
  </si>
  <si>
    <t>(979) 513-9107</t>
  </si>
  <si>
    <t>C00355</t>
  </si>
  <si>
    <t>user355@example.com</t>
  </si>
  <si>
    <t>C04849</t>
  </si>
  <si>
    <t>user4849@example.com</t>
  </si>
  <si>
    <t>(377) 833-3159</t>
  </si>
  <si>
    <t>C01085</t>
  </si>
  <si>
    <t>user1085@example.com</t>
  </si>
  <si>
    <t>C04430</t>
  </si>
  <si>
    <t>user4430@example.com</t>
  </si>
  <si>
    <t>C02766</t>
  </si>
  <si>
    <t>C00368</t>
  </si>
  <si>
    <t>user368@example.com</t>
  </si>
  <si>
    <t>C03825</t>
  </si>
  <si>
    <t>user3825@example.com</t>
  </si>
  <si>
    <t>C03741</t>
  </si>
  <si>
    <t>user3741@example.com</t>
  </si>
  <si>
    <t>(101) 106-9419</t>
  </si>
  <si>
    <t>C03859</t>
  </si>
  <si>
    <t>user3859@example.com</t>
  </si>
  <si>
    <t>498.271.3815</t>
  </si>
  <si>
    <t>C00136</t>
  </si>
  <si>
    <t>285 918 9640</t>
  </si>
  <si>
    <t>C00806</t>
  </si>
  <si>
    <t>user806@example.com</t>
  </si>
  <si>
    <t>C00048</t>
  </si>
  <si>
    <t>user48@example.com</t>
  </si>
  <si>
    <t>(261) 380-2875</t>
  </si>
  <si>
    <t>C00788</t>
  </si>
  <si>
    <t>user788@example.com</t>
  </si>
  <si>
    <t>C02520</t>
  </si>
  <si>
    <t>user2520@example.com</t>
  </si>
  <si>
    <t>915 745 7425</t>
  </si>
  <si>
    <t>user4978@example.com</t>
  </si>
  <si>
    <t>353-544-5992</t>
  </si>
  <si>
    <t>C02003</t>
  </si>
  <si>
    <t>user2003@example.com</t>
  </si>
  <si>
    <t>311-665-9334</t>
  </si>
  <si>
    <t>C01615</t>
  </si>
  <si>
    <t>user1615@example.com</t>
  </si>
  <si>
    <t>(325) 185-3073</t>
  </si>
  <si>
    <t>C00058</t>
  </si>
  <si>
    <t>user62@example.com</t>
  </si>
  <si>
    <t>C03257</t>
  </si>
  <si>
    <t>user3257@example.com</t>
  </si>
  <si>
    <t>577 829 8621</t>
  </si>
  <si>
    <t>C01698</t>
  </si>
  <si>
    <t>user1698@example.com</t>
  </si>
  <si>
    <t>379 478 2602</t>
  </si>
  <si>
    <t>C00096</t>
  </si>
  <si>
    <t>user96@example.com</t>
  </si>
  <si>
    <t>820-673-6885</t>
  </si>
  <si>
    <t>C00479</t>
  </si>
  <si>
    <t>user479@example.com</t>
  </si>
  <si>
    <t>(729) 406-6952</t>
  </si>
  <si>
    <t>C04293</t>
  </si>
  <si>
    <t>user4293@example.com</t>
  </si>
  <si>
    <t>C03918</t>
  </si>
  <si>
    <t>user3918@example.com</t>
  </si>
  <si>
    <t>C01996</t>
  </si>
  <si>
    <t>user1996@example.com</t>
  </si>
  <si>
    <t>(246) 142-4451</t>
  </si>
  <si>
    <t>510.237.6177</t>
  </si>
  <si>
    <t>user4642@example.com</t>
  </si>
  <si>
    <t>(691) 540-7558</t>
  </si>
  <si>
    <t>C02031</t>
  </si>
  <si>
    <t>user2634@example.com</t>
  </si>
  <si>
    <t>C00323</t>
  </si>
  <si>
    <t>user323@example.com</t>
  </si>
  <si>
    <t>688.229.8223</t>
  </si>
  <si>
    <t>C01129</t>
  </si>
  <si>
    <t>user1129@example.com</t>
  </si>
  <si>
    <t>103-567-7583</t>
  </si>
  <si>
    <t>C02232</t>
  </si>
  <si>
    <t>user2232@example.com</t>
  </si>
  <si>
    <t>(801) 668-7131</t>
  </si>
  <si>
    <t>C02860</t>
  </si>
  <si>
    <t>user2860@example.com</t>
  </si>
  <si>
    <t>166.257.4882</t>
  </si>
  <si>
    <t>C01508</t>
  </si>
  <si>
    <t>475 624 6138</t>
  </si>
  <si>
    <t>C01426</t>
  </si>
  <si>
    <t>user1426@example.com</t>
  </si>
  <si>
    <t>C01744</t>
  </si>
  <si>
    <t>user1744@example.com</t>
  </si>
  <si>
    <t>C04534</t>
  </si>
  <si>
    <t>user4534@example.com</t>
  </si>
  <si>
    <t>C03485</t>
  </si>
  <si>
    <t>user3485@example.com</t>
  </si>
  <si>
    <t>C00292</t>
  </si>
  <si>
    <t>user292@example.com</t>
  </si>
  <si>
    <t>(442) 344-9841</t>
  </si>
  <si>
    <t>C01871</t>
  </si>
  <si>
    <t>user1871@example.com</t>
  </si>
  <si>
    <t>C00912</t>
  </si>
  <si>
    <t>(645) 487-7131</t>
  </si>
  <si>
    <t>C00534</t>
  </si>
  <si>
    <t>user534@example.com</t>
  </si>
  <si>
    <t>315.980.3625</t>
  </si>
  <si>
    <t>C04787</t>
  </si>
  <si>
    <t>user4787@example.com</t>
  </si>
  <si>
    <t>C01097</t>
  </si>
  <si>
    <t>user1097@example.com</t>
  </si>
  <si>
    <t>C01667</t>
  </si>
  <si>
    <t>user1667@example.com</t>
  </si>
  <si>
    <t>804.727.7218</t>
  </si>
  <si>
    <t>C03610</t>
  </si>
  <si>
    <t>C02289</t>
  </si>
  <si>
    <t>user2289@example.com</t>
  </si>
  <si>
    <t>C02169</t>
  </si>
  <si>
    <t>user2169@example.com</t>
  </si>
  <si>
    <t>554-752-2021</t>
  </si>
  <si>
    <t>C03186</t>
  </si>
  <si>
    <t>user3941@example.com</t>
  </si>
  <si>
    <t>773 667 4950</t>
  </si>
  <si>
    <t>C04546</t>
  </si>
  <si>
    <t>user4546@example.com</t>
  </si>
  <si>
    <t>970.230.2691</t>
  </si>
  <si>
    <t>C03786</t>
  </si>
  <si>
    <t>user3786@example.com</t>
  </si>
  <si>
    <t>C01407</t>
  </si>
  <si>
    <t>user1407@example.com</t>
  </si>
  <si>
    <t>944-145-2684</t>
  </si>
  <si>
    <t>C02496</t>
  </si>
  <si>
    <t>user2496@example.com</t>
  </si>
  <si>
    <t>600-858-6871</t>
  </si>
  <si>
    <t>C02765</t>
  </si>
  <si>
    <t>user2765@example.com</t>
  </si>
  <si>
    <t>489 256 5780</t>
  </si>
  <si>
    <t>C03990</t>
  </si>
  <si>
    <t>user3990@example.com</t>
  </si>
  <si>
    <t>726-943-4216</t>
  </si>
  <si>
    <t>C02390</t>
  </si>
  <si>
    <t>user2390@example.com</t>
  </si>
  <si>
    <t>916.857.3993</t>
  </si>
  <si>
    <t>user3064@example.com</t>
  </si>
  <si>
    <t>(654) 753-2582</t>
  </si>
  <si>
    <t>C04597</t>
  </si>
  <si>
    <t>128 482 5375</t>
  </si>
  <si>
    <t>C03044</t>
  </si>
  <si>
    <t>user3044@example.com</t>
  </si>
  <si>
    <t>542.188.5148</t>
  </si>
  <si>
    <t>user3666@example.com</t>
  </si>
  <si>
    <t>C04882</t>
  </si>
  <si>
    <t>user4882@example.com</t>
  </si>
  <si>
    <t>C04540</t>
  </si>
  <si>
    <t>user4540@example.com</t>
  </si>
  <si>
    <t>C04936</t>
  </si>
  <si>
    <t>user4936@example.com</t>
  </si>
  <si>
    <t>C00634</t>
  </si>
  <si>
    <t>user634@example.com</t>
  </si>
  <si>
    <t>C02949</t>
  </si>
  <si>
    <t>user2949@example.com</t>
  </si>
  <si>
    <t>477-576-3418</t>
  </si>
  <si>
    <t>C04530</t>
  </si>
  <si>
    <t>user4530@example.com</t>
  </si>
  <si>
    <t>773-198-9419</t>
  </si>
  <si>
    <t>C03165</t>
  </si>
  <si>
    <t>user3165@example.com</t>
  </si>
  <si>
    <t>932 663 7440</t>
  </si>
  <si>
    <t>C03685</t>
  </si>
  <si>
    <t>user3685@example.com</t>
  </si>
  <si>
    <t>621 663 4004</t>
  </si>
  <si>
    <t>C03319</t>
  </si>
  <si>
    <t>user3319@example.com</t>
  </si>
  <si>
    <t>269-417-6409</t>
  </si>
  <si>
    <t>C04918</t>
  </si>
  <si>
    <t>user4918@example.com</t>
  </si>
  <si>
    <t>2023-00-15</t>
  </si>
  <si>
    <t>C02255</t>
  </si>
  <si>
    <t>user2255@example.com</t>
  </si>
  <si>
    <t>C01205</t>
  </si>
  <si>
    <t>user1205@example.com</t>
  </si>
  <si>
    <t>111.222.2910</t>
  </si>
  <si>
    <t>C03271</t>
  </si>
  <si>
    <t>user3271@example.com</t>
  </si>
  <si>
    <t>C02620</t>
  </si>
  <si>
    <t>user2620@example.com</t>
  </si>
  <si>
    <t>432-569-5311</t>
  </si>
  <si>
    <t>C02857</t>
  </si>
  <si>
    <t>user2857@example.com</t>
  </si>
  <si>
    <t>787 186 6220</t>
  </si>
  <si>
    <t>C03348</t>
  </si>
  <si>
    <t>user3348@example.com</t>
  </si>
  <si>
    <t>C01963</t>
  </si>
  <si>
    <t>user1963@example.com</t>
  </si>
  <si>
    <t>C04337</t>
  </si>
  <si>
    <t>user4337@example.com</t>
  </si>
  <si>
    <t>C01533</t>
  </si>
  <si>
    <t>user1533@example.com</t>
  </si>
  <si>
    <t>637 319 5250</t>
  </si>
  <si>
    <t>C00199</t>
  </si>
  <si>
    <t>user3297@example.com</t>
  </si>
  <si>
    <t>705-407-5221</t>
  </si>
  <si>
    <t>C00071</t>
  </si>
  <si>
    <t>user71@example.com</t>
  </si>
  <si>
    <t>C01771</t>
  </si>
  <si>
    <t>user1771@example.com</t>
  </si>
  <si>
    <t>241-639-8240</t>
  </si>
  <si>
    <t>C01145</t>
  </si>
  <si>
    <t>user1145@example.com</t>
  </si>
  <si>
    <t>272 556 2895</t>
  </si>
  <si>
    <t>C04340</t>
  </si>
  <si>
    <t>user4340@example.com</t>
  </si>
  <si>
    <t>671 668 9520</t>
  </si>
  <si>
    <t>C03259</t>
  </si>
  <si>
    <t>user3259@example.com</t>
  </si>
  <si>
    <t>152 351 3384</t>
  </si>
  <si>
    <t>C03177</t>
  </si>
  <si>
    <t>user3177@example.com</t>
  </si>
  <si>
    <t>214-445-5541</t>
  </si>
  <si>
    <t>C04721</t>
  </si>
  <si>
    <t>user4721@example.com</t>
  </si>
  <si>
    <t>(161) 588-1008</t>
  </si>
  <si>
    <t>C02298</t>
  </si>
  <si>
    <t>user2298@example.com</t>
  </si>
  <si>
    <t>C04407</t>
  </si>
  <si>
    <t>user4407@example.com</t>
  </si>
  <si>
    <t>C02332</t>
  </si>
  <si>
    <t>user2332@example.com</t>
  </si>
  <si>
    <t>713-684-7697</t>
  </si>
  <si>
    <t>C01201</t>
  </si>
  <si>
    <t>user1201@example.com</t>
  </si>
  <si>
    <t>600 409 3826</t>
  </si>
  <si>
    <t>user1406@example.com</t>
  </si>
  <si>
    <t>C01445</t>
  </si>
  <si>
    <t>812-820-3344</t>
  </si>
  <si>
    <t>C02155</t>
  </si>
  <si>
    <t>user2155@example.com</t>
  </si>
  <si>
    <t>483 283 1174</t>
  </si>
  <si>
    <t>C02695</t>
  </si>
  <si>
    <t>user2695@example.com</t>
  </si>
  <si>
    <t>C00894</t>
  </si>
  <si>
    <t>C03775</t>
  </si>
  <si>
    <t>user3775@example.com</t>
  </si>
  <si>
    <t>(944) 625-6206</t>
  </si>
  <si>
    <t>C04239</t>
  </si>
  <si>
    <t>user4239@example.com</t>
  </si>
  <si>
    <t>(835) 518-5310</t>
  </si>
  <si>
    <t>C04240</t>
  </si>
  <si>
    <t>user4240@example.com</t>
  </si>
  <si>
    <t>(753) 931-7963</t>
  </si>
  <si>
    <t>C02074</t>
  </si>
  <si>
    <t>115-860-9875</t>
  </si>
  <si>
    <t>C02243</t>
  </si>
  <si>
    <t>user2243@example.com</t>
  </si>
  <si>
    <t>761-335-3262</t>
  </si>
  <si>
    <t>C01042</t>
  </si>
  <si>
    <t>623 755 4808</t>
  </si>
  <si>
    <t>C02178</t>
  </si>
  <si>
    <t>user2178@example.com</t>
  </si>
  <si>
    <t>C00301</t>
  </si>
  <si>
    <t>user747@example.com</t>
  </si>
  <si>
    <t>C00735</t>
  </si>
  <si>
    <t>user735@example.com</t>
  </si>
  <si>
    <t>435-628-4154</t>
  </si>
  <si>
    <t>C01906</t>
  </si>
  <si>
    <t>user1906@example.com</t>
  </si>
  <si>
    <t>C04065</t>
  </si>
  <si>
    <t>user4065@example.com</t>
  </si>
  <si>
    <t>117-678-8128</t>
  </si>
  <si>
    <t>C01936</t>
  </si>
  <si>
    <t>user1936@example.com</t>
  </si>
  <si>
    <t>116.794.6789</t>
  </si>
  <si>
    <t>C02245</t>
  </si>
  <si>
    <t>user2245@example.com</t>
  </si>
  <si>
    <t>C01594</t>
  </si>
  <si>
    <t>C03626</t>
  </si>
  <si>
    <t>user3626@example.com</t>
  </si>
  <si>
    <t>C01704</t>
  </si>
  <si>
    <t>user1704@example.com</t>
  </si>
  <si>
    <t>324-217-1870</t>
  </si>
  <si>
    <t>C01472</t>
  </si>
  <si>
    <t>user1472@example.com</t>
  </si>
  <si>
    <t>717.897.6496</t>
  </si>
  <si>
    <t>C02723</t>
  </si>
  <si>
    <t>user2723@example.com</t>
  </si>
  <si>
    <t>(756) 421-1785</t>
  </si>
  <si>
    <t>C03621</t>
  </si>
  <si>
    <t>user3621@example.com</t>
  </si>
  <si>
    <t>656.799.4063</t>
  </si>
  <si>
    <t>C01542</t>
  </si>
  <si>
    <t>user1542@example.com</t>
  </si>
  <si>
    <t>780.943.6185</t>
  </si>
  <si>
    <t>C00234</t>
  </si>
  <si>
    <t>user234@example.com</t>
  </si>
  <si>
    <t>C04581</t>
  </si>
  <si>
    <t>user4581@example.com</t>
  </si>
  <si>
    <t>321.904.7732</t>
  </si>
  <si>
    <t>C01117</t>
  </si>
  <si>
    <t>user2410@example.com</t>
  </si>
  <si>
    <t>C00416</t>
  </si>
  <si>
    <t>user416@example.com</t>
  </si>
  <si>
    <t>789 209 3963</t>
  </si>
  <si>
    <t>C01371</t>
  </si>
  <si>
    <t>user1371@example.com</t>
  </si>
  <si>
    <t>236.376.1844</t>
  </si>
  <si>
    <t>C00656</t>
  </si>
  <si>
    <t>user656@example.com</t>
  </si>
  <si>
    <t>C01599</t>
  </si>
  <si>
    <t>user1599@example.com</t>
  </si>
  <si>
    <t>570-710-3010</t>
  </si>
  <si>
    <t>C04036</t>
  </si>
  <si>
    <t>user4036@example.com</t>
  </si>
  <si>
    <t>C00018</t>
  </si>
  <si>
    <t>user18@example.com</t>
  </si>
  <si>
    <t>C01221</t>
  </si>
  <si>
    <t>user1221@example.com</t>
  </si>
  <si>
    <t>C01727</t>
  </si>
  <si>
    <t>user1727@example.com</t>
  </si>
  <si>
    <t>C02368</t>
  </si>
  <si>
    <t>user2368@example.com</t>
  </si>
  <si>
    <t>830 550 5831</t>
  </si>
  <si>
    <t>C00597</t>
  </si>
  <si>
    <t>user597@example.com</t>
  </si>
  <si>
    <t>284.954.3757</t>
  </si>
  <si>
    <t>C03952</t>
  </si>
  <si>
    <t>user3952@example.com</t>
  </si>
  <si>
    <t>(270) 432-6958</t>
  </si>
  <si>
    <t>C02493</t>
  </si>
  <si>
    <t>user2493@example.com</t>
  </si>
  <si>
    <t>C00965</t>
  </si>
  <si>
    <t>user965@example.com</t>
  </si>
  <si>
    <t>C02173</t>
  </si>
  <si>
    <t>user2173@example.com</t>
  </si>
  <si>
    <t>C01434</t>
  </si>
  <si>
    <t>user1434@example.com</t>
  </si>
  <si>
    <t>C02347</t>
  </si>
  <si>
    <t>user2347@example.com</t>
  </si>
  <si>
    <t>901-527-5260</t>
  </si>
  <si>
    <t>C00372</t>
  </si>
  <si>
    <t>user372@example.com</t>
  </si>
  <si>
    <t>266.695.1958</t>
  </si>
  <si>
    <t>C01362</t>
  </si>
  <si>
    <t>user1362@example.com</t>
  </si>
  <si>
    <t>675 898 7393</t>
  </si>
  <si>
    <t>2023-14-01</t>
  </si>
  <si>
    <t>C00599</t>
  </si>
  <si>
    <t>user599@example.com</t>
  </si>
  <si>
    <t>C00239</t>
  </si>
  <si>
    <t>user239@example.com</t>
  </si>
  <si>
    <t>154.298.2846</t>
  </si>
  <si>
    <t>C00401</t>
  </si>
  <si>
    <t>user4278@example.com</t>
  </si>
  <si>
    <t>786.468.5286</t>
  </si>
  <si>
    <t>C03839</t>
  </si>
  <si>
    <t>user3839@example.com</t>
  </si>
  <si>
    <t>(427) 628-4213</t>
  </si>
  <si>
    <t>C01591</t>
  </si>
  <si>
    <t>user1591@example.com</t>
  </si>
  <si>
    <t>C01809</t>
  </si>
  <si>
    <t>user1809@example.com</t>
  </si>
  <si>
    <t>677-498-1180</t>
  </si>
  <si>
    <t>C03640</t>
  </si>
  <si>
    <t>C04914</t>
  </si>
  <si>
    <t>user4914@example.com</t>
  </si>
  <si>
    <t>(143) 255-6205</t>
  </si>
  <si>
    <t>C03889</t>
  </si>
  <si>
    <t>106 378 6914</t>
  </si>
  <si>
    <t>C04462</t>
  </si>
  <si>
    <t>user4462@example.com</t>
  </si>
  <si>
    <t>(806) 692-2941</t>
  </si>
  <si>
    <t>C04674</t>
  </si>
  <si>
    <t>150-664-8522</t>
  </si>
  <si>
    <t>C03318</t>
  </si>
  <si>
    <t>user3318@example.com</t>
  </si>
  <si>
    <t>C04020</t>
  </si>
  <si>
    <t>user4020@example.com</t>
  </si>
  <si>
    <t>(897) 811-9135</t>
  </si>
  <si>
    <t>C00722</t>
  </si>
  <si>
    <t>user722@example.com</t>
  </si>
  <si>
    <t>623-665-6115</t>
  </si>
  <si>
    <t>C00839</t>
  </si>
  <si>
    <t>user839@example.com</t>
  </si>
  <si>
    <t>(968) 794-1378</t>
  </si>
  <si>
    <t>C01546</t>
  </si>
  <si>
    <t>C01171</t>
  </si>
  <si>
    <t>user1171@example.com</t>
  </si>
  <si>
    <t>C04267</t>
  </si>
  <si>
    <t>user4267@example.com</t>
  </si>
  <si>
    <t>(946) 142-5176</t>
  </si>
  <si>
    <t>C00829</t>
  </si>
  <si>
    <t>user829@example.com</t>
  </si>
  <si>
    <t>C03278</t>
  </si>
  <si>
    <t>C01745</t>
  </si>
  <si>
    <t>user1745@example.com</t>
  </si>
  <si>
    <t>914 565 6685</t>
  </si>
  <si>
    <t>C05000</t>
  </si>
  <si>
    <t>user5000@example.com</t>
  </si>
  <si>
    <t>C01210</t>
  </si>
  <si>
    <t>user1210@example.com</t>
  </si>
  <si>
    <t>C03210</t>
  </si>
  <si>
    <t>user3451@example.com</t>
  </si>
  <si>
    <t>239.514.7742</t>
  </si>
  <si>
    <t>user622@example.com</t>
  </si>
  <si>
    <t>745 536 2522</t>
  </si>
  <si>
    <t>C02315</t>
  </si>
  <si>
    <t>user2315@example.com</t>
  </si>
  <si>
    <t>650 234 7200</t>
  </si>
  <si>
    <t>C03654</t>
  </si>
  <si>
    <t>user3654@example.com</t>
  </si>
  <si>
    <t>350-804-7181</t>
  </si>
  <si>
    <t>C00567</t>
  </si>
  <si>
    <t>user567@example.com</t>
  </si>
  <si>
    <t>284 518 3391</t>
  </si>
  <si>
    <t>C01488</t>
  </si>
  <si>
    <t>user1488@example.com</t>
  </si>
  <si>
    <t>C03129</t>
  </si>
  <si>
    <t>user3129@example.com</t>
  </si>
  <si>
    <t>899.504.1453</t>
  </si>
  <si>
    <t>C04270</t>
  </si>
  <si>
    <t>user4270@example.com</t>
  </si>
  <si>
    <t>836.658.9241</t>
  </si>
  <si>
    <t>C00052</t>
  </si>
  <si>
    <t>user52@example.com</t>
  </si>
  <si>
    <t>C04638</t>
  </si>
  <si>
    <t>user4638@example.com</t>
  </si>
  <si>
    <t>C03961</t>
  </si>
  <si>
    <t>user3961@example.com</t>
  </si>
  <si>
    <t>C02758</t>
  </si>
  <si>
    <t>(546) 730-7076</t>
  </si>
  <si>
    <t>C03291</t>
  </si>
  <si>
    <t>user3291@example.com</t>
  </si>
  <si>
    <t>C00535</t>
  </si>
  <si>
    <t>user535@example.com</t>
  </si>
  <si>
    <t>746 424 7656</t>
  </si>
  <si>
    <t>C04408</t>
  </si>
  <si>
    <t>user4408@example.com</t>
  </si>
  <si>
    <t>(585) 307-6093</t>
  </si>
  <si>
    <t>C02105</t>
  </si>
  <si>
    <t>user2105@example.com</t>
  </si>
  <si>
    <t>(302) 548-2862</t>
  </si>
  <si>
    <t>C00444</t>
  </si>
  <si>
    <t>user444@example.com</t>
  </si>
  <si>
    <t>(491) 719-6356</t>
  </si>
  <si>
    <t>user2253@example.com</t>
  </si>
  <si>
    <t>C00196</t>
  </si>
  <si>
    <t>user196@example.com</t>
  </si>
  <si>
    <t>C03627</t>
  </si>
  <si>
    <t>user3627@example.com</t>
  </si>
  <si>
    <t>730-380-6926</t>
  </si>
  <si>
    <t>C04480</t>
  </si>
  <si>
    <t>user4480@example.com</t>
  </si>
  <si>
    <t>C03027</t>
  </si>
  <si>
    <t>user3027@example.com</t>
  </si>
  <si>
    <t>C03023</t>
  </si>
  <si>
    <t>user3023@example.com</t>
  </si>
  <si>
    <t>848-808-3511</t>
  </si>
  <si>
    <t>C04809</t>
  </si>
  <si>
    <t>user4809@example.com</t>
  </si>
  <si>
    <t>(655) 663-7078</t>
  </si>
  <si>
    <t>C02986</t>
  </si>
  <si>
    <t>user2986@example.com</t>
  </si>
  <si>
    <t>317 255 9785</t>
  </si>
  <si>
    <t>C03846</t>
  </si>
  <si>
    <t>user3846@example.com</t>
  </si>
  <si>
    <t>C02943</t>
  </si>
  <si>
    <t>user2943@example.com</t>
  </si>
  <si>
    <t>C00645</t>
  </si>
  <si>
    <t>user645@example.com</t>
  </si>
  <si>
    <t>733.932.6910</t>
  </si>
  <si>
    <t>C00808</t>
  </si>
  <si>
    <t>user808@example.com</t>
  </si>
  <si>
    <t>C03544</t>
  </si>
  <si>
    <t>C04455</t>
  </si>
  <si>
    <t>user4455@example.com</t>
  </si>
  <si>
    <t>202 883 8257</t>
  </si>
  <si>
    <t>C04418</t>
  </si>
  <si>
    <t>298 702 9977</t>
  </si>
  <si>
    <t>C00121</t>
  </si>
  <si>
    <t>user121@example.com</t>
  </si>
  <si>
    <t>745 859 2279</t>
  </si>
  <si>
    <t>C02442</t>
  </si>
  <si>
    <t>user2442@example.com</t>
  </si>
  <si>
    <t>899-775-7390</t>
  </si>
  <si>
    <t>C01993</t>
  </si>
  <si>
    <t>user1993@example.com</t>
  </si>
  <si>
    <t>149.677.9481</t>
  </si>
  <si>
    <t>user4904@example.com</t>
  </si>
  <si>
    <t>(998) 712-6186</t>
  </si>
  <si>
    <t>C02852</t>
  </si>
  <si>
    <t>user2852@example.com</t>
  </si>
  <si>
    <t>C00496</t>
  </si>
  <si>
    <t>user2239@example.com</t>
  </si>
  <si>
    <t>785 858 1440</t>
  </si>
  <si>
    <t>C00135</t>
  </si>
  <si>
    <t>user135@example.com</t>
  </si>
  <si>
    <t>(367) 901-4869</t>
  </si>
  <si>
    <t>C03403</t>
  </si>
  <si>
    <t>user3403@example.com</t>
  </si>
  <si>
    <t>448-973-7377</t>
  </si>
  <si>
    <t>C01984</t>
  </si>
  <si>
    <t>user1984@example.com</t>
  </si>
  <si>
    <t>518 745 8368</t>
  </si>
  <si>
    <t>C02708</t>
  </si>
  <si>
    <t>142 466 1960</t>
  </si>
  <si>
    <t>C00022</t>
  </si>
  <si>
    <t>user185@example.com</t>
  </si>
  <si>
    <t>C03198</t>
  </si>
  <si>
    <t>user3198@example.com</t>
  </si>
  <si>
    <t>C02560</t>
  </si>
  <si>
    <t>user2560@example.com</t>
  </si>
  <si>
    <t>303-851-6798</t>
  </si>
  <si>
    <t>user512@example.com</t>
  </si>
  <si>
    <t>516-472-2479</t>
  </si>
  <si>
    <t>C00842</t>
  </si>
  <si>
    <t>user842@example.com</t>
  </si>
  <si>
    <t>756 789 1849</t>
  </si>
  <si>
    <t>C04079</t>
  </si>
  <si>
    <t>user4079@example.com</t>
  </si>
  <si>
    <t>438.741.1408</t>
  </si>
  <si>
    <t>C02963</t>
  </si>
  <si>
    <t>C04096</t>
  </si>
  <si>
    <t>user4096@example.com</t>
  </si>
  <si>
    <t>520-491-2631</t>
  </si>
  <si>
    <t>C03739</t>
  </si>
  <si>
    <t>user3739@example.com</t>
  </si>
  <si>
    <t>C01398</t>
  </si>
  <si>
    <t>user1398@example.com</t>
  </si>
  <si>
    <t>(354) 888-2369</t>
  </si>
  <si>
    <t>C00857</t>
  </si>
  <si>
    <t>user857@example.com</t>
  </si>
  <si>
    <t>632.913.4878</t>
  </si>
  <si>
    <t>C00252</t>
  </si>
  <si>
    <t>user252@example.com</t>
  </si>
  <si>
    <t>(484) 325-2204</t>
  </si>
  <si>
    <t>C02760</t>
  </si>
  <si>
    <t>C02887</t>
  </si>
  <si>
    <t>(166) 163-2028</t>
  </si>
  <si>
    <t>C02350</t>
  </si>
  <si>
    <t>user2703@example.com</t>
  </si>
  <si>
    <t>C02233</t>
  </si>
  <si>
    <t>user2233@example.com</t>
  </si>
  <si>
    <t>588-263-6647</t>
  </si>
  <si>
    <t>C00123</t>
  </si>
  <si>
    <t>user123@example.com</t>
  </si>
  <si>
    <t>564 624 8687</t>
  </si>
  <si>
    <t>C02805</t>
  </si>
  <si>
    <t>user2805@example.com</t>
  </si>
  <si>
    <t>(445) 664-3567</t>
  </si>
  <si>
    <t>C02219</t>
  </si>
  <si>
    <t>user2219@example.com</t>
  </si>
  <si>
    <t>141.998.4838</t>
  </si>
  <si>
    <t>C02338</t>
  </si>
  <si>
    <t>user2338@example.com</t>
  </si>
  <si>
    <t>(583) 829-4273</t>
  </si>
  <si>
    <t>user4798@example.com</t>
  </si>
  <si>
    <t>239-897-2880</t>
  </si>
  <si>
    <t>C00568</t>
  </si>
  <si>
    <t>user568@example.com</t>
  </si>
  <si>
    <t>397-368-4858</t>
  </si>
  <si>
    <t>C01393</t>
  </si>
  <si>
    <t>user1393@example.com</t>
  </si>
  <si>
    <t>(565) 760-7594</t>
  </si>
  <si>
    <t>C03207</t>
  </si>
  <si>
    <t>user3207@example.com</t>
  </si>
  <si>
    <t>830 919 1358</t>
  </si>
  <si>
    <t>C02481</t>
  </si>
  <si>
    <t>user2481@example.com</t>
  </si>
  <si>
    <t>285.203.1429</t>
  </si>
  <si>
    <t>C02577</t>
  </si>
  <si>
    <t>user2577@example.com</t>
  </si>
  <si>
    <t>C03751</t>
  </si>
  <si>
    <t>user3751@example.com</t>
  </si>
  <si>
    <t>C03587</t>
  </si>
  <si>
    <t>user3587@example.com</t>
  </si>
  <si>
    <t>841.628.5506</t>
  </si>
  <si>
    <t>C01478</t>
  </si>
  <si>
    <t>user1478@example.com</t>
  </si>
  <si>
    <t>C02926</t>
  </si>
  <si>
    <t>user2926@example.com</t>
  </si>
  <si>
    <t>(314) 434-4824</t>
  </si>
  <si>
    <t>C01627</t>
  </si>
  <si>
    <t>271 134 9378</t>
  </si>
  <si>
    <t>C00721</t>
  </si>
  <si>
    <t>C02877</t>
  </si>
  <si>
    <t>user2877@example.com</t>
  </si>
  <si>
    <t>289 619 1103</t>
  </si>
  <si>
    <t>C02054</t>
  </si>
  <si>
    <t>user2054@example.com</t>
  </si>
  <si>
    <t>(898) 740-2807</t>
  </si>
  <si>
    <t>C01433</t>
  </si>
  <si>
    <t>user1433@example.com</t>
  </si>
  <si>
    <t>528 662 9144</t>
  </si>
  <si>
    <t>C03811</t>
  </si>
  <si>
    <t>user3811@example.com</t>
  </si>
  <si>
    <t>795 994 6997</t>
  </si>
  <si>
    <t>C00603</t>
  </si>
  <si>
    <t>user603@example.com</t>
  </si>
  <si>
    <t>482 704 2737</t>
  </si>
  <si>
    <t>C01567</t>
  </si>
  <si>
    <t>user1567@example.com</t>
  </si>
  <si>
    <t>C03440</t>
  </si>
  <si>
    <t>user3440@example.com</t>
  </si>
  <si>
    <t>C02678</t>
  </si>
  <si>
    <t>user2678@example.com</t>
  </si>
  <si>
    <t>C03479</t>
  </si>
  <si>
    <t>user3479@example.com</t>
  </si>
  <si>
    <t>C00319</t>
  </si>
  <si>
    <t>(461) 391-8469</t>
  </si>
  <si>
    <t>C04751</t>
  </si>
  <si>
    <t>user4751@example.com</t>
  </si>
  <si>
    <t>510 404 8337</t>
  </si>
  <si>
    <t>C04768</t>
  </si>
  <si>
    <t>user4768@example.com</t>
  </si>
  <si>
    <t>340.180.6144</t>
  </si>
  <si>
    <t>C00275</t>
  </si>
  <si>
    <t>user275@example.com</t>
  </si>
  <si>
    <t>(235) 467-5846</t>
  </si>
  <si>
    <t>C01882</t>
  </si>
  <si>
    <t>user1882@example.com</t>
  </si>
  <si>
    <t>229-549-3958</t>
  </si>
  <si>
    <t>C00550</t>
  </si>
  <si>
    <t>user550@example.com</t>
  </si>
  <si>
    <t>303.186.7791</t>
  </si>
  <si>
    <t>C02814</t>
  </si>
  <si>
    <t>user2814@example.com</t>
  </si>
  <si>
    <t>C01030</t>
  </si>
  <si>
    <t>user1030@example.com</t>
  </si>
  <si>
    <t>498-317-8516</t>
  </si>
  <si>
    <t>C04908</t>
  </si>
  <si>
    <t>user4908@example.com</t>
  </si>
  <si>
    <t>528-182-7543</t>
  </si>
  <si>
    <t>C02955</t>
  </si>
  <si>
    <t>117.226.1858</t>
  </si>
  <si>
    <t>C00606</t>
  </si>
  <si>
    <t>user606@example.com</t>
  </si>
  <si>
    <t>743 375 1095</t>
  </si>
  <si>
    <t>C02234</t>
  </si>
  <si>
    <t>user2234@example.com</t>
  </si>
  <si>
    <t>582-663-7456</t>
  </si>
  <si>
    <t>C00528</t>
  </si>
  <si>
    <t>user528@example.com</t>
  </si>
  <si>
    <t>C02848</t>
  </si>
  <si>
    <t>user2848@example.com</t>
  </si>
  <si>
    <t>C02365</t>
  </si>
  <si>
    <t>user2365@example.com</t>
  </si>
  <si>
    <t>326-479-6942</t>
  </si>
  <si>
    <t>C03827</t>
  </si>
  <si>
    <t>user3827@example.com</t>
  </si>
  <si>
    <t>455.562.9940</t>
  </si>
  <si>
    <t>C03797</t>
  </si>
  <si>
    <t>user3797@example.com</t>
  </si>
  <si>
    <t>C04842</t>
  </si>
  <si>
    <t>user4842@example.com</t>
  </si>
  <si>
    <t>976 537 3326</t>
  </si>
  <si>
    <t>C01834</t>
  </si>
  <si>
    <t>236 752 4272</t>
  </si>
  <si>
    <t>C00299</t>
  </si>
  <si>
    <t>user299@example.com</t>
  </si>
  <si>
    <t>581-826-9714</t>
  </si>
  <si>
    <t>C03794</t>
  </si>
  <si>
    <t>user3794@example.com</t>
  </si>
  <si>
    <t>852.949.9049</t>
  </si>
  <si>
    <t>C02555</t>
  </si>
  <si>
    <t>user2555@example.com</t>
  </si>
  <si>
    <t>223-663-5844</t>
  </si>
  <si>
    <t>C01596</t>
  </si>
  <si>
    <t>775.152.5505</t>
  </si>
  <si>
    <t>C03107</t>
  </si>
  <si>
    <t>user3107@example.com</t>
  </si>
  <si>
    <t>C03750</t>
  </si>
  <si>
    <t>user3750@example.com</t>
  </si>
  <si>
    <t>517 892 3903</t>
  </si>
  <si>
    <t>C02956</t>
  </si>
  <si>
    <t>user2956@example.com</t>
  </si>
  <si>
    <t>665.588.7042</t>
  </si>
  <si>
    <t>C01584</t>
  </si>
  <si>
    <t>user1584@example.com</t>
  </si>
  <si>
    <t>C02989</t>
  </si>
  <si>
    <t>user2989@example.com</t>
  </si>
  <si>
    <t>263 954 4302</t>
  </si>
  <si>
    <t>C01245</t>
  </si>
  <si>
    <t>C00757</t>
  </si>
  <si>
    <t>user757@example.com</t>
  </si>
  <si>
    <t>225-660-6712</t>
  </si>
  <si>
    <t>C01035</t>
  </si>
  <si>
    <t>user1035@example.com</t>
  </si>
  <si>
    <t>C04436</t>
  </si>
  <si>
    <t>user4436@example.com</t>
  </si>
  <si>
    <t>197 715 1312</t>
  </si>
  <si>
    <t>C02388</t>
  </si>
  <si>
    <t>user2388@example.com</t>
  </si>
  <si>
    <t>917-157-8317</t>
  </si>
  <si>
    <t>C01243</t>
  </si>
  <si>
    <t>user1243@example.com</t>
  </si>
  <si>
    <t>941 257 6183</t>
  </si>
  <si>
    <t>C01486</t>
  </si>
  <si>
    <t>user1486@example.com</t>
  </si>
  <si>
    <t>701-915-7260</t>
  </si>
  <si>
    <t>C01193</t>
  </si>
  <si>
    <t>user1193@example.com</t>
  </si>
  <si>
    <t>C01861</t>
  </si>
  <si>
    <t>user1861@example.com</t>
  </si>
  <si>
    <t>(309) 660-6400</t>
  </si>
  <si>
    <t>C00377</t>
  </si>
  <si>
    <t>user377@example.com</t>
  </si>
  <si>
    <t>C01033</t>
  </si>
  <si>
    <t>user1033@example.com</t>
  </si>
  <si>
    <t>168-323-7735</t>
  </si>
  <si>
    <t>C04204</t>
  </si>
  <si>
    <t>user4204@example.com</t>
  </si>
  <si>
    <t>user3545@example.com</t>
  </si>
  <si>
    <t>C01150</t>
  </si>
  <si>
    <t>(836) 363-8803</t>
  </si>
  <si>
    <t>C00379</t>
  </si>
  <si>
    <t>713-870-3738</t>
  </si>
  <si>
    <t>C01892</t>
  </si>
  <si>
    <t>user1892@example.com</t>
  </si>
  <si>
    <t>155-454-7731</t>
  </si>
  <si>
    <t>698 198 9802</t>
  </si>
  <si>
    <t>C03712</t>
  </si>
  <si>
    <t>user3712@example.com</t>
  </si>
  <si>
    <t>(294) 210-4030</t>
  </si>
  <si>
    <t>C01910</t>
  </si>
  <si>
    <t>449-843-8111</t>
  </si>
  <si>
    <t>C01879</t>
  </si>
  <si>
    <t>user1879@example.com</t>
  </si>
  <si>
    <t>C03700</t>
  </si>
  <si>
    <t>user3700@example.com</t>
  </si>
  <si>
    <t>678.694.2062</t>
  </si>
  <si>
    <t>C02750</t>
  </si>
  <si>
    <t>user2750@example.com</t>
  </si>
  <si>
    <t>C03108</t>
  </si>
  <si>
    <t>user3108@example.com</t>
  </si>
  <si>
    <t>619 349 3253</t>
  </si>
  <si>
    <t>C04383</t>
  </si>
  <si>
    <t>user4383@example.com</t>
  </si>
  <si>
    <t>C03823</t>
  </si>
  <si>
    <t>user3823@example.com</t>
  </si>
  <si>
    <t>C03947</t>
  </si>
  <si>
    <t>user3947@example.com</t>
  </si>
  <si>
    <t>C02656</t>
  </si>
  <si>
    <t>user2656@example.com</t>
  </si>
  <si>
    <t>C00795</t>
  </si>
  <si>
    <t>user795@example.com</t>
  </si>
  <si>
    <t>(881) 668-3057</t>
  </si>
  <si>
    <t>C02523</t>
  </si>
  <si>
    <t>user2523@example.com</t>
  </si>
  <si>
    <t>(202) 115-6712</t>
  </si>
  <si>
    <t>C02459</t>
  </si>
  <si>
    <t>user2459@example.com</t>
  </si>
  <si>
    <t>925 598 1786</t>
  </si>
  <si>
    <t>C02810</t>
  </si>
  <si>
    <t>user2810@example.com</t>
  </si>
  <si>
    <t>C00176</t>
  </si>
  <si>
    <t>user176@example.com</t>
  </si>
  <si>
    <t>C01045</t>
  </si>
  <si>
    <t>user1045@example.com</t>
  </si>
  <si>
    <t>342.855.8020</t>
  </si>
  <si>
    <t>C03946</t>
  </si>
  <si>
    <t>user3946@example.com</t>
  </si>
  <si>
    <t>(553) 906-4559</t>
  </si>
  <si>
    <t>C03910</t>
  </si>
  <si>
    <t>user3910@example.com</t>
  </si>
  <si>
    <t>134 634 4343</t>
  </si>
  <si>
    <t>C00046</t>
  </si>
  <si>
    <t>user46@example.com</t>
  </si>
  <si>
    <t>645.426.8227</t>
  </si>
  <si>
    <t>user2772@example.com</t>
  </si>
  <si>
    <t>158.214.2067</t>
  </si>
  <si>
    <t>C04953</t>
  </si>
  <si>
    <t>user4953@example.com</t>
  </si>
  <si>
    <t>C02699</t>
  </si>
  <si>
    <t>user2699@example.com</t>
  </si>
  <si>
    <t>926-419-5774</t>
  </si>
  <si>
    <t>C03015</t>
  </si>
  <si>
    <t>user3015@example.com</t>
  </si>
  <si>
    <t>386-527-1366</t>
  </si>
  <si>
    <t>C04717</t>
  </si>
  <si>
    <t>user4717@example.com</t>
  </si>
  <si>
    <t>538.378.1277</t>
  </si>
  <si>
    <t>C01756</t>
  </si>
  <si>
    <t>user1756@example.com</t>
  </si>
  <si>
    <t>904.979.9224</t>
  </si>
  <si>
    <t>C01198</t>
  </si>
  <si>
    <t>user1198@example.com</t>
  </si>
  <si>
    <t>(153) 220-9444</t>
  </si>
  <si>
    <t>C02068</t>
  </si>
  <si>
    <t>user2068@example.com</t>
  </si>
  <si>
    <t>124.335.5051</t>
  </si>
  <si>
    <t>C02616</t>
  </si>
  <si>
    <t>user2616@example.com</t>
  </si>
  <si>
    <t>399-522-1464</t>
  </si>
  <si>
    <t>C01706</t>
  </si>
  <si>
    <t>C03120</t>
  </si>
  <si>
    <t>user3120@example.com</t>
  </si>
  <si>
    <t>(293) 779-8778</t>
  </si>
  <si>
    <t>741-577-7978</t>
  </si>
  <si>
    <t>C00284</t>
  </si>
  <si>
    <t>user284@example.com</t>
  </si>
  <si>
    <t>870 376 9887</t>
  </si>
  <si>
    <t>C03936</t>
  </si>
  <si>
    <t>user3936@example.com</t>
  </si>
  <si>
    <t>366.864.6950</t>
  </si>
  <si>
    <t>C03759</t>
  </si>
  <si>
    <t>user3759@example.com</t>
  </si>
  <si>
    <t>C04297</t>
  </si>
  <si>
    <t>user4297@example.com</t>
  </si>
  <si>
    <t>235.308.4709</t>
  </si>
  <si>
    <t>user1188@example.com</t>
  </si>
  <si>
    <t>(431) 870-1886</t>
  </si>
  <si>
    <t>C01261</t>
  </si>
  <si>
    <t>C04423</t>
  </si>
  <si>
    <t>user4423@example.com</t>
  </si>
  <si>
    <t>241 653 1777</t>
  </si>
  <si>
    <t>C02089</t>
  </si>
  <si>
    <t>user2089@example.com</t>
  </si>
  <si>
    <t>247.929.2370</t>
  </si>
  <si>
    <t>C01264</t>
  </si>
  <si>
    <t>user2847@example.com</t>
  </si>
  <si>
    <t>C03435</t>
  </si>
  <si>
    <t>user3435@example.com</t>
  </si>
  <si>
    <t>C02146</t>
  </si>
  <si>
    <t>user2146@example.com</t>
  </si>
  <si>
    <t>C02868</t>
  </si>
  <si>
    <t>user2868@example.com</t>
  </si>
  <si>
    <t>C04695</t>
  </si>
  <si>
    <t>C01175</t>
  </si>
  <si>
    <t>user1175@example.com</t>
  </si>
  <si>
    <t>C01481</t>
  </si>
  <si>
    <t>user1481@example.com</t>
  </si>
  <si>
    <t>612 299 6152</t>
  </si>
  <si>
    <t>C01540</t>
  </si>
  <si>
    <t>user1540@example.com</t>
  </si>
  <si>
    <t>674-901-4253</t>
  </si>
  <si>
    <t>C04574</t>
  </si>
  <si>
    <t>user4574@example.com</t>
  </si>
  <si>
    <t>500 301 6016</t>
  </si>
  <si>
    <t>C01833</t>
  </si>
  <si>
    <t>user1833@example.com</t>
  </si>
  <si>
    <t>(428) 210-8364</t>
  </si>
  <si>
    <t>C01703</t>
  </si>
  <si>
    <t>user1703@example.com</t>
  </si>
  <si>
    <t>797-151-5078</t>
  </si>
  <si>
    <t>C03549</t>
  </si>
  <si>
    <t>user3549@example.com</t>
  </si>
  <si>
    <t>user100@example.com</t>
  </si>
  <si>
    <t>545 658 4460</t>
  </si>
  <si>
    <t>C01075</t>
  </si>
  <si>
    <t>user1075@example.com</t>
  </si>
  <si>
    <t>(666) 844-3878</t>
  </si>
  <si>
    <t>C01336</t>
  </si>
  <si>
    <t>user1336@example.com</t>
  </si>
  <si>
    <t>100-153-6269</t>
  </si>
  <si>
    <t>C04933</t>
  </si>
  <si>
    <t>user4933@example.com</t>
  </si>
  <si>
    <t>498-416-6006</t>
  </si>
  <si>
    <t>C03048</t>
  </si>
  <si>
    <t>user3048@example.com</t>
  </si>
  <si>
    <t>C00352</t>
  </si>
  <si>
    <t>user352@example.com</t>
  </si>
  <si>
    <t>(955) 701-2410</t>
  </si>
  <si>
    <t>C02751</t>
  </si>
  <si>
    <t>C02318</t>
  </si>
  <si>
    <t>user2318@example.com</t>
  </si>
  <si>
    <t>C00897</t>
  </si>
  <si>
    <t>user897@example.com</t>
  </si>
  <si>
    <t>C04645</t>
  </si>
  <si>
    <t>user4645@example.com</t>
  </si>
  <si>
    <t>385-163-1764</t>
  </si>
  <si>
    <t>C00719</t>
  </si>
  <si>
    <t>user719@example.com</t>
  </si>
  <si>
    <t>(408) 186-1605</t>
  </si>
  <si>
    <t>C04321</t>
  </si>
  <si>
    <t>user4321@example.com</t>
  </si>
  <si>
    <t>955 869 7623</t>
  </si>
  <si>
    <t>C02742</t>
  </si>
  <si>
    <t>user2742@example.com</t>
  </si>
  <si>
    <t>486 384 4104</t>
  </si>
  <si>
    <t>C02529</t>
  </si>
  <si>
    <t>728.784.2579</t>
  </si>
  <si>
    <t>C00309</t>
  </si>
  <si>
    <t>user309@example.com</t>
  </si>
  <si>
    <t>455 530 8272</t>
  </si>
  <si>
    <t>C01537</t>
  </si>
  <si>
    <t>user1537@example.com</t>
  </si>
  <si>
    <t>586 648 3632</t>
  </si>
  <si>
    <t>user834@example.com</t>
  </si>
  <si>
    <t>274 665 4174</t>
  </si>
  <si>
    <t>C00050</t>
  </si>
  <si>
    <t>user367@example.com</t>
  </si>
  <si>
    <t>168 713 6927</t>
  </si>
  <si>
    <t>C04232</t>
  </si>
  <si>
    <t>user4232@example.com</t>
  </si>
  <si>
    <t>C02096</t>
  </si>
  <si>
    <t>(137) 429-7660</t>
  </si>
  <si>
    <t>C00932</t>
  </si>
  <si>
    <t>624 736 6511</t>
  </si>
  <si>
    <t>C03788</t>
  </si>
  <si>
    <t>user3788@example.com</t>
  </si>
  <si>
    <t>858 909 9186</t>
  </si>
  <si>
    <t>C03079</t>
  </si>
  <si>
    <t>user3079@example.com</t>
  </si>
  <si>
    <t>599-877-2422</t>
  </si>
  <si>
    <t>C01296</t>
  </si>
  <si>
    <t>user1296@example.com</t>
  </si>
  <si>
    <t>C00020</t>
  </si>
  <si>
    <t>C03205</t>
  </si>
  <si>
    <t>user3205@example.com</t>
  </si>
  <si>
    <t>802-676-4998</t>
  </si>
  <si>
    <t>C01341</t>
  </si>
  <si>
    <t>user2965@example.com</t>
  </si>
  <si>
    <t>(204) 635-3676</t>
  </si>
  <si>
    <t>C00916</t>
  </si>
  <si>
    <t>user916@example.com</t>
  </si>
  <si>
    <t>353.154.5588</t>
  </si>
  <si>
    <t>C00131</t>
  </si>
  <si>
    <t>user219@example.com</t>
  </si>
  <si>
    <t>707-277-6496</t>
  </si>
  <si>
    <t>C03653</t>
  </si>
  <si>
    <t>user3653@example.com</t>
  </si>
  <si>
    <t>C00439</t>
  </si>
  <si>
    <t>user439@example.com</t>
  </si>
  <si>
    <t>623 385 3414</t>
  </si>
  <si>
    <t>C03916</t>
  </si>
  <si>
    <t>user3916@example.com</t>
  </si>
  <si>
    <t>C01200</t>
  </si>
  <si>
    <t>user3872@example.com</t>
  </si>
  <si>
    <t>C03310</t>
  </si>
  <si>
    <t>user3310@example.com</t>
  </si>
  <si>
    <t>(393) 349-3701</t>
  </si>
  <si>
    <t>C03455</t>
  </si>
  <si>
    <t>user3455@example.com</t>
  </si>
  <si>
    <t>217-515-4132</t>
  </si>
  <si>
    <t>C01056</t>
  </si>
  <si>
    <t>user1056@example.com</t>
  </si>
  <si>
    <t>780-354-4644</t>
  </si>
  <si>
    <t>C04666</t>
  </si>
  <si>
    <t>user4666@example.com</t>
  </si>
  <si>
    <t>C01021</t>
  </si>
  <si>
    <t>940.296.2035</t>
  </si>
  <si>
    <t>C03967</t>
  </si>
  <si>
    <t>user3967@example.com</t>
  </si>
  <si>
    <t>(602) 824-6355</t>
  </si>
  <si>
    <t>C00803</t>
  </si>
  <si>
    <t>user803@example.com</t>
  </si>
  <si>
    <t>161-593-5477</t>
  </si>
  <si>
    <t>C03018</t>
  </si>
  <si>
    <t>user3018@example.com</t>
  </si>
  <si>
    <t>(223) 751-1497</t>
  </si>
  <si>
    <t>C02246</t>
  </si>
  <si>
    <t>user2246@example.com</t>
  </si>
  <si>
    <t>769 284 7974</t>
  </si>
  <si>
    <t>C01128</t>
  </si>
  <si>
    <t>user3748@example.com</t>
  </si>
  <si>
    <t>400-744-2198</t>
  </si>
  <si>
    <t>C04314</t>
  </si>
  <si>
    <t>user4314@example.com</t>
  </si>
  <si>
    <t>C00583</t>
  </si>
  <si>
    <t>user583@example.com</t>
  </si>
  <si>
    <t>245 366 2914</t>
  </si>
  <si>
    <t>C00007</t>
  </si>
  <si>
    <t>user204@example.com</t>
  </si>
  <si>
    <t>906.838.1701</t>
  </si>
  <si>
    <t>C04067</t>
  </si>
  <si>
    <t>user4067@example.com</t>
  </si>
  <si>
    <t>C03211</t>
  </si>
  <si>
    <t>user3438@example.com</t>
  </si>
  <si>
    <t>196-702-1065</t>
  </si>
  <si>
    <t>C02267</t>
  </si>
  <si>
    <t>user2267@example.com</t>
  </si>
  <si>
    <t>224-988-9021</t>
  </si>
  <si>
    <t>C00163</t>
  </si>
  <si>
    <t>user2198@example.com</t>
  </si>
  <si>
    <t>954-699-7318</t>
  </si>
  <si>
    <t>C03429</t>
  </si>
  <si>
    <t>216.197.5328</t>
  </si>
  <si>
    <t>C03847</t>
  </si>
  <si>
    <t>C01282</t>
  </si>
  <si>
    <t>user1282@example.com</t>
  </si>
  <si>
    <t>272 790 9577</t>
  </si>
  <si>
    <t>C00953</t>
  </si>
  <si>
    <t>user953@example.com</t>
  </si>
  <si>
    <t>910.187.6129</t>
  </si>
  <si>
    <t>C01819</t>
  </si>
  <si>
    <t>C02407</t>
  </si>
  <si>
    <t>user2407@example.com</t>
  </si>
  <si>
    <t>C03372</t>
  </si>
  <si>
    <t>(141) 327-8360</t>
  </si>
  <si>
    <t>C00518</t>
  </si>
  <si>
    <t>user518@example.com</t>
  </si>
  <si>
    <t>952.698.7388</t>
  </si>
  <si>
    <t>C02827</t>
  </si>
  <si>
    <t>C01601</t>
  </si>
  <si>
    <t>user1601@example.com</t>
  </si>
  <si>
    <t>(195) 179-9097</t>
  </si>
  <si>
    <t>C02441</t>
  </si>
  <si>
    <t>user2441@example.com</t>
  </si>
  <si>
    <t>C00669</t>
  </si>
  <si>
    <t>user669@example.com</t>
  </si>
  <si>
    <t>C03624</t>
  </si>
  <si>
    <t>user3624@example.com</t>
  </si>
  <si>
    <t>415 521 5584</t>
  </si>
  <si>
    <t>C03013</t>
  </si>
  <si>
    <t>user3013@example.com</t>
  </si>
  <si>
    <t>154-476-4527</t>
  </si>
  <si>
    <t>C04927</t>
  </si>
  <si>
    <t>user4927@example.com</t>
  </si>
  <si>
    <t>(970) 255-2546</t>
  </si>
  <si>
    <t>C02925</t>
  </si>
  <si>
    <t>user2925@example.com</t>
  </si>
  <si>
    <t>557-478-7832</t>
  </si>
  <si>
    <t>C03661</t>
  </si>
  <si>
    <t>user3661@example.com</t>
  </si>
  <si>
    <t>C02908</t>
  </si>
  <si>
    <t>user2908@example.com</t>
  </si>
  <si>
    <t>116-500-8737</t>
  </si>
  <si>
    <t>C02374</t>
  </si>
  <si>
    <t>user2374@example.com</t>
  </si>
  <si>
    <t>C04632</t>
  </si>
  <si>
    <t>user4632@example.com</t>
  </si>
  <si>
    <t>(314) 471-5577</t>
  </si>
  <si>
    <t>C04955</t>
  </si>
  <si>
    <t>user4955@example.com</t>
  </si>
  <si>
    <t>C03414</t>
  </si>
  <si>
    <t>user3414@example.com</t>
  </si>
  <si>
    <t>(963) 198-9528</t>
  </si>
  <si>
    <t>C01174</t>
  </si>
  <si>
    <t>user1174@example.com</t>
  </si>
  <si>
    <t>C00760</t>
  </si>
  <si>
    <t>user760@example.com</t>
  </si>
  <si>
    <t>900.486.8786</t>
  </si>
  <si>
    <t>C01048</t>
  </si>
  <si>
    <t>user1048@example.com</t>
  </si>
  <si>
    <t>(255) 484-4348</t>
  </si>
  <si>
    <t>C01375</t>
  </si>
  <si>
    <t>user1375@example.com</t>
  </si>
  <si>
    <t>822-662-5326</t>
  </si>
  <si>
    <t>C02689</t>
  </si>
  <si>
    <t>user2689@example.com</t>
  </si>
  <si>
    <t>272-101-9669</t>
  </si>
  <si>
    <t>C02581</t>
  </si>
  <si>
    <t>user2581@example.com</t>
  </si>
  <si>
    <t>(554) 245-5513</t>
  </si>
  <si>
    <t>C03725</t>
  </si>
  <si>
    <t>user3725@example.com</t>
  </si>
  <si>
    <t>C04106</t>
  </si>
  <si>
    <t>user4106@example.com</t>
  </si>
  <si>
    <t>(208) 191-7729</t>
  </si>
  <si>
    <t>C00215</t>
  </si>
  <si>
    <t>user215@example.com</t>
  </si>
  <si>
    <t>923-307-7983</t>
  </si>
  <si>
    <t>C03353</t>
  </si>
  <si>
    <t>user3353@example.com</t>
  </si>
  <si>
    <t>307.838.3957</t>
  </si>
  <si>
    <t>C03340</t>
  </si>
  <si>
    <t>user3340@example.com</t>
  </si>
  <si>
    <t>C00694</t>
  </si>
  <si>
    <t>user694@example.com</t>
  </si>
  <si>
    <t>C03690</t>
  </si>
  <si>
    <t>user3690@example.com</t>
  </si>
  <si>
    <t>867.141.2897</t>
  </si>
  <si>
    <t>C01438</t>
  </si>
  <si>
    <t>user1438@example.com</t>
  </si>
  <si>
    <t>C02136</t>
  </si>
  <si>
    <t>C02996</t>
  </si>
  <si>
    <t>user2996@example.com</t>
  </si>
  <si>
    <t>C01787</t>
  </si>
  <si>
    <t>C01269</t>
  </si>
  <si>
    <t>user1269@example.com</t>
  </si>
  <si>
    <t>C02556</t>
  </si>
  <si>
    <t>user2556@example.com</t>
  </si>
  <si>
    <t>(994) 455-6030</t>
  </si>
  <si>
    <t>C01002</t>
  </si>
  <si>
    <t>user1002@example.com</t>
  </si>
  <si>
    <t>(506) 138-1175</t>
  </si>
  <si>
    <t>C00197</t>
  </si>
  <si>
    <t>user197@example.com</t>
  </si>
  <si>
    <t>186 747 8175</t>
  </si>
  <si>
    <t>C03743</t>
  </si>
  <si>
    <t>user3743@example.com</t>
  </si>
  <si>
    <t>156-219-7343</t>
  </si>
  <si>
    <t>C04676</t>
  </si>
  <si>
    <t>user4676@example.com</t>
  </si>
  <si>
    <t>C01721</t>
  </si>
  <si>
    <t>user1721@example.com</t>
  </si>
  <si>
    <t>994 353 8742</t>
  </si>
  <si>
    <t>C00880</t>
  </si>
  <si>
    <t>user880@example.com</t>
  </si>
  <si>
    <t>697.654.3385</t>
  </si>
  <si>
    <t>C04583</t>
  </si>
  <si>
    <t>789.254.2661</t>
  </si>
  <si>
    <t>user2168@example.com</t>
  </si>
  <si>
    <t>(184) 529-2956</t>
  </si>
  <si>
    <t>C04594</t>
  </si>
  <si>
    <t>user4594@example.com</t>
  </si>
  <si>
    <t>user3246@example.com</t>
  </si>
  <si>
    <t>636.517.3734</t>
  </si>
  <si>
    <t>C00573</t>
  </si>
  <si>
    <t>user888@example.com</t>
  </si>
  <si>
    <t>user1737@example.com</t>
  </si>
  <si>
    <t>311.862.2462</t>
  </si>
  <si>
    <t>C00069</t>
  </si>
  <si>
    <t>user69@example.com</t>
  </si>
  <si>
    <t>572 966 3798</t>
  </si>
  <si>
    <t>C02500</t>
  </si>
  <si>
    <t>user2500@example.com</t>
  </si>
  <si>
    <t>user4389@example.com</t>
  </si>
  <si>
    <t>725-282-8599</t>
  </si>
  <si>
    <t>C00569</t>
  </si>
  <si>
    <t>user569@example.com</t>
  </si>
  <si>
    <t>C01655</t>
  </si>
  <si>
    <t>871.454.7559</t>
  </si>
  <si>
    <t>C00097</t>
  </si>
  <si>
    <t>user97@example.com</t>
  </si>
  <si>
    <t>981-388-1510</t>
  </si>
  <si>
    <t>C01624</t>
  </si>
  <si>
    <t>user1624@example.com</t>
  </si>
  <si>
    <t>737.210.7275</t>
  </si>
  <si>
    <t>C04865</t>
  </si>
  <si>
    <t>user4865@example.com</t>
  </si>
  <si>
    <t>(424) 713-1657</t>
  </si>
  <si>
    <t>C00140</t>
  </si>
  <si>
    <t>user140@example.com</t>
  </si>
  <si>
    <t>user2415@example.com</t>
  </si>
  <si>
    <t>C02621</t>
  </si>
  <si>
    <t>user2621@example.com</t>
  </si>
  <si>
    <t>(314) 671-9966</t>
  </si>
  <si>
    <t>C01618</t>
  </si>
  <si>
    <t>user1618@example.com</t>
  </si>
  <si>
    <t>C04392</t>
  </si>
  <si>
    <t>user4392@example.com</t>
  </si>
  <si>
    <t>C00881</t>
  </si>
  <si>
    <t>442-272-4033</t>
  </si>
  <si>
    <t>C04680</t>
  </si>
  <si>
    <t>user4680@example.com</t>
  </si>
  <si>
    <t>462-760-4641</t>
  </si>
  <si>
    <t>C01845</t>
  </si>
  <si>
    <t>user1845@example.com</t>
  </si>
  <si>
    <t>C01722</t>
  </si>
  <si>
    <t>user1722@example.com</t>
  </si>
  <si>
    <t>146-938-1284</t>
  </si>
  <si>
    <t>C03261</t>
  </si>
  <si>
    <t>483.154.6743</t>
  </si>
  <si>
    <t>C00464</t>
  </si>
  <si>
    <t>user464@example.com</t>
  </si>
  <si>
    <t>C02348</t>
  </si>
  <si>
    <t>user2348@example.com</t>
  </si>
  <si>
    <t>C03419</t>
  </si>
  <si>
    <t>user3419@example.com</t>
  </si>
  <si>
    <t>649.941.7973</t>
  </si>
  <si>
    <t>C03406</t>
  </si>
  <si>
    <t>user3406@example.com</t>
  </si>
  <si>
    <t>C00595</t>
  </si>
  <si>
    <t>604 215 3425</t>
  </si>
  <si>
    <t>C00626</t>
  </si>
  <si>
    <t>user626@example.com</t>
  </si>
  <si>
    <t>407 252 3093</t>
  </si>
  <si>
    <t>user451@example.com</t>
  </si>
  <si>
    <t>221 492 8374</t>
  </si>
  <si>
    <t>C03269</t>
  </si>
  <si>
    <t>C03312</t>
  </si>
  <si>
    <t>user3312@example.com</t>
  </si>
  <si>
    <t>C02406</t>
  </si>
  <si>
    <t>user2406@example.com</t>
  </si>
  <si>
    <t>357-872-7671</t>
  </si>
  <si>
    <t>C01331</t>
  </si>
  <si>
    <t>user1331@example.com</t>
  </si>
  <si>
    <t>(444) 536-8851</t>
  </si>
  <si>
    <t>C01925</t>
  </si>
  <si>
    <t>user1925@example.com</t>
  </si>
  <si>
    <t>C01505</t>
  </si>
  <si>
    <t>682-599-1648</t>
  </si>
  <si>
    <t>C01942</t>
  </si>
  <si>
    <t>user1942@example.com</t>
  </si>
  <si>
    <t>C04159</t>
  </si>
  <si>
    <t>user4159@example.com</t>
  </si>
  <si>
    <t>407-175-4513</t>
  </si>
  <si>
    <t>C03649</t>
  </si>
  <si>
    <t>user3649@example.com</t>
  </si>
  <si>
    <t>C03949</t>
  </si>
  <si>
    <t>user3949@example.com</t>
  </si>
  <si>
    <t>(690) 680-4507</t>
  </si>
  <si>
    <t>C00151</t>
  </si>
  <si>
    <t>user151@example.com</t>
  </si>
  <si>
    <t>725 767 5466</t>
  </si>
  <si>
    <t>C03169</t>
  </si>
  <si>
    <t>152.537.9020</t>
  </si>
  <si>
    <t>C03973</t>
  </si>
  <si>
    <t>user3973@example.com</t>
  </si>
  <si>
    <t>371-879-9010</t>
  </si>
  <si>
    <t>C02705</t>
  </si>
  <si>
    <t>user2705@example.com</t>
  </si>
  <si>
    <t>C01483</t>
  </si>
  <si>
    <t>user1483@example.com</t>
  </si>
  <si>
    <t>C00089</t>
  </si>
  <si>
    <t>user89@example.com</t>
  </si>
  <si>
    <t>C00458</t>
  </si>
  <si>
    <t>user458@example.com</t>
  </si>
  <si>
    <t>C02419</t>
  </si>
  <si>
    <t>user2419@example.com</t>
  </si>
  <si>
    <t>427.884.9690</t>
  </si>
  <si>
    <t>C02946</t>
  </si>
  <si>
    <t>817 938 1178</t>
  </si>
  <si>
    <t>C03292</t>
  </si>
  <si>
    <t>user3292@example.com</t>
  </si>
  <si>
    <t>C03249</t>
  </si>
  <si>
    <t>user3249@example.com</t>
  </si>
  <si>
    <t>218.718.7756</t>
  </si>
  <si>
    <t>C02019</t>
  </si>
  <si>
    <t>user2019@example.com</t>
  </si>
  <si>
    <t>543-202-9540</t>
  </si>
  <si>
    <t>C01673</t>
  </si>
  <si>
    <t>user1673@example.com</t>
  </si>
  <si>
    <t>429.891.8908</t>
  </si>
  <si>
    <t>C03671</t>
  </si>
  <si>
    <t>user3671@example.com</t>
  </si>
  <si>
    <t>C00832</t>
  </si>
  <si>
    <t>user832@example.com</t>
  </si>
  <si>
    <t>300-940-7489</t>
  </si>
  <si>
    <t>C00240</t>
  </si>
  <si>
    <t>user240@example.com</t>
  </si>
  <si>
    <t>(801) 964-8772</t>
  </si>
  <si>
    <t>C04697</t>
  </si>
  <si>
    <t>user4697@example.com</t>
  </si>
  <si>
    <t>C01000</t>
  </si>
  <si>
    <t>user1000@example.com</t>
  </si>
  <si>
    <t>174-754-8567</t>
  </si>
  <si>
    <t>C00751</t>
  </si>
  <si>
    <t>user2593@example.com</t>
  </si>
  <si>
    <t>(990) 970-9102</t>
  </si>
  <si>
    <t>C02400</t>
  </si>
  <si>
    <t>user2400@example.com</t>
  </si>
  <si>
    <t>(589) 219-8240</t>
  </si>
  <si>
    <t>C04290</t>
  </si>
  <si>
    <t>user4290@example.com</t>
  </si>
  <si>
    <t>C01180</t>
  </si>
  <si>
    <t>641-457-5620</t>
  </si>
  <si>
    <t>C00193</t>
  </si>
  <si>
    <t>user193@example.com</t>
  </si>
  <si>
    <t>C03632</t>
  </si>
  <si>
    <t>user3632@example.com</t>
  </si>
  <si>
    <t>C01779</t>
  </si>
  <si>
    <t>user3768@example.com</t>
  </si>
  <si>
    <t>466.832.3805</t>
  </si>
  <si>
    <t>C03061</t>
  </si>
  <si>
    <t>user3868@example.com</t>
  </si>
  <si>
    <t>298-413-2965</t>
  </si>
  <si>
    <t>C00945</t>
  </si>
  <si>
    <t>user945@example.com</t>
  </si>
  <si>
    <t>C04195</t>
  </si>
  <si>
    <t>user4195@example.com</t>
  </si>
  <si>
    <t>799 845 2013</t>
  </si>
  <si>
    <t>C04122</t>
  </si>
  <si>
    <t>653.147.7861</t>
  </si>
  <si>
    <t>user4245@example.com</t>
  </si>
  <si>
    <t>C04903</t>
  </si>
  <si>
    <t>537 749 4427</t>
  </si>
  <si>
    <t>C04439</t>
  </si>
  <si>
    <t>user4439@example.com</t>
  </si>
  <si>
    <t>C01410</t>
  </si>
  <si>
    <t>user3039@example.com</t>
  </si>
  <si>
    <t>C02575</t>
  </si>
  <si>
    <t>user2575@example.com</t>
  </si>
  <si>
    <t>(592) 942-3625</t>
  </si>
  <si>
    <t>C04155</t>
  </si>
  <si>
    <t>user4155@example.com</t>
  </si>
  <si>
    <t>C03633</t>
  </si>
  <si>
    <t>user3880@example.com</t>
  </si>
  <si>
    <t>343-917-7983</t>
  </si>
  <si>
    <t>C04228</t>
  </si>
  <si>
    <t>user4228@example.com</t>
  </si>
  <si>
    <t>180-281-5602</t>
  </si>
  <si>
    <t>C04951</t>
  </si>
  <si>
    <t>user4951@example.com</t>
  </si>
  <si>
    <t>582-983-8315</t>
  </si>
  <si>
    <t>C01376</t>
  </si>
  <si>
    <t>user1376@example.com</t>
  </si>
  <si>
    <t>C03917</t>
  </si>
  <si>
    <t>user3917@example.com</t>
  </si>
  <si>
    <t>559 752 8226</t>
  </si>
  <si>
    <t>C02991</t>
  </si>
  <si>
    <t>user2991@example.com</t>
  </si>
  <si>
    <t>366.502.2952</t>
  </si>
  <si>
    <t>C02145</t>
  </si>
  <si>
    <t>user2145@example.com</t>
  </si>
  <si>
    <t>958.634.6193</t>
  </si>
  <si>
    <t>C04759</t>
  </si>
  <si>
    <t>user4759@example.com</t>
  </si>
  <si>
    <t>678.536.4055</t>
  </si>
  <si>
    <t>C02532</t>
  </si>
  <si>
    <t>user2532@example.com</t>
  </si>
  <si>
    <t>(330) 775-2346</t>
  </si>
  <si>
    <t>C04932</t>
  </si>
  <si>
    <t>user4932@example.com</t>
  </si>
  <si>
    <t>C00192</t>
  </si>
  <si>
    <t>961-570-5750</t>
  </si>
  <si>
    <t>user1490@example.com</t>
  </si>
  <si>
    <t>(926) 797-3307</t>
  </si>
  <si>
    <t>C02891</t>
  </si>
  <si>
    <t>user2891@example.com</t>
  </si>
  <si>
    <t>862-790-2445</t>
  </si>
  <si>
    <t>C02474</t>
  </si>
  <si>
    <t>user2474@example.com</t>
  </si>
  <si>
    <t>738-948-7388</t>
  </si>
  <si>
    <t>C02728</t>
  </si>
  <si>
    <t>C01216</t>
  </si>
  <si>
    <t>user1216@example.com</t>
  </si>
  <si>
    <t>C04037</t>
  </si>
  <si>
    <t>user4037@example.com</t>
  </si>
  <si>
    <t>C02985</t>
  </si>
  <si>
    <t>user2985@example.com</t>
  </si>
  <si>
    <t>621.948.3689</t>
  </si>
  <si>
    <t>C02883</t>
  </si>
  <si>
    <t>user2883@example.com</t>
  </si>
  <si>
    <t>C03669</t>
  </si>
  <si>
    <t>user3669@example.com</t>
  </si>
  <si>
    <t>443.445.7852</t>
  </si>
  <si>
    <t>C00074</t>
  </si>
  <si>
    <t>user1104@example.com</t>
  </si>
  <si>
    <t>(935) 603-1025</t>
  </si>
  <si>
    <t>C04404</t>
  </si>
  <si>
    <t>user4404@example.com</t>
  </si>
  <si>
    <t>452 234 5212</t>
  </si>
  <si>
    <t>C04000</t>
  </si>
  <si>
    <t>user4000@example.com</t>
  </si>
  <si>
    <t>232-285-1685</t>
  </si>
  <si>
    <t>user1666@example.com</t>
  </si>
  <si>
    <t>411-176-5320</t>
  </si>
  <si>
    <t>C00167</t>
  </si>
  <si>
    <t>user167@example.com</t>
  </si>
  <si>
    <t>578.776.2240</t>
  </si>
  <si>
    <t>user1617@example.com</t>
  </si>
  <si>
    <t>456-825-5822</t>
  </si>
  <si>
    <t>C01372</t>
  </si>
  <si>
    <t>user1372@example.com</t>
  </si>
  <si>
    <t>C01025</t>
  </si>
  <si>
    <t>user1025@example.com</t>
  </si>
  <si>
    <t>675.741.4105</t>
  </si>
  <si>
    <t>C01339</t>
  </si>
  <si>
    <t>user1339@example.com</t>
  </si>
  <si>
    <t>603.472.6476</t>
  </si>
  <si>
    <t>C04783</t>
  </si>
  <si>
    <t>user4783@example.com</t>
  </si>
  <si>
    <t>C03663</t>
  </si>
  <si>
    <t>user3663@example.com</t>
  </si>
  <si>
    <t>C01850</t>
  </si>
  <si>
    <t>user1850@example.com</t>
  </si>
  <si>
    <t>336 152 9856</t>
  </si>
  <si>
    <t>C04826</t>
  </si>
  <si>
    <t>user4826@example.com</t>
  </si>
  <si>
    <t>(138) 409-4405</t>
  </si>
  <si>
    <t>C04153</t>
  </si>
  <si>
    <t>user4153@example.com</t>
  </si>
  <si>
    <t>C02981</t>
  </si>
  <si>
    <t>user2981@example.com</t>
  </si>
  <si>
    <t>C00153</t>
  </si>
  <si>
    <t>770.698.7408</t>
  </si>
  <si>
    <t>C02553</t>
  </si>
  <si>
    <t>user2553@example.com</t>
  </si>
  <si>
    <t>757 126 9901</t>
  </si>
  <si>
    <t>C04704</t>
  </si>
  <si>
    <t>user4704@example.com</t>
  </si>
  <si>
    <t>768-675-6307</t>
  </si>
  <si>
    <t>C03133</t>
  </si>
  <si>
    <t>729 909 9348</t>
  </si>
  <si>
    <t>C03898</t>
  </si>
  <si>
    <t>user3898@example.com</t>
  </si>
  <si>
    <t>C03717</t>
  </si>
  <si>
    <t>user3717@example.com</t>
  </si>
  <si>
    <t>C03795</t>
  </si>
  <si>
    <t>user3795@example.com</t>
  </si>
  <si>
    <t>C02884</t>
  </si>
  <si>
    <t>user2884@example.com</t>
  </si>
  <si>
    <t>(536) 356-6648</t>
  </si>
  <si>
    <t>C04117</t>
  </si>
  <si>
    <t>user4117@example.com</t>
  </si>
  <si>
    <t>647.241.3633</t>
  </si>
  <si>
    <t>C04838</t>
  </si>
  <si>
    <t>user4838@example.com</t>
  </si>
  <si>
    <t>518.579.8224</t>
  </si>
  <si>
    <t>C02969</t>
  </si>
  <si>
    <t>510 658 2018</t>
  </si>
  <si>
    <t>C01863</t>
  </si>
  <si>
    <t>user1863@example.com</t>
  </si>
  <si>
    <t>C00032</t>
  </si>
  <si>
    <t>user32@example.com</t>
  </si>
  <si>
    <t>(194) 554-9290</t>
  </si>
  <si>
    <t>user938@example.com</t>
  </si>
  <si>
    <t>401-962-9220</t>
  </si>
  <si>
    <t>C01236</t>
  </si>
  <si>
    <t>C01967</t>
  </si>
  <si>
    <t>user1967@example.com</t>
  </si>
  <si>
    <t>(683) 947-3052</t>
  </si>
  <si>
    <t>C02345</t>
  </si>
  <si>
    <t>user2345@example.com</t>
  </si>
  <si>
    <t>866-133-7657</t>
  </si>
  <si>
    <t>C00310</t>
  </si>
  <si>
    <t>user310@example.com</t>
  </si>
  <si>
    <t>user2472@example.com</t>
  </si>
  <si>
    <t>640 899 8084</t>
  </si>
  <si>
    <t>C03323</t>
  </si>
  <si>
    <t>user3323@example.com</t>
  </si>
  <si>
    <t>373-707-5774</t>
  </si>
  <si>
    <t>C03135</t>
  </si>
  <si>
    <t>(713) 633-5712</t>
  </si>
  <si>
    <t>C04374</t>
  </si>
  <si>
    <t>user4374@example.com</t>
  </si>
  <si>
    <t>user496@example.com</t>
  </si>
  <si>
    <t>C00206</t>
  </si>
  <si>
    <t>user206@example.com</t>
  </si>
  <si>
    <t>794 991 9791</t>
  </si>
  <si>
    <t>C02909</t>
  </si>
  <si>
    <t>user2909@example.com</t>
  </si>
  <si>
    <t>(377) 445-4240</t>
  </si>
  <si>
    <t>C03379</t>
  </si>
  <si>
    <t>user3379@example.com</t>
  </si>
  <si>
    <t>975-340-7373</t>
  </si>
  <si>
    <t>C04677</t>
  </si>
  <si>
    <t>C00306</t>
  </si>
  <si>
    <t>user306@example.com</t>
  </si>
  <si>
    <t>(995) 309-9530</t>
  </si>
  <si>
    <t>C03818</t>
  </si>
  <si>
    <t>user3818@example.com</t>
  </si>
  <si>
    <t>C02352</t>
  </si>
  <si>
    <t>user2352@example.com</t>
  </si>
  <si>
    <t>509.833.9381</t>
  </si>
  <si>
    <t>C01062</t>
  </si>
  <si>
    <t>C00844</t>
  </si>
  <si>
    <t>user844@example.com</t>
  </si>
  <si>
    <t>224.796.9491</t>
  </si>
  <si>
    <t>C02733</t>
  </si>
  <si>
    <t>user2733@example.com</t>
  </si>
  <si>
    <t>490-310-2905</t>
  </si>
  <si>
    <t>C02269</t>
  </si>
  <si>
    <t>user2269@example.com</t>
  </si>
  <si>
    <t>535.445.5852</t>
  </si>
  <si>
    <t>C00212</t>
  </si>
  <si>
    <t>user212@example.com</t>
  </si>
  <si>
    <t>940.912.2594</t>
  </si>
  <si>
    <t>C03740</t>
  </si>
  <si>
    <t>user3740@example.com</t>
  </si>
  <si>
    <t>952-268-8838</t>
  </si>
  <si>
    <t>C00680</t>
  </si>
  <si>
    <t>user680@example.com</t>
  </si>
  <si>
    <t>C00566</t>
  </si>
  <si>
    <t>user566@example.com</t>
  </si>
  <si>
    <t>C01790</t>
  </si>
  <si>
    <t>user1790@example.com</t>
  </si>
  <si>
    <t>743.418.1105</t>
  </si>
  <si>
    <t>C03604</t>
  </si>
  <si>
    <t>C00681</t>
  </si>
  <si>
    <t>user681@example.com</t>
  </si>
  <si>
    <t>C00181</t>
  </si>
  <si>
    <t>user181@example.com</t>
  </si>
  <si>
    <t>C02679</t>
  </si>
  <si>
    <t>user2679@example.com</t>
  </si>
  <si>
    <t>196-513-7347</t>
  </si>
  <si>
    <t>C04428</t>
  </si>
  <si>
    <t>(310) 678-3994</t>
  </si>
  <si>
    <t>C02201</t>
  </si>
  <si>
    <t>user2334@example.com</t>
  </si>
  <si>
    <t>(682) 740-8731</t>
  </si>
  <si>
    <t>C04288</t>
  </si>
  <si>
    <t>user4288@example.com</t>
  </si>
  <si>
    <t>C00279</t>
  </si>
  <si>
    <t>user279@example.com</t>
  </si>
  <si>
    <t>574 890 3271</t>
  </si>
  <si>
    <t>C01130</t>
  </si>
  <si>
    <t>user1130@example.com</t>
  </si>
  <si>
    <t>user4756@example.com</t>
  </si>
  <si>
    <t>516-350-6783</t>
  </si>
  <si>
    <t>C00433</t>
  </si>
  <si>
    <t>user433@example.com</t>
  </si>
  <si>
    <t>(709) 964-7623</t>
  </si>
  <si>
    <t>C00290</t>
  </si>
  <si>
    <t>user290@example.com</t>
  </si>
  <si>
    <t>(763) 672-2097</t>
  </si>
  <si>
    <t>C01028</t>
  </si>
  <si>
    <t>user1028@example.com</t>
  </si>
  <si>
    <t>465-431-3844</t>
  </si>
  <si>
    <t>C00536</t>
  </si>
  <si>
    <t>380-987-2312</t>
  </si>
  <si>
    <t>C04473</t>
  </si>
  <si>
    <t>C00189</t>
  </si>
  <si>
    <t>C02192</t>
  </si>
  <si>
    <t>user2192@example.com</t>
  </si>
  <si>
    <t>331 955 4084</t>
  </si>
  <si>
    <t>C03940</t>
  </si>
  <si>
    <t>user3940@example.com</t>
  </si>
  <si>
    <t>C01938</t>
  </si>
  <si>
    <t>user1938@example.com</t>
  </si>
  <si>
    <t>211.179.9305</t>
  </si>
  <si>
    <t>C00271</t>
  </si>
  <si>
    <t>user271@example.com</t>
  </si>
  <si>
    <t>C02227</t>
  </si>
  <si>
    <t>user2227@example.com</t>
  </si>
  <si>
    <t>569.505.3708</t>
  </si>
  <si>
    <t>C04099</t>
  </si>
  <si>
    <t>user4099@example.com</t>
  </si>
  <si>
    <t>(338) 950-3854</t>
  </si>
  <si>
    <t>C02175</t>
  </si>
  <si>
    <t>user2175@example.com</t>
  </si>
  <si>
    <t>297-944-9216</t>
  </si>
  <si>
    <t>C04162</t>
  </si>
  <si>
    <t>user4162@example.com</t>
  </si>
  <si>
    <t>(831) 517-2768</t>
  </si>
  <si>
    <t>C00112</t>
  </si>
  <si>
    <t>719 107 9161</t>
  </si>
  <si>
    <t>C04707</t>
  </si>
  <si>
    <t>776 158 9334</t>
  </si>
  <si>
    <t>C00221</t>
  </si>
  <si>
    <t>user221@example.com</t>
  </si>
  <si>
    <t>272 813 7060</t>
  </si>
  <si>
    <t>C00628</t>
  </si>
  <si>
    <t>user628@example.com</t>
  </si>
  <si>
    <t>(635) 537-5841</t>
  </si>
  <si>
    <t>C01484</t>
  </si>
  <si>
    <t>user1484@example.com</t>
  </si>
  <si>
    <t>517.859.9250</t>
  </si>
  <si>
    <t>C03378</t>
  </si>
  <si>
    <t>user3378@example.com</t>
  </si>
  <si>
    <t>C02440</t>
  </si>
  <si>
    <t>user2440@example.com</t>
  </si>
  <si>
    <t>(433) 840-8859</t>
  </si>
  <si>
    <t>C00791</t>
  </si>
  <si>
    <t>user791@example.com</t>
  </si>
  <si>
    <t>375-162-6215</t>
  </si>
  <si>
    <t>C02006</t>
  </si>
  <si>
    <t>user2006@example.com</t>
  </si>
  <si>
    <t>600-952-1422</t>
  </si>
  <si>
    <t>C00462</t>
  </si>
  <si>
    <t>user462@example.com</t>
  </si>
  <si>
    <t>428.162.1461</t>
  </si>
  <si>
    <t>C04417</t>
  </si>
  <si>
    <t>user4417@example.com</t>
  </si>
  <si>
    <t>C00552</t>
  </si>
  <si>
    <t>user1159@example.com</t>
  </si>
  <si>
    <t>858.706.4082</t>
  </si>
  <si>
    <t>C01176</t>
  </si>
  <si>
    <t>user1176@example.com</t>
  </si>
  <si>
    <t>398 821 7171</t>
  </si>
  <si>
    <t>user199@example.com</t>
  </si>
  <si>
    <t>297-125-4907</t>
  </si>
  <si>
    <t>C02608</t>
  </si>
  <si>
    <t>user2608@example.com</t>
  </si>
  <si>
    <t>694.788.7911</t>
  </si>
  <si>
    <t>C03471</t>
  </si>
  <si>
    <t>user3471@example.com</t>
  </si>
  <si>
    <t>262 162 1976</t>
  </si>
  <si>
    <t>C00403</t>
  </si>
  <si>
    <t>user403@example.com</t>
  </si>
  <si>
    <t>C03076</t>
  </si>
  <si>
    <t>user3076@example.com</t>
  </si>
  <si>
    <t>870 651 2605</t>
  </si>
  <si>
    <t>C01148</t>
  </si>
  <si>
    <t>user2154@example.com</t>
  </si>
  <si>
    <t>C04779</t>
  </si>
  <si>
    <t>user4779@example.com</t>
  </si>
  <si>
    <t>117.638.3807</t>
  </si>
  <si>
    <t>C04802</t>
  </si>
  <si>
    <t>user4802@example.com</t>
  </si>
  <si>
    <t>(438) 696-6527</t>
  </si>
  <si>
    <t>C03293</t>
  </si>
  <si>
    <t>C04477</t>
  </si>
  <si>
    <t>user4477@example.com</t>
  </si>
  <si>
    <t>C00651</t>
  </si>
  <si>
    <t>user651@example.com</t>
  </si>
  <si>
    <t>C00709</t>
  </si>
  <si>
    <t>user709@example.com</t>
  </si>
  <si>
    <t>(544) 162-7443</t>
  </si>
  <si>
    <t>C01504</t>
  </si>
  <si>
    <t>user1504@example.com</t>
  </si>
  <si>
    <t>C04429</t>
  </si>
  <si>
    <t>user4429@example.com</t>
  </si>
  <si>
    <t>C04977</t>
  </si>
  <si>
    <t>user4977@example.com</t>
  </si>
  <si>
    <t>281 507 8452</t>
  </si>
  <si>
    <t>C04511</t>
  </si>
  <si>
    <t>user4511@example.com</t>
  </si>
  <si>
    <t>962.265.4697</t>
  </si>
  <si>
    <t>C03596</t>
  </si>
  <si>
    <t>user3596@example.com</t>
  </si>
  <si>
    <t>C00315</t>
  </si>
  <si>
    <t>user315@example.com</t>
  </si>
  <si>
    <t>C01222</t>
  </si>
  <si>
    <t>user1222@example.com</t>
  </si>
  <si>
    <t>C04905</t>
  </si>
  <si>
    <t>user4905@example.com</t>
  </si>
  <si>
    <t>338 374 4030</t>
  </si>
  <si>
    <t>C00114</t>
  </si>
  <si>
    <t>659 690 7012</t>
  </si>
  <si>
    <t>C00961</t>
  </si>
  <si>
    <t>user961@example.com</t>
  </si>
  <si>
    <t>C01524</t>
  </si>
  <si>
    <t>C02275</t>
  </si>
  <si>
    <t>(186) 647-2549</t>
  </si>
  <si>
    <t>C04426</t>
  </si>
  <si>
    <t>user4426@example.com</t>
  </si>
  <si>
    <t>468 559 6497</t>
  </si>
  <si>
    <t>C04646</t>
  </si>
  <si>
    <t>user4646@example.com</t>
  </si>
  <si>
    <t>C01297</t>
  </si>
  <si>
    <t>user1297@example.com</t>
  </si>
  <si>
    <t>C04559</t>
  </si>
  <si>
    <t>user4559@example.com</t>
  </si>
  <si>
    <t>405 487 1669</t>
  </si>
  <si>
    <t>C04040</t>
  </si>
  <si>
    <t>user4040@example.com</t>
  </si>
  <si>
    <t>C02573</t>
  </si>
  <si>
    <t>user2573@example.com</t>
  </si>
  <si>
    <t>(851) 727-2094</t>
  </si>
  <si>
    <t>C03436</t>
  </si>
  <si>
    <t>user3436@example.com</t>
  </si>
  <si>
    <t>195 773 6460</t>
  </si>
  <si>
    <t>C04543</t>
  </si>
  <si>
    <t>user4543@example.com</t>
  </si>
  <si>
    <t>383-831-3445</t>
  </si>
  <si>
    <t>C01840</t>
  </si>
  <si>
    <t>user1840@example.com</t>
  </si>
  <si>
    <t>(134) 929-3302</t>
  </si>
  <si>
    <t>C02961</t>
  </si>
  <si>
    <t>user2961@example.com</t>
  </si>
  <si>
    <t>C02229</t>
  </si>
  <si>
    <t>user2229@example.com</t>
  </si>
  <si>
    <t>(276) 408-6038</t>
  </si>
  <si>
    <t>C04705</t>
  </si>
  <si>
    <t>user4705@example.com</t>
  </si>
  <si>
    <t>(113) 775-2175</t>
  </si>
  <si>
    <t>C01423</t>
  </si>
  <si>
    <t>user2016@example.com</t>
  </si>
  <si>
    <t>745 853 9402</t>
  </si>
  <si>
    <t>C04205</t>
  </si>
  <si>
    <t>user4205@example.com</t>
  </si>
  <si>
    <t>(148) 400-7165</t>
  </si>
  <si>
    <t>C03037</t>
  </si>
  <si>
    <t>user3037@example.com</t>
  </si>
  <si>
    <t>(482) 774-7082</t>
  </si>
  <si>
    <t>C04148</t>
  </si>
  <si>
    <t>user4148@example.com</t>
  </si>
  <si>
    <t>495-245-3618</t>
  </si>
  <si>
    <t>C00039</t>
  </si>
  <si>
    <t>user1841@example.com</t>
  </si>
  <si>
    <t>468-892-7685</t>
  </si>
  <si>
    <t>C01593</t>
  </si>
  <si>
    <t>user1593@example.com</t>
  </si>
  <si>
    <t>(345) 768-4633</t>
  </si>
  <si>
    <t>C02882</t>
  </si>
  <si>
    <t>user2882@example.com</t>
  </si>
  <si>
    <t>C03347</t>
  </si>
  <si>
    <t>236 935 6356</t>
  </si>
  <si>
    <t>C04603</t>
  </si>
  <si>
    <t>user4603@example.com</t>
  </si>
  <si>
    <t>(469) 345-8153</t>
  </si>
  <si>
    <t>C04048</t>
  </si>
  <si>
    <t>user4048@example.com</t>
  </si>
  <si>
    <t>668-160-2941</t>
  </si>
  <si>
    <t>user1653@example.com</t>
  </si>
  <si>
    <t>197 949 7800</t>
  </si>
  <si>
    <t>C00790</t>
  </si>
  <si>
    <t>user790@example.com</t>
  </si>
  <si>
    <t>C02283</t>
  </si>
  <si>
    <t>user2283@example.com</t>
  </si>
  <si>
    <t>752.867.5947</t>
  </si>
  <si>
    <t>C02218</t>
  </si>
  <si>
    <t>C03705</t>
  </si>
  <si>
    <t>user3705@example.com</t>
  </si>
  <si>
    <t>C00872</t>
  </si>
  <si>
    <t>user872@example.com</t>
  </si>
  <si>
    <t>205-112-2106</t>
  </si>
  <si>
    <t>C04893</t>
  </si>
  <si>
    <t>user4893@example.com</t>
  </si>
  <si>
    <t>401.409.8255</t>
  </si>
  <si>
    <t>C02125</t>
  </si>
  <si>
    <t>user2125@example.com</t>
  </si>
  <si>
    <t>C03244</t>
  </si>
  <si>
    <t>user3244@example.com</t>
  </si>
  <si>
    <t>user74@example.com</t>
  </si>
  <si>
    <t>C01780</t>
  </si>
  <si>
    <t>user1780@example.com</t>
  </si>
  <si>
    <t>(512) 786-1097</t>
  </si>
  <si>
    <t>C01770</t>
  </si>
  <si>
    <t>(484) 901-8158</t>
  </si>
  <si>
    <t>C04884</t>
  </si>
  <si>
    <t>user4884@example.com</t>
  </si>
  <si>
    <t>(604) 497-5170</t>
  </si>
  <si>
    <t>C03698</t>
  </si>
  <si>
    <t>user3698@example.com</t>
  </si>
  <si>
    <t>807 810 1295</t>
  </si>
  <si>
    <t>C04339</t>
  </si>
  <si>
    <t>user4339@example.com</t>
  </si>
  <si>
    <t>640-339-9846</t>
  </si>
  <si>
    <t>C04590</t>
  </si>
  <si>
    <t>user4590@example.com</t>
  </si>
  <si>
    <t>(237) 837-5615</t>
  </si>
  <si>
    <t>C03834</t>
  </si>
  <si>
    <t>user3834@example.com</t>
  </si>
  <si>
    <t>898 179 2040</t>
  </si>
  <si>
    <t>C04336</t>
  </si>
  <si>
    <t>user4336@example.com</t>
  </si>
  <si>
    <t>667.244.7191</t>
  </si>
  <si>
    <t>C04997</t>
  </si>
  <si>
    <t>user4997@example.com</t>
  </si>
  <si>
    <t>C01752</t>
  </si>
  <si>
    <t>user1752@example.com</t>
  </si>
  <si>
    <t>(389) 945-3022</t>
  </si>
  <si>
    <t>C00495</t>
  </si>
  <si>
    <t>user495@example.com</t>
  </si>
  <si>
    <t>C02819</t>
  </si>
  <si>
    <t>user3152@example.com</t>
  </si>
  <si>
    <t>712.534.4085</t>
  </si>
  <si>
    <t>C02395</t>
  </si>
  <si>
    <t>user2395@example.com</t>
  </si>
  <si>
    <t>C02118</t>
  </si>
  <si>
    <t>user2118@example.com</t>
  </si>
  <si>
    <t>425-526-3936</t>
  </si>
  <si>
    <t>C01165</t>
  </si>
  <si>
    <t>user1165@example.com</t>
  </si>
  <si>
    <t>889.473.3069</t>
  </si>
  <si>
    <t>C02310</t>
  </si>
  <si>
    <t>user2310@example.com</t>
  </si>
  <si>
    <t>790 578 1484</t>
  </si>
  <si>
    <t>C03931</t>
  </si>
  <si>
    <t>263 308 8588</t>
  </si>
  <si>
    <t>C02597</t>
  </si>
  <si>
    <t>user2597@example.com</t>
  </si>
  <si>
    <t>755.620.6387</t>
  </si>
  <si>
    <t>C02487</t>
  </si>
  <si>
    <t>user2487@example.com</t>
  </si>
  <si>
    <t>(322) 890-6821</t>
  </si>
  <si>
    <t>C01729</t>
  </si>
  <si>
    <t>user1729@example.com</t>
  </si>
  <si>
    <t>408.827.6467</t>
  </si>
  <si>
    <t>C00619</t>
  </si>
  <si>
    <t>user619@example.com</t>
  </si>
  <si>
    <t>497 587 5398</t>
  </si>
  <si>
    <t>C02463</t>
  </si>
  <si>
    <t>user2463@example.com</t>
  </si>
  <si>
    <t>C01715</t>
  </si>
  <si>
    <t>user1715@example.com</t>
  </si>
  <si>
    <t>797.171.3730</t>
  </si>
  <si>
    <t>C03985</t>
  </si>
  <si>
    <t>user3985@example.com</t>
  </si>
  <si>
    <t>897-252-3743</t>
  </si>
  <si>
    <t>C04227</t>
  </si>
  <si>
    <t>user4227@example.com</t>
  </si>
  <si>
    <t>C03427</t>
  </si>
  <si>
    <t>user3427@example.com</t>
  </si>
  <si>
    <t>user3432@example.com</t>
  </si>
  <si>
    <t>(150) 383-6103</t>
  </si>
  <si>
    <t>C00870</t>
  </si>
  <si>
    <t>user870@example.com</t>
  </si>
  <si>
    <t>C04858</t>
  </si>
  <si>
    <t>user4858@example.com</t>
  </si>
  <si>
    <t>C01043</t>
  </si>
  <si>
    <t>user1043@example.com</t>
  </si>
  <si>
    <t>C02649</t>
  </si>
  <si>
    <t>user2649@example.com</t>
  </si>
  <si>
    <t>290 968 9496</t>
  </si>
  <si>
    <t>C00357</t>
  </si>
  <si>
    <t>user357@example.com</t>
  </si>
  <si>
    <t>C01163</t>
  </si>
  <si>
    <t>163.704.9775</t>
  </si>
  <si>
    <t>C02785</t>
  </si>
  <si>
    <t>user2785@example.com</t>
  </si>
  <si>
    <t>256 565 9789</t>
  </si>
  <si>
    <t>C01323</t>
  </si>
  <si>
    <t>user1323@example.com</t>
  </si>
  <si>
    <t>(585) 823-2688</t>
  </si>
  <si>
    <t>C04396</t>
  </si>
  <si>
    <t>user4396@example.com</t>
  </si>
  <si>
    <t>929-540-6143</t>
  </si>
  <si>
    <t>C01724</t>
  </si>
  <si>
    <t>user1724@example.com</t>
  </si>
  <si>
    <t>C01114</t>
  </si>
  <si>
    <t>user2603@example.com</t>
  </si>
  <si>
    <t>899-946-8993</t>
  </si>
  <si>
    <t>C03569</t>
  </si>
  <si>
    <t>user3569@example.com</t>
  </si>
  <si>
    <t>268.875.2328</t>
  </si>
  <si>
    <t>C04682</t>
  </si>
  <si>
    <t>user4682@example.com</t>
  </si>
  <si>
    <t>C03366</t>
  </si>
  <si>
    <t>user3366@example.com</t>
  </si>
  <si>
    <t>949 999 7836</t>
  </si>
  <si>
    <t>C03863</t>
  </si>
  <si>
    <t>user3863@example.com</t>
  </si>
  <si>
    <t>673-827-7409</t>
  </si>
  <si>
    <t>C00333</t>
  </si>
  <si>
    <t>user333@example.com</t>
  </si>
  <si>
    <t>C01816</t>
  </si>
  <si>
    <t>user1816@example.com</t>
  </si>
  <si>
    <t>C02756</t>
  </si>
  <si>
    <t>user2756@example.com</t>
  </si>
  <si>
    <t>(138) 953-7358</t>
  </si>
  <si>
    <t>C01676</t>
  </si>
  <si>
    <t>user1676@example.com</t>
  </si>
  <si>
    <t>C03692</t>
  </si>
  <si>
    <t>user3692@example.com</t>
  </si>
  <si>
    <t>user2880@example.com</t>
  </si>
  <si>
    <t>user1117@example.com</t>
  </si>
  <si>
    <t>C01878</t>
  </si>
  <si>
    <t>343-337-2507</t>
  </si>
  <si>
    <t>C03577</t>
  </si>
  <si>
    <t>user3577@example.com</t>
  </si>
  <si>
    <t>C02537</t>
  </si>
  <si>
    <t>user2537@example.com</t>
  </si>
  <si>
    <t>827.573.9518</t>
  </si>
  <si>
    <t>C02485</t>
  </si>
  <si>
    <t>C03287</t>
  </si>
  <si>
    <t>C03882</t>
  </si>
  <si>
    <t>user3882@example.com</t>
  </si>
  <si>
    <t>735-372-3452</t>
  </si>
  <si>
    <t>C00446</t>
  </si>
  <si>
    <t>user446@example.com</t>
  </si>
  <si>
    <t>776-869-9518</t>
  </si>
  <si>
    <t>C04053</t>
  </si>
  <si>
    <t>265 533 9458</t>
  </si>
  <si>
    <t>C00453</t>
  </si>
  <si>
    <t>user453@example.com</t>
  </si>
  <si>
    <t>136 133 3897</t>
  </si>
  <si>
    <t>C03856</t>
  </si>
  <si>
    <t>user3856@example.com</t>
  </si>
  <si>
    <t>800-796-6371</t>
  </si>
  <si>
    <t>user4449@example.com</t>
  </si>
  <si>
    <t>C02975</t>
  </si>
  <si>
    <t>user2975@example.com</t>
  </si>
  <si>
    <t>C00015</t>
  </si>
  <si>
    <t>user15@example.com</t>
  </si>
  <si>
    <t>C02643</t>
  </si>
  <si>
    <t>user2643@example.com</t>
  </si>
  <si>
    <t>606-329-4587</t>
  </si>
  <si>
    <t>C00946</t>
  </si>
  <si>
    <t>user946@example.com</t>
  </si>
  <si>
    <t>888-406-5617</t>
  </si>
  <si>
    <t>C00248</t>
  </si>
  <si>
    <t>user248@example.com</t>
  </si>
  <si>
    <t>(838) 555-6340</t>
  </si>
  <si>
    <t>user3239@example.com</t>
  </si>
  <si>
    <t>C00361</t>
  </si>
  <si>
    <t>user361@example.com</t>
  </si>
  <si>
    <t>672 857 8593</t>
  </si>
  <si>
    <t>C04672</t>
  </si>
  <si>
    <t>C01565</t>
  </si>
  <si>
    <t>user1565@example.com</t>
  </si>
  <si>
    <t>C03266</t>
  </si>
  <si>
    <t>(417) 618-3718</t>
  </si>
  <si>
    <t>C04877</t>
  </si>
  <si>
    <t>user4877@example.com</t>
  </si>
  <si>
    <t>983-944-8941</t>
  </si>
  <si>
    <t>C03190</t>
  </si>
  <si>
    <t>C02637</t>
  </si>
  <si>
    <t>user3102@example.com</t>
  </si>
  <si>
    <t>C04465</t>
  </si>
  <si>
    <t>user4465@example.com</t>
  </si>
  <si>
    <t>618-726-5656</t>
  </si>
  <si>
    <t>C01361</t>
  </si>
  <si>
    <t>user1361@example.com</t>
  </si>
  <si>
    <t>269-548-9344</t>
  </si>
  <si>
    <t>C04900</t>
  </si>
  <si>
    <t>C04114</t>
  </si>
  <si>
    <t>C00491</t>
  </si>
  <si>
    <t>user491@example.com</t>
  </si>
  <si>
    <t>C00863</t>
  </si>
  <si>
    <t>user863@example.com</t>
  </si>
  <si>
    <t>408-725-8075</t>
  </si>
  <si>
    <t>C01768</t>
  </si>
  <si>
    <t>412.187.5871</t>
  </si>
  <si>
    <t>C02230</t>
  </si>
  <si>
    <t>user2230@example.com</t>
  </si>
  <si>
    <t>289-341-4331</t>
  </si>
  <si>
    <t>C02095</t>
  </si>
  <si>
    <t>user2095@example.com</t>
  </si>
  <si>
    <t>418 858 6535</t>
  </si>
  <si>
    <t>C02465</t>
  </si>
  <si>
    <t>user2465@example.com</t>
  </si>
  <si>
    <t>678-194-2840</t>
  </si>
  <si>
    <t>C01648</t>
  </si>
  <si>
    <t>user1648@example.com</t>
  </si>
  <si>
    <t>(690) 121-5670</t>
  </si>
  <si>
    <t>C00507</t>
  </si>
  <si>
    <t>908.922.5551</t>
  </si>
  <si>
    <t>C02818</t>
  </si>
  <si>
    <t>user2818@example.com</t>
  </si>
  <si>
    <t>307.861.3467</t>
  </si>
  <si>
    <t>C04380</t>
  </si>
  <si>
    <t>user4380@example.com</t>
  </si>
  <si>
    <t>C01972</t>
  </si>
  <si>
    <t>user1972@example.com</t>
  </si>
  <si>
    <t>C01223</t>
  </si>
  <si>
    <t>user1223@example.com</t>
  </si>
  <si>
    <t>227-618-5891</t>
  </si>
  <si>
    <t>user1114@example.com</t>
  </si>
  <si>
    <t>C01935</t>
  </si>
  <si>
    <t>user1935@example.com</t>
  </si>
  <si>
    <t>C04810</t>
  </si>
  <si>
    <t>309-403-4007</t>
  </si>
  <si>
    <t>C02498</t>
  </si>
  <si>
    <t>user2498@example.com</t>
  </si>
  <si>
    <t>C04688</t>
  </si>
  <si>
    <t>(807) 256-3320</t>
  </si>
  <si>
    <t>C00434</t>
  </si>
  <si>
    <t>338-958-7958</t>
  </si>
  <si>
    <t>C02084</t>
  </si>
  <si>
    <t>user2084@example.com</t>
  </si>
  <si>
    <t>845 503 7106</t>
  </si>
  <si>
    <t>C04703</t>
  </si>
  <si>
    <t>user4703@example.com</t>
  </si>
  <si>
    <t>(977) 672-5995</t>
  </si>
  <si>
    <t>C02856</t>
  </si>
  <si>
    <t>user2856@example.com</t>
  </si>
  <si>
    <t>388 373 2364</t>
  </si>
  <si>
    <t>C04369</t>
  </si>
  <si>
    <t>user4369@example.com</t>
  </si>
  <si>
    <t>545.898.9286</t>
  </si>
  <si>
    <t>C04521</t>
  </si>
  <si>
    <t>user4521@example.com</t>
  </si>
  <si>
    <t>C04781</t>
  </si>
  <si>
    <t>C04982</t>
  </si>
  <si>
    <t>789-653-9324</t>
  </si>
  <si>
    <t>C03274</t>
  </si>
  <si>
    <t>user3274@example.com</t>
  </si>
  <si>
    <t>881 626 1592</t>
  </si>
  <si>
    <t>C03486</t>
  </si>
  <si>
    <t>user3486@example.com</t>
  </si>
  <si>
    <t>982.774.9462</t>
  </si>
  <si>
    <t>C01103</t>
  </si>
  <si>
    <t>user1103@example.com</t>
  </si>
  <si>
    <t>C02469</t>
  </si>
  <si>
    <t>user2469@example.com</t>
  </si>
  <si>
    <t>576.562.3493</t>
  </si>
  <si>
    <t>C02331</t>
  </si>
  <si>
    <t>user2331@example.com</t>
  </si>
  <si>
    <t>C04668</t>
  </si>
  <si>
    <t>C03867</t>
  </si>
  <si>
    <t>user3867@example.com</t>
  </si>
  <si>
    <t>user157@example.com</t>
  </si>
  <si>
    <t>660.110.1138</t>
  </si>
  <si>
    <t>C02999</t>
  </si>
  <si>
    <t>user2999@example.com</t>
  </si>
  <si>
    <t>C03568</t>
  </si>
  <si>
    <t>user3568@example.com</t>
  </si>
  <si>
    <t>C00616</t>
  </si>
  <si>
    <t>user616@example.com</t>
  </si>
  <si>
    <t>405-602-8083</t>
  </si>
  <si>
    <t>C00644</t>
  </si>
  <si>
    <t>user644@example.com</t>
  </si>
  <si>
    <t>808 514 8974</t>
  </si>
  <si>
    <t>C04244</t>
  </si>
  <si>
    <t>user4244@example.com</t>
  </si>
  <si>
    <t>333.540.6664</t>
  </si>
  <si>
    <t>C03878</t>
  </si>
  <si>
    <t>user3878@example.com</t>
  </si>
  <si>
    <t>user1069@example.com</t>
  </si>
  <si>
    <t>181 468 7524</t>
  </si>
  <si>
    <t>C03306</t>
  </si>
  <si>
    <t>user3306@example.com</t>
  </si>
  <si>
    <t>(524) 584-1501</t>
  </si>
  <si>
    <t>C02664</t>
  </si>
  <si>
    <t>user2664@example.com</t>
  </si>
  <si>
    <t>798-462-2071</t>
  </si>
  <si>
    <t>C04254</t>
  </si>
  <si>
    <t>user4254@example.com</t>
  </si>
  <si>
    <t>user3210@example.com</t>
  </si>
  <si>
    <t>C00331</t>
  </si>
  <si>
    <t>user331@example.com</t>
  </si>
  <si>
    <t>C04013</t>
  </si>
  <si>
    <t>980.108.6351</t>
  </si>
  <si>
    <t>C02665</t>
  </si>
  <si>
    <t>user2665@example.com</t>
  </si>
  <si>
    <t>C04495</t>
  </si>
  <si>
    <t>(105) 752-9863</t>
  </si>
  <si>
    <t>user623@example.com</t>
  </si>
  <si>
    <t>625-449-8594</t>
  </si>
  <si>
    <t>C04974</t>
  </si>
  <si>
    <t>user4974@example.com</t>
  </si>
  <si>
    <t>(934) 595-7676</t>
  </si>
  <si>
    <t>C02343</t>
  </si>
  <si>
    <t>C04478</t>
  </si>
  <si>
    <t>user4478@example.com</t>
  </si>
  <si>
    <t>145.896.4958</t>
  </si>
  <si>
    <t>C02922</t>
  </si>
  <si>
    <t>user2922@example.com</t>
  </si>
  <si>
    <t>C04271</t>
  </si>
  <si>
    <t>user4271@example.com</t>
  </si>
  <si>
    <t>(373) 739-4759</t>
  </si>
  <si>
    <t>C02053</t>
  </si>
  <si>
    <t>user2053@example.com</t>
  </si>
  <si>
    <t>C02729</t>
  </si>
  <si>
    <t>user2729@example.com</t>
  </si>
  <si>
    <t>(201) 568-4042</t>
  </si>
  <si>
    <t>C00756</t>
  </si>
  <si>
    <t>user756@example.com</t>
  </si>
  <si>
    <t>(938) 857-9008</t>
  </si>
  <si>
    <t>C00519</t>
  </si>
  <si>
    <t>user519@example.com</t>
  </si>
  <si>
    <t>C03828</t>
  </si>
  <si>
    <t>user3828@example.com</t>
  </si>
  <si>
    <t>C00033</t>
  </si>
  <si>
    <t>user33@example.com</t>
  </si>
  <si>
    <t>918-594-9192</t>
  </si>
  <si>
    <t>C02958</t>
  </si>
  <si>
    <t>user2958@example.com</t>
  </si>
  <si>
    <t>189.214.2460</t>
  </si>
  <si>
    <t>C00745</t>
  </si>
  <si>
    <t>user745@example.com</t>
  </si>
  <si>
    <t>C01425</t>
  </si>
  <si>
    <t>user1425@example.com</t>
  </si>
  <si>
    <t>C02421</t>
  </si>
  <si>
    <t>user2421@example.com</t>
  </si>
  <si>
    <t>C01663</t>
  </si>
  <si>
    <t>user1663@example.com</t>
  </si>
  <si>
    <t>C02610</t>
  </si>
  <si>
    <t>user2610@example.com</t>
  </si>
  <si>
    <t>762.907.8212</t>
  </si>
  <si>
    <t>C00784</t>
  </si>
  <si>
    <t>user784@example.com</t>
  </si>
  <si>
    <t>C04934</t>
  </si>
  <si>
    <t>user4934@example.com</t>
  </si>
  <si>
    <t>(957) 956-1015</t>
  </si>
  <si>
    <t>C04739</t>
  </si>
  <si>
    <t>user4739@example.com</t>
  </si>
  <si>
    <t>717-193-7262</t>
  </si>
  <si>
    <t>C00230</t>
  </si>
  <si>
    <t>C00858</t>
  </si>
  <si>
    <t>894-714-8184</t>
  </si>
  <si>
    <t>C01520</t>
  </si>
  <si>
    <t>user1520@example.com</t>
  </si>
  <si>
    <t>436 166 6198</t>
  </si>
  <si>
    <t>C02380</t>
  </si>
  <si>
    <t>user2380@example.com</t>
  </si>
  <si>
    <t>(416) 311-4675</t>
  </si>
  <si>
    <t>C00409</t>
  </si>
  <si>
    <t>user409@example.com</t>
  </si>
  <si>
    <t>C00171</t>
  </si>
  <si>
    <t>user171@example.com</t>
  </si>
  <si>
    <t>895.163.7271</t>
  </si>
  <si>
    <t>user541@example.com</t>
  </si>
  <si>
    <t>C02228</t>
  </si>
  <si>
    <t>user2228@example.com</t>
  </si>
  <si>
    <t>100 774 3416</t>
  </si>
  <si>
    <t>C02322</t>
  </si>
  <si>
    <t>user2322@example.com</t>
  </si>
  <si>
    <t>745.208.6206</t>
  </si>
  <si>
    <t>C02586</t>
  </si>
  <si>
    <t>user2586@example.com</t>
  </si>
  <si>
    <t>654-860-8444</t>
  </si>
  <si>
    <t>C00614</t>
  </si>
  <si>
    <t>(497) 898-7592</t>
  </si>
  <si>
    <t>C01514</t>
  </si>
  <si>
    <t>C01836</t>
  </si>
  <si>
    <t>user1836@example.com</t>
  </si>
  <si>
    <t>C03460</t>
  </si>
  <si>
    <t>user3460@example.com</t>
  </si>
  <si>
    <t>(383) 215-1046</t>
  </si>
  <si>
    <t>C01162</t>
  </si>
  <si>
    <t>user1162@example.com</t>
  </si>
  <si>
    <t>690 854 1027</t>
  </si>
  <si>
    <t>C02078</t>
  </si>
  <si>
    <t>user2078@example.com</t>
  </si>
  <si>
    <t>380.569.4320</t>
  </si>
  <si>
    <t>C03170</t>
  </si>
  <si>
    <t>user3170@example.com</t>
  </si>
  <si>
    <t>C01621</t>
  </si>
  <si>
    <t>user1621@example.com</t>
  </si>
  <si>
    <t>205 697 6105</t>
  </si>
  <si>
    <t>C03780</t>
  </si>
  <si>
    <t>user3780@example.com</t>
  </si>
  <si>
    <t>370.706.1805</t>
  </si>
  <si>
    <t>C01894</t>
  </si>
  <si>
    <t>user1894@example.com</t>
  </si>
  <si>
    <t>308-240-9535</t>
  </si>
  <si>
    <t>C02216</t>
  </si>
  <si>
    <t>user2216@example.com</t>
  </si>
  <si>
    <t>C00278</t>
  </si>
  <si>
    <t>user565@example.com</t>
  </si>
  <si>
    <t>C04960</t>
  </si>
  <si>
    <t>user4960@example.com</t>
  </si>
  <si>
    <t>456-301-3642</t>
  </si>
  <si>
    <t>C04377</t>
  </si>
  <si>
    <t>user4377@example.com</t>
  </si>
  <si>
    <t>(316) 947-3228</t>
  </si>
  <si>
    <t>C01823</t>
  </si>
  <si>
    <t>user1823@example.com</t>
  </si>
  <si>
    <t>232.814.6309</t>
  </si>
  <si>
    <t>C02793</t>
  </si>
  <si>
    <t>user2793@example.com</t>
  </si>
  <si>
    <t>(515) 531-7844</t>
  </si>
  <si>
    <t>C03733</t>
  </si>
  <si>
    <t>user3733@example.com</t>
  </si>
  <si>
    <t>200 788 3387</t>
  </si>
  <si>
    <t>C02288</t>
  </si>
  <si>
    <t>user2288@example.com</t>
  </si>
  <si>
    <t>C04944</t>
  </si>
  <si>
    <t>user4944@example.com</t>
  </si>
  <si>
    <t>725-244-8145</t>
  </si>
  <si>
    <t>C03498</t>
  </si>
  <si>
    <t>user3498@example.com</t>
  </si>
  <si>
    <t>C01558</t>
  </si>
  <si>
    <t>281.666.3664</t>
  </si>
  <si>
    <t>C03484</t>
  </si>
  <si>
    <t>user3484@example.com</t>
  </si>
  <si>
    <t>374-838-7075</t>
  </si>
  <si>
    <t>C03209</t>
  </si>
  <si>
    <t>120 602 8148</t>
  </si>
  <si>
    <t>C01539</t>
  </si>
  <si>
    <t>user1539@example.com</t>
  </si>
  <si>
    <t>C01173</t>
  </si>
  <si>
    <t>user1173@example.com</t>
  </si>
  <si>
    <t>user1449@example.com</t>
  </si>
  <si>
    <t>957 708 3591</t>
  </si>
  <si>
    <t>C00326</t>
  </si>
  <si>
    <t>251.481.8347</t>
  </si>
  <si>
    <t>C01052</t>
  </si>
  <si>
    <t>user1052@example.com</t>
  </si>
  <si>
    <t>(384) 425-1648</t>
  </si>
  <si>
    <t>C03594</t>
  </si>
  <si>
    <t>user3594@example.com</t>
  </si>
  <si>
    <t>C03814</t>
  </si>
  <si>
    <t>user3814@example.com</t>
  </si>
  <si>
    <t>683 253 2193</t>
  </si>
  <si>
    <t>C02906</t>
  </si>
  <si>
    <t>user2906@example.com</t>
  </si>
  <si>
    <t>C03662</t>
  </si>
  <si>
    <t>user3662@example.com</t>
  </si>
  <si>
    <t>C04623</t>
  </si>
  <si>
    <t>(835) 929-1914</t>
  </si>
  <si>
    <t>C01197</t>
  </si>
  <si>
    <t>user1197@example.com</t>
  </si>
  <si>
    <t>198-464-8763</t>
  </si>
  <si>
    <t>C00621</t>
  </si>
  <si>
    <t>user621@example.com</t>
  </si>
  <si>
    <t>930 477 4053</t>
  </si>
  <si>
    <t>C03276</t>
  </si>
  <si>
    <t>user3276@example.com</t>
  </si>
  <si>
    <t>438 776 8206</t>
  </si>
  <si>
    <t>C02900</t>
  </si>
  <si>
    <t>user2900@example.com</t>
  </si>
  <si>
    <t>572 432 7606</t>
  </si>
  <si>
    <t>C01190</t>
  </si>
  <si>
    <t>user1190@example.com</t>
  </si>
  <si>
    <t>C00329</t>
  </si>
  <si>
    <t>user329@example.com</t>
  </si>
  <si>
    <t>(569) 427-3556</t>
  </si>
  <si>
    <t>C00649</t>
  </si>
  <si>
    <t>user649@example.com</t>
  </si>
  <si>
    <t>314-592-3378</t>
  </si>
  <si>
    <t>C00898</t>
  </si>
  <si>
    <t>user898@example.com</t>
  </si>
  <si>
    <t>110.175.6863</t>
  </si>
  <si>
    <t>C01492</t>
  </si>
  <si>
    <t>C01124</t>
  </si>
  <si>
    <t>user1124@example.com</t>
  </si>
  <si>
    <t>C03948</t>
  </si>
  <si>
    <t>user3948@example.com</t>
  </si>
  <si>
    <t>433-286-3826</t>
  </si>
  <si>
    <t>C04986</t>
  </si>
  <si>
    <t>user4986@example.com</t>
  </si>
  <si>
    <t>593 604 7318</t>
  </si>
  <si>
    <t>C02788</t>
  </si>
  <si>
    <t>363 264 7030</t>
  </si>
  <si>
    <t>C01422</t>
  </si>
  <si>
    <t>user1422@example.com</t>
  </si>
  <si>
    <t>930.828.2251</t>
  </si>
  <si>
    <t>user1947@example.com</t>
  </si>
  <si>
    <t>(705) 126-2740</t>
  </si>
  <si>
    <t>C01814</t>
  </si>
  <si>
    <t>C03334</t>
  </si>
  <si>
    <t>user3334@example.com</t>
  </si>
  <si>
    <t>C04400</t>
  </si>
  <si>
    <t>C01570</t>
  </si>
  <si>
    <t>483-900-4668</t>
  </si>
  <si>
    <t>C01534</t>
  </si>
  <si>
    <t>user1534@example.com</t>
  </si>
  <si>
    <t>(950) 155-2514</t>
  </si>
  <si>
    <t>C00460</t>
  </si>
  <si>
    <t>user1024@example.com</t>
  </si>
  <si>
    <t>624 210 6359</t>
  </si>
  <si>
    <t>C04335</t>
  </si>
  <si>
    <t>user4335@example.com</t>
  </si>
  <si>
    <t>529 661 4314</t>
  </si>
  <si>
    <t>C02747</t>
  </si>
  <si>
    <t>752-217-2888</t>
  </si>
  <si>
    <t>C01838</t>
  </si>
  <si>
    <t>user1838@example.com</t>
  </si>
  <si>
    <t>C01421</t>
  </si>
  <si>
    <t>user1421@example.com</t>
  </si>
  <si>
    <t>377-611-7047</t>
  </si>
  <si>
    <t>C03730</t>
  </si>
  <si>
    <t>user3730@example.com</t>
  </si>
  <si>
    <t>C00810</t>
  </si>
  <si>
    <t>C04274</t>
  </si>
  <si>
    <t>user4274@example.com</t>
  </si>
  <si>
    <t>C00979</t>
  </si>
  <si>
    <t>user979@example.com</t>
  </si>
  <si>
    <t>(718) 688-6084</t>
  </si>
  <si>
    <t>C03478</t>
  </si>
  <si>
    <t>user3478@example.com</t>
  </si>
  <si>
    <t>(804) 984-5515</t>
  </si>
  <si>
    <t>C03833</t>
  </si>
  <si>
    <t>user3833@example.com</t>
  </si>
  <si>
    <t>730-562-5503</t>
  </si>
  <si>
    <t>C01757</t>
  </si>
  <si>
    <t>user1757@example.com</t>
  </si>
  <si>
    <t>C04441</t>
  </si>
  <si>
    <t>user4441@example.com</t>
  </si>
  <si>
    <t>(749) 124-7653</t>
  </si>
  <si>
    <t>C02439</t>
  </si>
  <si>
    <t>209.176.4983</t>
  </si>
  <si>
    <t>user2516@example.com</t>
  </si>
  <si>
    <t>609-308-6014</t>
  </si>
  <si>
    <t>C03260</t>
  </si>
  <si>
    <t>user3260@example.com</t>
  </si>
  <si>
    <t>C03461</t>
  </si>
  <si>
    <t>user3461@example.com</t>
  </si>
  <si>
    <t>C03801</t>
  </si>
  <si>
    <t>user3801@example.com</t>
  </si>
  <si>
    <t>904 819 9922</t>
  </si>
  <si>
    <t>C00175</t>
  </si>
  <si>
    <t>user175@example.com</t>
  </si>
  <si>
    <t>(760) 603-2776</t>
  </si>
  <si>
    <t>C02299</t>
  </si>
  <si>
    <t>726-394-8547</t>
  </si>
  <si>
    <t>C04087</t>
  </si>
  <si>
    <t>C01506</t>
  </si>
  <si>
    <t>979.393.7568</t>
  </si>
  <si>
    <t>C04476</t>
  </si>
  <si>
    <t>user4476@example.com</t>
  </si>
  <si>
    <t>175-659-7338</t>
  </si>
  <si>
    <t>C00218</t>
  </si>
  <si>
    <t>(429) 956-4493</t>
  </si>
  <si>
    <t>C03939</t>
  </si>
  <si>
    <t>user3939@example.com</t>
  </si>
  <si>
    <t>245.733.2478</t>
  </si>
  <si>
    <t>C03960</t>
  </si>
  <si>
    <t>986.359.9161</t>
  </si>
  <si>
    <t>C00691</t>
  </si>
  <si>
    <t>user691@example.com</t>
  </si>
  <si>
    <t>(745) 220-4365</t>
  </si>
  <si>
    <t>C04538</t>
  </si>
  <si>
    <t>user4538@example.com</t>
  </si>
  <si>
    <t>C02479</t>
  </si>
  <si>
    <t>user2479@example.com</t>
  </si>
  <si>
    <t>C04870</t>
  </si>
  <si>
    <t>user4870@example.com</t>
  </si>
  <si>
    <t>(597) 355-4074</t>
  </si>
  <si>
    <t>C01107</t>
  </si>
  <si>
    <t>user1107@example.com</t>
  </si>
  <si>
    <t>C00026</t>
  </si>
  <si>
    <t>user1633@example.com</t>
  </si>
  <si>
    <t>(772) 480-7094</t>
  </si>
  <si>
    <t>C03086</t>
  </si>
  <si>
    <t>user3086@example.com</t>
  </si>
  <si>
    <t>800-231-1462</t>
  </si>
  <si>
    <t>C01554</t>
  </si>
  <si>
    <t>user1554@example.com</t>
  </si>
  <si>
    <t>C00612</t>
  </si>
  <si>
    <t>user612@example.com</t>
  </si>
  <si>
    <t>361 282 4933</t>
  </si>
  <si>
    <t>user3263@example.com</t>
  </si>
  <si>
    <t>712-401-6812</t>
  </si>
  <si>
    <t>C04275</t>
  </si>
  <si>
    <t>user4275@example.com</t>
  </si>
  <si>
    <t>585 617 5695</t>
  </si>
  <si>
    <t>C00577</t>
  </si>
  <si>
    <t>359-616-7241</t>
  </si>
  <si>
    <t>C02081</t>
  </si>
  <si>
    <t>user2081@example.com</t>
  </si>
  <si>
    <t>(516) 674-5563</t>
  </si>
  <si>
    <t>C04450</t>
  </si>
  <si>
    <t>user4450@example.com</t>
  </si>
  <si>
    <t>427-213-6525</t>
  </si>
  <si>
    <t>C01181</t>
  </si>
  <si>
    <t>user1181@example.com</t>
  </si>
  <si>
    <t>934.775.3608</t>
  </si>
  <si>
    <t>C00889</t>
  </si>
  <si>
    <t>user889@example.com</t>
  </si>
  <si>
    <t>C03978</t>
  </si>
  <si>
    <t>user3978@example.com</t>
  </si>
  <si>
    <t>C04627</t>
  </si>
  <si>
    <t>646-761-2998</t>
  </si>
  <si>
    <t>C03854</t>
  </si>
  <si>
    <t>user3854@example.com</t>
  </si>
  <si>
    <t>(659) 686-2689</t>
  </si>
  <si>
    <t>C00818</t>
  </si>
  <si>
    <t>C03299</t>
  </si>
  <si>
    <t>user3299@example.com</t>
  </si>
  <si>
    <t>(354) 575-3510</t>
  </si>
  <si>
    <t>C01889</t>
  </si>
  <si>
    <t>user1889@example.com</t>
  </si>
  <si>
    <t>C00209</t>
  </si>
  <si>
    <t>user209@example.com</t>
  </si>
  <si>
    <t>769 119 8720</t>
  </si>
  <si>
    <t>C00170</t>
  </si>
  <si>
    <t>user294@example.com</t>
  </si>
  <si>
    <t>C01120</t>
  </si>
  <si>
    <t>user1120@example.com</t>
  </si>
  <si>
    <t>C00871</t>
  </si>
  <si>
    <t>user2504@example.com</t>
  </si>
  <si>
    <t>968 767 5926</t>
  </si>
  <si>
    <t>user1789@example.com</t>
  </si>
  <si>
    <t>(791) 755-3535</t>
  </si>
  <si>
    <t>C01265</t>
  </si>
  <si>
    <t>user1265@example.com</t>
  </si>
  <si>
    <t>C00991</t>
  </si>
  <si>
    <t>user991@example.com</t>
  </si>
  <si>
    <t>C04211</t>
  </si>
  <si>
    <t>user4211@example.com</t>
  </si>
  <si>
    <t>533.985.6966</t>
  </si>
  <si>
    <t>C01535</t>
  </si>
  <si>
    <t>user1535@example.com</t>
  </si>
  <si>
    <t>450 871 5864</t>
  </si>
  <si>
    <t>C00354</t>
  </si>
  <si>
    <t>user354@example.com</t>
  </si>
  <si>
    <t>C02174</t>
  </si>
  <si>
    <t>user4621@example.com</t>
  </si>
  <si>
    <t>(525) 936-2906</t>
  </si>
  <si>
    <t>C03385</t>
  </si>
  <si>
    <t>user3385@example.com</t>
  </si>
  <si>
    <t>(773) 399-5212</t>
  </si>
  <si>
    <t>(873) 515-5962</t>
  </si>
  <si>
    <t>C03909</t>
  </si>
  <si>
    <t>user3909@example.com</t>
  </si>
  <si>
    <t>(105) 431-6569</t>
  </si>
  <si>
    <t>C04547</t>
  </si>
  <si>
    <t>user4547@example.com</t>
  </si>
  <si>
    <t>(481) 835-4177</t>
  </si>
  <si>
    <t>C01229</t>
  </si>
  <si>
    <t>user1229@example.com</t>
  </si>
  <si>
    <t>C00260</t>
  </si>
  <si>
    <t>528 275 6629</t>
  </si>
  <si>
    <t>C01544</t>
  </si>
  <si>
    <t>user1544@example.com</t>
  </si>
  <si>
    <t>985 424 2861</t>
  </si>
  <si>
    <t>C04467</t>
  </si>
  <si>
    <t>user4467@example.com</t>
  </si>
  <si>
    <t>C04755</t>
  </si>
  <si>
    <t>user4755@example.com</t>
  </si>
  <si>
    <t>978.438.1541</t>
  </si>
  <si>
    <t>C02897</t>
  </si>
  <si>
    <t>565 663 5539</t>
  </si>
  <si>
    <t>C03103</t>
  </si>
  <si>
    <t>C00053</t>
  </si>
  <si>
    <t>user53@example.com</t>
  </si>
  <si>
    <t>C02214</t>
  </si>
  <si>
    <t>928 731 8478</t>
  </si>
  <si>
    <t>C01870</t>
  </si>
  <si>
    <t>user1870@example.com</t>
  </si>
  <si>
    <t>156-126-4214</t>
  </si>
  <si>
    <t>C02211</t>
  </si>
  <si>
    <t>444.763.2641</t>
  </si>
  <si>
    <t>C02427</t>
  </si>
  <si>
    <t>user2427@example.com</t>
  </si>
  <si>
    <t>248.413.6467</t>
  </si>
  <si>
    <t>user3999@example.com</t>
  </si>
  <si>
    <t>215-491-7597</t>
  </si>
  <si>
    <t>C02362</t>
  </si>
  <si>
    <t>user2362@example.com</t>
  </si>
  <si>
    <t>906.561.5225</t>
  </si>
  <si>
    <t>C01480</t>
  </si>
  <si>
    <t>user1480@example.com</t>
  </si>
  <si>
    <t>465-869-5626</t>
  </si>
  <si>
    <t>C01034</t>
  </si>
  <si>
    <t>user1034@example.com</t>
  </si>
  <si>
    <t>885.713.9185</t>
  </si>
  <si>
    <t>C01098</t>
  </si>
  <si>
    <t>user1098@example.com</t>
  </si>
  <si>
    <t>C01470</t>
  </si>
  <si>
    <t>user1470@example.com</t>
  </si>
  <si>
    <t>C00544</t>
  </si>
  <si>
    <t>user544@example.com</t>
  </si>
  <si>
    <t>510-304-6006</t>
  </si>
  <si>
    <t>C01047</t>
  </si>
  <si>
    <t>user1047@example.com</t>
  </si>
  <si>
    <t>(483) 610-5859</t>
  </si>
  <si>
    <t>C04142</t>
  </si>
  <si>
    <t>user4142@example.com</t>
  </si>
  <si>
    <t>C04766</t>
  </si>
  <si>
    <t>user4766@example.com</t>
  </si>
  <si>
    <t>(641) 264-8580</t>
  </si>
  <si>
    <t>C00031</t>
  </si>
  <si>
    <t>user31@example.com</t>
  </si>
  <si>
    <t>483-903-1612</t>
  </si>
  <si>
    <t>C00726</t>
  </si>
  <si>
    <t>user726@example.com</t>
  </si>
  <si>
    <t>C01810</t>
  </si>
  <si>
    <t>user2716@example.com</t>
  </si>
  <si>
    <t>486 184 9035</t>
  </si>
  <si>
    <t>C02115</t>
  </si>
  <si>
    <t>user2115@example.com</t>
  </si>
  <si>
    <t>C03928</t>
  </si>
  <si>
    <t>user3928@example.com</t>
  </si>
  <si>
    <t>739.194.1966</t>
  </si>
  <si>
    <t>C01427</t>
  </si>
  <si>
    <t>user1427@example.com</t>
  </si>
  <si>
    <t>C02570</t>
  </si>
  <si>
    <t>user2570@example.com</t>
  </si>
  <si>
    <t>579 429 3230</t>
  </si>
  <si>
    <t>C00437</t>
  </si>
  <si>
    <t>user437@example.com</t>
  </si>
  <si>
    <t>C02488</t>
  </si>
  <si>
    <t>user2488@example.com</t>
  </si>
  <si>
    <t>240-998-8203</t>
  </si>
  <si>
    <t>C00913</t>
  </si>
  <si>
    <t>user913@example.com</t>
  </si>
  <si>
    <t>713.539.5006</t>
  </si>
  <si>
    <t>C04236</t>
  </si>
  <si>
    <t>(995) 181-3832</t>
  </si>
  <si>
    <t>C04178</t>
  </si>
  <si>
    <t>user4178@example.com</t>
  </si>
  <si>
    <t>953 664 3383</t>
  </si>
  <si>
    <t>C04527</t>
  </si>
  <si>
    <t>660-484-3532</t>
  </si>
  <si>
    <t>C03352</t>
  </si>
  <si>
    <t>user3352@example.com</t>
  </si>
  <si>
    <t>(625) 718-9115</t>
  </si>
  <si>
    <t>C02305</t>
  </si>
  <si>
    <t>user2305@example.com</t>
  </si>
  <si>
    <t>C01610</t>
  </si>
  <si>
    <t>user1610@example.com</t>
  </si>
  <si>
    <t>262-634-5169</t>
  </si>
  <si>
    <t>C01239</t>
  </si>
  <si>
    <t>user1239@example.com</t>
  </si>
  <si>
    <t>185 360 7968</t>
  </si>
  <si>
    <t>C00904</t>
  </si>
  <si>
    <t>user904@example.com</t>
  </si>
  <si>
    <t>C02522</t>
  </si>
  <si>
    <t>user2522@example.com</t>
  </si>
  <si>
    <t>C03166</t>
  </si>
  <si>
    <t>user3166@example.com</t>
  </si>
  <si>
    <t>168-293-5174</t>
  </si>
  <si>
    <t>C02330</t>
  </si>
  <si>
    <t>520 293 1475</t>
  </si>
  <si>
    <t>C00508</t>
  </si>
  <si>
    <t>C04896</t>
  </si>
  <si>
    <t>user4896@example.com</t>
  </si>
  <si>
    <t>377-575-1340</t>
  </si>
  <si>
    <t>user184@example.com</t>
  </si>
  <si>
    <t>C01590</t>
  </si>
  <si>
    <t>user1590@example.com</t>
  </si>
  <si>
    <t>685-491-1414</t>
  </si>
  <si>
    <t>C01498</t>
  </si>
  <si>
    <t>user1498@example.com</t>
  </si>
  <si>
    <t>660.988.2428</t>
  </si>
  <si>
    <t>user3633@example.com</t>
  </si>
  <si>
    <t>C00322</t>
  </si>
  <si>
    <t>user322@example.com</t>
  </si>
  <si>
    <t>(343) 219-1674</t>
  </si>
  <si>
    <t>C01804</t>
  </si>
  <si>
    <t>783.202.9076</t>
  </si>
  <si>
    <t>C00079</t>
  </si>
  <si>
    <t>user79@example.com</t>
  </si>
  <si>
    <t>C03853</t>
  </si>
  <si>
    <t>user3853@example.com</t>
  </si>
  <si>
    <t>C02544</t>
  </si>
  <si>
    <t>user2544@example.com</t>
  </si>
  <si>
    <t>C01808</t>
  </si>
  <si>
    <t>user1808@example.com</t>
  </si>
  <si>
    <t>(128) 390-8488</t>
  </si>
  <si>
    <t>C04757</t>
  </si>
  <si>
    <t>user4757@example.com</t>
  </si>
  <si>
    <t>815.325.8704</t>
  </si>
  <si>
    <t>C04214</t>
  </si>
  <si>
    <t>user4214@example.com</t>
  </si>
  <si>
    <t>886.426.4616</t>
  </si>
  <si>
    <t>C04452</t>
  </si>
  <si>
    <t>user4452@example.com</t>
  </si>
  <si>
    <t>C01147</t>
  </si>
  <si>
    <t>(316) 274-2465</t>
  </si>
  <si>
    <t>C02087</t>
  </si>
  <si>
    <t>(557) 478-8811</t>
  </si>
  <si>
    <t>C00045</t>
  </si>
  <si>
    <t>user45@example.com</t>
  </si>
  <si>
    <t>C03820</t>
  </si>
  <si>
    <t>user3820@example.com</t>
  </si>
  <si>
    <t>902.659.1264</t>
  </si>
  <si>
    <t>C01551</t>
  </si>
  <si>
    <t>user1551@example.com</t>
  </si>
  <si>
    <t>(295) 795-1235</t>
  </si>
  <si>
    <t>C02320</t>
  </si>
  <si>
    <t>user2320@example.com</t>
  </si>
  <si>
    <t>C01379</t>
  </si>
  <si>
    <t>user1379@example.com</t>
  </si>
  <si>
    <t>324.848.5582</t>
  </si>
  <si>
    <t>C01989</t>
  </si>
  <si>
    <t>user1989@example.com</t>
  </si>
  <si>
    <t>C03033</t>
  </si>
  <si>
    <t>user3033@example.com</t>
  </si>
  <si>
    <t>C00414</t>
  </si>
  <si>
    <t>C03887</t>
  </si>
  <si>
    <t>user3887@example.com</t>
  </si>
  <si>
    <t>812-705-9580</t>
  </si>
  <si>
    <t>C01408</t>
  </si>
  <si>
    <t>user1408@example.com</t>
  </si>
  <si>
    <t>C03380</t>
  </si>
  <si>
    <t>user3380@example.com</t>
  </si>
  <si>
    <t>C00802</t>
  </si>
  <si>
    <t>user802@example.com</t>
  </si>
  <si>
    <t>C01289</t>
  </si>
  <si>
    <t>user1289@example.com</t>
  </si>
  <si>
    <t>318.102.7449</t>
  </si>
  <si>
    <t>C02875</t>
  </si>
  <si>
    <t>user2460@example.com</t>
  </si>
  <si>
    <t>C04123</t>
  </si>
  <si>
    <t>user4123@example.com</t>
  </si>
  <si>
    <t>427 584 2535</t>
  </si>
  <si>
    <t>C02828</t>
  </si>
  <si>
    <t>user2828@example.com</t>
  </si>
  <si>
    <t>199 873 1645</t>
  </si>
  <si>
    <t>C00257</t>
  </si>
  <si>
    <t>307.443.3084</t>
  </si>
  <si>
    <t>C04763</t>
  </si>
  <si>
    <t>user4763@example.com</t>
  </si>
  <si>
    <t>310.150.7077</t>
  </si>
  <si>
    <t>C04158</t>
  </si>
  <si>
    <t>user4158@example.com</t>
  </si>
  <si>
    <t>122 738 2038</t>
  </si>
  <si>
    <t>C01152</t>
  </si>
  <si>
    <t>914-808-6452</t>
  </si>
  <si>
    <t>C02319</t>
  </si>
  <si>
    <t>C00648</t>
  </si>
  <si>
    <t>user648@example.com</t>
  </si>
  <si>
    <t>935-116-4083</t>
  </si>
  <si>
    <t>C04261</t>
  </si>
  <si>
    <t>user4261@example.com</t>
  </si>
  <si>
    <t>C01290</t>
  </si>
  <si>
    <t>user1730@example.com</t>
  </si>
  <si>
    <t>C03726</t>
  </si>
  <si>
    <t>user3726@example.com</t>
  </si>
  <si>
    <t>662-923-3412</t>
  </si>
  <si>
    <t>C03793</t>
  </si>
  <si>
    <t>user3793@example.com</t>
  </si>
  <si>
    <t>C01316</t>
  </si>
  <si>
    <t>user1316@example.com</t>
  </si>
  <si>
    <t>794-949-6605</t>
  </si>
  <si>
    <t>C02032</t>
  </si>
  <si>
    <t>C03517</t>
  </si>
  <si>
    <t>user3517@example.com</t>
  </si>
  <si>
    <t>C04052</t>
  </si>
  <si>
    <t>user4052@example.com</t>
  </si>
  <si>
    <t>382 881 2474</t>
  </si>
  <si>
    <t>C01920</t>
  </si>
  <si>
    <t>775.356.1202</t>
  </si>
  <si>
    <t>C00084</t>
  </si>
  <si>
    <t>user1351@example.com</t>
  </si>
  <si>
    <t>C02518</t>
  </si>
  <si>
    <t>user113@example.com</t>
  </si>
  <si>
    <t>C03155</t>
  </si>
  <si>
    <t>user3155@example.com</t>
  </si>
  <si>
    <t>C00264</t>
  </si>
  <si>
    <t>521-977-9548</t>
  </si>
  <si>
    <t>C01394</t>
  </si>
  <si>
    <t>user1394@example.com</t>
  </si>
  <si>
    <t>841-639-3249</t>
  </si>
  <si>
    <t>C01908</t>
  </si>
  <si>
    <t>723-872-6508</t>
  </si>
  <si>
    <t>C01187</t>
  </si>
  <si>
    <t>user1187@example.com</t>
  </si>
  <si>
    <t>C02370</t>
  </si>
  <si>
    <t>user2370@example.com</t>
  </si>
  <si>
    <t>(722) 399-7295</t>
  </si>
  <si>
    <t>C00057</t>
  </si>
  <si>
    <t>user57@example.com</t>
  </si>
  <si>
    <t>155 188 7987</t>
  </si>
  <si>
    <t>C01310</t>
  </si>
  <si>
    <t>user1310@example.com</t>
  </si>
  <si>
    <t>C00696</t>
  </si>
  <si>
    <t>user696@example.com</t>
  </si>
  <si>
    <t>(225) 968-4307</t>
  </si>
  <si>
    <t>C04217</t>
  </si>
  <si>
    <t>user4217@example.com</t>
  </si>
  <si>
    <t>918.514.7246</t>
  </si>
  <si>
    <t>C03025</t>
  </si>
  <si>
    <t>138-609-8085</t>
  </si>
  <si>
    <t>C03618</t>
  </si>
  <si>
    <t>user3618@example.com</t>
  </si>
  <si>
    <t>987.994.1693</t>
  </si>
  <si>
    <t>C02212</t>
  </si>
  <si>
    <t>user2212@example.com</t>
  </si>
  <si>
    <t>(466) 413-3666</t>
  </si>
  <si>
    <t>C03168</t>
  </si>
  <si>
    <t>user3168@example.com</t>
  </si>
  <si>
    <t>C00320</t>
  </si>
  <si>
    <t>user320@example.com</t>
  </si>
  <si>
    <t>(733) 264-9770</t>
  </si>
  <si>
    <t>C02304</t>
  </si>
  <si>
    <t>user2304@example.com</t>
  </si>
  <si>
    <t>(645) 814-3785</t>
  </si>
  <si>
    <t>C00683</t>
  </si>
  <si>
    <t>user683@example.com</t>
  </si>
  <si>
    <t>675-329-8968</t>
  </si>
  <si>
    <t>C04045</t>
  </si>
  <si>
    <t>user4045@example.com</t>
  </si>
  <si>
    <t>(357) 591-2743</t>
  </si>
  <si>
    <t>C04323</t>
  </si>
  <si>
    <t>user4323@example.com</t>
  </si>
  <si>
    <t>860.702.7212</t>
  </si>
  <si>
    <t>C03670</t>
  </si>
  <si>
    <t>user3670@example.com</t>
  </si>
  <si>
    <t>194-361-1597</t>
  </si>
  <si>
    <t>C03530</t>
  </si>
  <si>
    <t>C02874</t>
  </si>
  <si>
    <t>C00287</t>
  </si>
  <si>
    <t>C00992</t>
  </si>
  <si>
    <t>user4249@example.com</t>
  </si>
  <si>
    <t>C02143</t>
  </si>
  <si>
    <t>user2143@example.com</t>
  </si>
  <si>
    <t>(673) 502-7181</t>
  </si>
  <si>
    <t>C02433</t>
  </si>
  <si>
    <t>user2433@example.com</t>
  </si>
  <si>
    <t>C01747</t>
  </si>
  <si>
    <t>user1747@example.com</t>
  </si>
  <si>
    <t>C04506</t>
  </si>
  <si>
    <t>user4506@example.com</t>
  </si>
  <si>
    <t>C04188</t>
  </si>
  <si>
    <t>user4188@example.com</t>
  </si>
  <si>
    <t>702.367.6137</t>
  </si>
  <si>
    <t>C01631</t>
  </si>
  <si>
    <t>user1631@example.com</t>
  </si>
  <si>
    <t>(928) 430-8035</t>
  </si>
  <si>
    <t>C02101</t>
  </si>
  <si>
    <t>user2101@example.com</t>
  </si>
  <si>
    <t>C00737</t>
  </si>
  <si>
    <t>user4292@example.com</t>
  </si>
  <si>
    <t>207 380 8363</t>
  </si>
  <si>
    <t>C00067</t>
  </si>
  <si>
    <t>user337@example.com</t>
  </si>
  <si>
    <t>465 194 6347</t>
  </si>
  <si>
    <t>C02403</t>
  </si>
  <si>
    <t>682.109.8041</t>
  </si>
  <si>
    <t>user4901@example.com</t>
  </si>
  <si>
    <t>(906) 798-8343</t>
  </si>
  <si>
    <t>C02660</t>
  </si>
  <si>
    <t>user2660@example.com</t>
  </si>
  <si>
    <t>733 548 9145</t>
  </si>
  <si>
    <t>C04419</t>
  </si>
  <si>
    <t>user4419@example.com</t>
  </si>
  <si>
    <t>(834) 357-5908</t>
  </si>
  <si>
    <t>C01072</t>
  </si>
  <si>
    <t>user1072@example.com</t>
  </si>
  <si>
    <t>(939) 912-8897</t>
  </si>
  <si>
    <t>C02308</t>
  </si>
  <si>
    <t>user2308@example.com</t>
  </si>
  <si>
    <t>312-865-9676</t>
  </si>
  <si>
    <t>C01700</t>
  </si>
  <si>
    <t>user1700@example.com</t>
  </si>
  <si>
    <t>(401) 293-7597</t>
  </si>
  <si>
    <t>C04734</t>
  </si>
  <si>
    <t>767 498 1463</t>
  </si>
  <si>
    <t>user3401@example.com</t>
  </si>
  <si>
    <t>(634) 934-9762</t>
  </si>
  <si>
    <t>C04127</t>
  </si>
  <si>
    <t>(623) 611-5430</t>
  </si>
  <si>
    <t>C03950</t>
  </si>
  <si>
    <t>user3950@example.com</t>
  </si>
  <si>
    <t>C03536</t>
  </si>
  <si>
    <t>user3536@example.com</t>
  </si>
  <si>
    <t>135.645.3868</t>
  </si>
  <si>
    <t>C01489</t>
  </si>
  <si>
    <t>user1489@example.com</t>
  </si>
  <si>
    <t>740-195-4794</t>
  </si>
  <si>
    <t>C00499</t>
  </si>
  <si>
    <t>user499@example.com</t>
  </si>
  <si>
    <t>C04359</t>
  </si>
  <si>
    <t>user4359@example.com</t>
  </si>
  <si>
    <t>198-654-3370</t>
  </si>
  <si>
    <t>C03502</t>
  </si>
  <si>
    <t>user3502@example.com</t>
  </si>
  <si>
    <t>user2576@example.com</t>
  </si>
  <si>
    <t>(500) 905-3612</t>
  </si>
  <si>
    <t>C02358</t>
  </si>
  <si>
    <t>user2358@example.com</t>
  </si>
  <si>
    <t>(914) 594-4442</t>
  </si>
  <si>
    <t>C03689</t>
  </si>
  <si>
    <t>user3689@example.com</t>
  </si>
  <si>
    <t>C04032</t>
  </si>
  <si>
    <t>user4032@example.com</t>
  </si>
  <si>
    <t>536 982 1366</t>
  </si>
  <si>
    <t>C03154</t>
  </si>
  <si>
    <t>user3154@example.com</t>
  </si>
  <si>
    <t>(803) 802-6922</t>
  </si>
  <si>
    <t>Jan 1 2023</t>
  </si>
  <si>
    <t>C01611</t>
  </si>
  <si>
    <t>user1611@example.com</t>
  </si>
  <si>
    <t>297-720-1484</t>
  </si>
  <si>
    <t>user2174@example.com</t>
  </si>
  <si>
    <t>957 783 2007</t>
  </si>
  <si>
    <t>C02296</t>
  </si>
  <si>
    <t>user2296@example.com</t>
  </si>
  <si>
    <t>373.573.6212</t>
  </si>
  <si>
    <t>C03308</t>
  </si>
  <si>
    <t>user3308@example.com</t>
  </si>
  <si>
    <t>(598) 603-7493</t>
  </si>
  <si>
    <t>C01023</t>
  </si>
  <si>
    <t>user1023@example.com</t>
  </si>
  <si>
    <t>C02300</t>
  </si>
  <si>
    <t>user2300@example.com</t>
  </si>
  <si>
    <t>C04902</t>
  </si>
  <si>
    <t>user4902@example.com</t>
  </si>
  <si>
    <t>363 738 3976</t>
  </si>
  <si>
    <t>C02017</t>
  </si>
  <si>
    <t>user2017@example.com</t>
  </si>
  <si>
    <t>C03085</t>
  </si>
  <si>
    <t>user3085@example.com</t>
  </si>
  <si>
    <t>(728) 520-2555</t>
  </si>
  <si>
    <t>C04993</t>
  </si>
  <si>
    <t>user4993@example.com</t>
  </si>
  <si>
    <t>571-615-2813</t>
  </si>
  <si>
    <t>user666@example.com</t>
  </si>
  <si>
    <t>814 546 1340</t>
  </si>
  <si>
    <t>C03957</t>
  </si>
  <si>
    <t>user3957@example.com</t>
  </si>
  <si>
    <t>C02657</t>
  </si>
  <si>
    <t>user2657@example.com</t>
  </si>
  <si>
    <t>207.926.4732</t>
  </si>
  <si>
    <t>C04229</t>
  </si>
  <si>
    <t>C04280</t>
  </si>
  <si>
    <t>(939) 647-6924</t>
  </si>
  <si>
    <t>C02451</t>
  </si>
  <si>
    <t>user2451@example.com</t>
  </si>
  <si>
    <t>C01018</t>
  </si>
  <si>
    <t>user1018@example.com</t>
  </si>
  <si>
    <t>885 306 5091</t>
  </si>
  <si>
    <t>C00558</t>
  </si>
  <si>
    <t>user558@example.com</t>
  </si>
  <si>
    <t>274.680.2922</t>
  </si>
  <si>
    <t>C02417</t>
  </si>
  <si>
    <t>user2417@example.com</t>
  </si>
  <si>
    <t>(298) 897-2781</t>
  </si>
  <si>
    <t>C01208</t>
  </si>
  <si>
    <t>user1208@example.com</t>
  </si>
  <si>
    <t>810.863.2549</t>
  </si>
  <si>
    <t>C03350</t>
  </si>
  <si>
    <t>525.195.8977</t>
  </si>
  <si>
    <t>C03695</t>
  </si>
  <si>
    <t>user3695@example.com</t>
  </si>
  <si>
    <t>147 317 4829</t>
  </si>
  <si>
    <t>C04420</t>
  </si>
  <si>
    <t>C01511</t>
  </si>
  <si>
    <t>C03861</t>
  </si>
  <si>
    <t>user3861@example.com</t>
  </si>
  <si>
    <t>642.722.7062</t>
  </si>
  <si>
    <t>C00246</t>
  </si>
  <si>
    <t>C01164</t>
  </si>
  <si>
    <t>user1164@example.com</t>
  </si>
  <si>
    <t>(967) 497-7941</t>
  </si>
  <si>
    <t>C02604</t>
  </si>
  <si>
    <t>C00267</t>
  </si>
  <si>
    <t>C04690</t>
  </si>
  <si>
    <t>C01115</t>
  </si>
  <si>
    <t>user1115@example.com</t>
  </si>
  <si>
    <t>187.486.3042</t>
  </si>
  <si>
    <t>C00064</t>
  </si>
  <si>
    <t>user64@example.com</t>
  </si>
  <si>
    <t>337 329 3354</t>
  </si>
  <si>
    <t>C02611</t>
  </si>
  <si>
    <t>user2611@example.com</t>
  </si>
  <si>
    <t>687 984 9564</t>
  </si>
  <si>
    <t>C02187</t>
  </si>
  <si>
    <t>user2187@example.com</t>
  </si>
  <si>
    <t>998-841-5042</t>
  </si>
  <si>
    <t>C02777</t>
  </si>
  <si>
    <t>user2777@example.com</t>
  </si>
  <si>
    <t>103 676 1957</t>
  </si>
  <si>
    <t>C04368</t>
  </si>
  <si>
    <t>user4368@example.com</t>
  </si>
  <si>
    <t>953 955 1743</t>
  </si>
  <si>
    <t>C03098</t>
  </si>
  <si>
    <t>user3098@example.com</t>
  </si>
  <si>
    <t>(830) 555-2902</t>
  </si>
  <si>
    <t>C02046</t>
  </si>
  <si>
    <t>user2046@example.com</t>
  </si>
  <si>
    <t>675-890-6295</t>
  </si>
  <si>
    <t>C02835</t>
  </si>
  <si>
    <t>user2835@example.com</t>
  </si>
  <si>
    <t>(238) 739-5916</t>
  </si>
  <si>
    <t>C02277</t>
  </si>
  <si>
    <t>C02079</t>
  </si>
  <si>
    <t>user2079@example.com</t>
  </si>
  <si>
    <t>370-771-8723</t>
  </si>
  <si>
    <t>C03197</t>
  </si>
  <si>
    <t>user3197@example.com</t>
  </si>
  <si>
    <t>C01238</t>
  </si>
  <si>
    <t>user1238@example.com</t>
  </si>
  <si>
    <t>765 267 7554</t>
  </si>
  <si>
    <t>C00104</t>
  </si>
  <si>
    <t>user104@example.com</t>
  </si>
  <si>
    <t>993.786.3056</t>
  </si>
  <si>
    <t>C03383</t>
  </si>
  <si>
    <t>user3383@example.com</t>
  </si>
  <si>
    <t>C00273</t>
  </si>
  <si>
    <t>user273@example.com</t>
  </si>
  <si>
    <t>607 346 2361</t>
  </si>
  <si>
    <t>C00509</t>
  </si>
  <si>
    <t>user509@example.com</t>
  </si>
  <si>
    <t>C02291</t>
  </si>
  <si>
    <t>user2291@example.com</t>
  </si>
  <si>
    <t>381 864 4042</t>
  </si>
  <si>
    <t>C04949</t>
  </si>
  <si>
    <t>user4949@example.com</t>
  </si>
  <si>
    <t>850.597.9373</t>
  </si>
  <si>
    <t>C04750</t>
  </si>
  <si>
    <t>user4750@example.com</t>
  </si>
  <si>
    <t>C00126</t>
  </si>
  <si>
    <t>user866@example.com</t>
  </si>
  <si>
    <t>198 732 7735</t>
  </si>
  <si>
    <t>C02452</t>
  </si>
  <si>
    <t>user2452@example.com</t>
  </si>
  <si>
    <t>991-904-6143</t>
  </si>
  <si>
    <t>C00909</t>
  </si>
  <si>
    <t>(478) 928-7100</t>
  </si>
  <si>
    <t>C02132</t>
  </si>
  <si>
    <t>user2132@example.com</t>
  </si>
  <si>
    <t>(369) 677-2676</t>
  </si>
  <si>
    <t>C02878</t>
  </si>
  <si>
    <t>user2878@example.com</t>
  </si>
  <si>
    <t>280-302-5313</t>
  </si>
  <si>
    <t>C03921</t>
  </si>
  <si>
    <t>user3921@example.com</t>
  </si>
  <si>
    <t>C01628</t>
  </si>
  <si>
    <t>user1628@example.com</t>
  </si>
  <si>
    <t>700.519.5808</t>
  </si>
  <si>
    <t>C02894</t>
  </si>
  <si>
    <t>user2894@example.com</t>
  </si>
  <si>
    <t>844.959.6227</t>
  </si>
  <si>
    <t>C01523</t>
  </si>
  <si>
    <t>user1523@example.com</t>
  </si>
  <si>
    <t>385-565-1627</t>
  </si>
  <si>
    <t>C00836</t>
  </si>
  <si>
    <t>user836@example.com</t>
  </si>
  <si>
    <t>C00359</t>
  </si>
  <si>
    <t>user359@example.com</t>
  </si>
  <si>
    <t>667.602.1691</t>
  </si>
  <si>
    <t>C00139</t>
  </si>
  <si>
    <t>user139@example.com</t>
  </si>
  <si>
    <t>888 492 4898</t>
  </si>
  <si>
    <t>C00300</t>
  </si>
  <si>
    <t>user300@example.com</t>
  </si>
  <si>
    <t>C01557</t>
  </si>
  <si>
    <t>user1557@example.com</t>
  </si>
  <si>
    <t>280-569-8018</t>
  </si>
  <si>
    <t>C01004</t>
  </si>
  <si>
    <t>786.866.8606</t>
  </si>
  <si>
    <t>C00383</t>
  </si>
  <si>
    <t>user383@example.com</t>
  </si>
  <si>
    <t>647-693-6761</t>
  </si>
  <si>
    <t>C00942</t>
  </si>
  <si>
    <t>user942@example.com</t>
  </si>
  <si>
    <t>(441) 301-6394</t>
  </si>
  <si>
    <t>C01943</t>
  </si>
  <si>
    <t>user1943@example.com</t>
  </si>
  <si>
    <t>434-721-6902</t>
  </si>
  <si>
    <t>C00969</t>
  </si>
  <si>
    <t>946-805-9005</t>
  </si>
  <si>
    <t>C00762</t>
  </si>
  <si>
    <t>user762@example.com</t>
  </si>
  <si>
    <t>783 559 3440</t>
  </si>
  <si>
    <t>C01733</t>
  </si>
  <si>
    <t>user1733@example.com</t>
  </si>
  <si>
    <t>(520) 976-4608</t>
  </si>
  <si>
    <t>C01903</t>
  </si>
  <si>
    <t>user1903@example.com</t>
  </si>
  <si>
    <t>119 983 7268</t>
  </si>
  <si>
    <t>C04931</t>
  </si>
  <si>
    <t>206-881-2797</t>
  </si>
  <si>
    <t>C01319</t>
  </si>
  <si>
    <t>user2104@example.com</t>
  </si>
  <si>
    <t>C04498</t>
  </si>
  <si>
    <t>user4498@example.com</t>
  </si>
  <si>
    <t>493-502-8275</t>
  </si>
  <si>
    <t>C00899</t>
  </si>
  <si>
    <t>user899@example.com</t>
  </si>
  <si>
    <t>668-217-3333</t>
  </si>
  <si>
    <t>C04024</t>
  </si>
  <si>
    <t>C02917</t>
  </si>
  <si>
    <t>user2917@example.com</t>
  </si>
  <si>
    <t>C01403</t>
  </si>
  <si>
    <t>user1403@example.com</t>
  </si>
  <si>
    <t>(591) 877-8279</t>
  </si>
  <si>
    <t>C02276</t>
  </si>
  <si>
    <t>user2276@example.com</t>
  </si>
  <si>
    <t>(844) 248-9084</t>
  </si>
  <si>
    <t>C03810</t>
  </si>
  <si>
    <t>user3810@example.com</t>
  </si>
  <si>
    <t>790.263.2412</t>
  </si>
  <si>
    <t>C04401</t>
  </si>
  <si>
    <t>user4401@example.com</t>
  </si>
  <si>
    <t>(930) 761-3307</t>
  </si>
  <si>
    <t>C04723</t>
  </si>
  <si>
    <t>user4723@example.com</t>
  </si>
  <si>
    <t>262 782 1244</t>
  </si>
  <si>
    <t>C00951</t>
  </si>
  <si>
    <t>user1513@example.com</t>
  </si>
  <si>
    <t>397-484-3592</t>
  </si>
  <si>
    <t>C01189</t>
  </si>
  <si>
    <t>user1189@example.com</t>
  </si>
  <si>
    <t>C04709</t>
  </si>
  <si>
    <t>user4709@example.com</t>
  </si>
  <si>
    <t>C03468</t>
  </si>
  <si>
    <t>user3468@example.com</t>
  </si>
  <si>
    <t>C03864</t>
  </si>
  <si>
    <t>user4344@example.com</t>
  </si>
  <si>
    <t>922.705.8024</t>
  </si>
  <si>
    <t>C03459</t>
  </si>
  <si>
    <t>user3459@example.com</t>
  </si>
  <si>
    <t>C00109</t>
  </si>
  <si>
    <t>user109@example.com</t>
  </si>
  <si>
    <t>C03656</t>
  </si>
  <si>
    <t>user3656@example.com</t>
  </si>
  <si>
    <t>846.390.2961</t>
  </si>
  <si>
    <t>C02464</t>
  </si>
  <si>
    <t>user2464@example.com</t>
  </si>
  <si>
    <t>C03253</t>
  </si>
  <si>
    <t>user3253@example.com</t>
  </si>
  <si>
    <t>985 704 3291</t>
  </si>
  <si>
    <t>C00059</t>
  </si>
  <si>
    <t>user59@example.com</t>
  </si>
  <si>
    <t>C00077</t>
  </si>
  <si>
    <t>user77@example.com</t>
  </si>
  <si>
    <t>680 906 6606</t>
  </si>
  <si>
    <t>C00797</t>
  </si>
  <si>
    <t>user797@example.com</t>
  </si>
  <si>
    <t>966-751-9199</t>
  </si>
  <si>
    <t>C00369</t>
  </si>
  <si>
    <t>user369@example.com</t>
  </si>
  <si>
    <t>743.802.8799</t>
  </si>
  <si>
    <t>C01588</t>
  </si>
  <si>
    <t>user4921@example.com</t>
  </si>
  <si>
    <t>761-784-6564</t>
  </si>
  <si>
    <t>C00786</t>
  </si>
  <si>
    <t>user786@example.com</t>
  </si>
  <si>
    <t>201 427 3334</t>
  </si>
  <si>
    <t>C02223</t>
  </si>
  <si>
    <t>user2223@example.com</t>
  </si>
  <si>
    <t>C01155</t>
  </si>
  <si>
    <t>872.263.3761</t>
  </si>
  <si>
    <t>C02037</t>
  </si>
  <si>
    <t>user2037@example.com</t>
  </si>
  <si>
    <t>198.324.2841</t>
  </si>
  <si>
    <t>C02355</t>
  </si>
  <si>
    <t>user2355@example.com</t>
  </si>
  <si>
    <t>(967) 368-2831</t>
  </si>
  <si>
    <t>C03556</t>
  </si>
  <si>
    <t>C02268</t>
  </si>
  <si>
    <t>user2268@example.com</t>
  </si>
  <si>
    <t>475 151 7050</t>
  </si>
  <si>
    <t>C01731</t>
  </si>
  <si>
    <t>user1731@example.com</t>
  </si>
  <si>
    <t>376-802-9508</t>
  </si>
  <si>
    <t>C00122</t>
  </si>
  <si>
    <t>user122@example.com</t>
  </si>
  <si>
    <t>C01873</t>
  </si>
  <si>
    <t>user1873@example.com</t>
  </si>
  <si>
    <t>153 496 7180</t>
  </si>
  <si>
    <t>C04514</t>
  </si>
  <si>
    <t>user4514@example.com</t>
  </si>
  <si>
    <t>762-914-3800</t>
  </si>
  <si>
    <t>C03667</t>
  </si>
  <si>
    <t>user3667@example.com</t>
  </si>
  <si>
    <t>(721) 716-9287</t>
  </si>
  <si>
    <t>C00911</t>
  </si>
  <si>
    <t>user911@example.com</t>
  </si>
  <si>
    <t>247-233-4107</t>
  </si>
  <si>
    <t>C00125</t>
  </si>
  <si>
    <t>user125@example.com</t>
  </si>
  <si>
    <t>917.401.5738</t>
  </si>
  <si>
    <t>C03189</t>
  </si>
  <si>
    <t>C01587</t>
  </si>
  <si>
    <t>user1587@example.com</t>
  </si>
  <si>
    <t>195-126-8166</t>
  </si>
  <si>
    <t>C01258</t>
  </si>
  <si>
    <t>user1258@example.com</t>
  </si>
  <si>
    <t>C04004</t>
  </si>
  <si>
    <t>user4004@example.com</t>
  </si>
  <si>
    <t>C04109</t>
  </si>
  <si>
    <t>user4109@example.com</t>
  </si>
  <si>
    <t>970-658-2371</t>
  </si>
  <si>
    <t>user3405@example.com</t>
  </si>
  <si>
    <t>317 271 4115</t>
  </si>
  <si>
    <t>C01179</t>
  </si>
  <si>
    <t>user1179@example.com</t>
  </si>
  <si>
    <t>C03065</t>
  </si>
  <si>
    <t>user3065@example.com</t>
  </si>
  <si>
    <t>(124) 116-1509</t>
  </si>
  <si>
    <t>C03492</t>
  </si>
  <si>
    <t>user3492@example.com</t>
  </si>
  <si>
    <t>(120) 435-7876</t>
  </si>
  <si>
    <t>C02615</t>
  </si>
  <si>
    <t>user2615@example.com</t>
  </si>
  <si>
    <t>C03803</t>
  </si>
  <si>
    <t>797 221 8431</t>
  </si>
  <si>
    <t>C00443</t>
  </si>
  <si>
    <t>user443@example.com</t>
  </si>
  <si>
    <t>610-794-1438</t>
  </si>
  <si>
    <t>C01933</t>
  </si>
  <si>
    <t>user1933@example.com</t>
  </si>
  <si>
    <t>C03110</t>
  </si>
  <si>
    <t>user3110@example.com</t>
  </si>
  <si>
    <t>C00926</t>
  </si>
  <si>
    <t>user926@example.com</t>
  </si>
  <si>
    <t>(307) 562-4840</t>
  </si>
  <si>
    <t>C02438</t>
  </si>
  <si>
    <t>user2438@example.com</t>
  </si>
  <si>
    <t>(732) 615-8210</t>
  </si>
  <si>
    <t>C03524</t>
  </si>
  <si>
    <t>user3524@example.com</t>
  </si>
  <si>
    <t>C04786</t>
  </si>
  <si>
    <t>user4786@example.com</t>
  </si>
  <si>
    <t>C01412</t>
  </si>
  <si>
    <t>user1412@example.com</t>
  </si>
  <si>
    <t>(800) 493-2841</t>
  </si>
  <si>
    <t>C03489</t>
  </si>
  <si>
    <t>user3489@example.com</t>
  </si>
  <si>
    <t>358.929.5002</t>
  </si>
  <si>
    <t>user1778@example.com</t>
  </si>
  <si>
    <t>(735) 656-5806</t>
  </si>
  <si>
    <t>C01510</t>
  </si>
  <si>
    <t>user1510@example.com</t>
  </si>
  <si>
    <t>C01228</t>
  </si>
  <si>
    <t>user1228@example.com</t>
  </si>
  <si>
    <t>(690) 602-6127</t>
  </si>
  <si>
    <t>C03625</t>
  </si>
  <si>
    <t>user3625@example.com</t>
  </si>
  <si>
    <t>625.689.9689</t>
  </si>
  <si>
    <t>C02373</t>
  </si>
  <si>
    <t>C03535</t>
  </si>
  <si>
    <t>user3535@example.com</t>
  </si>
  <si>
    <t>487 107 3807</t>
  </si>
  <si>
    <t>C04959</t>
  </si>
  <si>
    <t>user4959@example.com</t>
  </si>
  <si>
    <t>C04522</t>
  </si>
  <si>
    <t>C00325</t>
  </si>
  <si>
    <t>user325@example.com</t>
  </si>
  <si>
    <t>C03101</t>
  </si>
  <si>
    <t>user3101@example.com</t>
  </si>
  <si>
    <t>475 913 8044</t>
  </si>
  <si>
    <t>C04469</t>
  </si>
  <si>
    <t>user4469@example.com</t>
  </si>
  <si>
    <t>454.878.4991</t>
  </si>
  <si>
    <t>C02183</t>
  </si>
  <si>
    <t>user3320@example.com</t>
  </si>
  <si>
    <t>139-696-2349</t>
  </si>
  <si>
    <t>C03056</t>
  </si>
  <si>
    <t>user3056@example.com</t>
  </si>
  <si>
    <t>C01499</t>
  </si>
  <si>
    <t>user1499@example.com</t>
  </si>
  <si>
    <t>196 565 6139</t>
  </si>
  <si>
    <t>C01503</t>
  </si>
  <si>
    <t>user1503@example.com</t>
  </si>
  <si>
    <t>584.362.8242</t>
  </si>
  <si>
    <t>C01007</t>
  </si>
  <si>
    <t>user1007@example.com</t>
  </si>
  <si>
    <t>(582) 940-5573</t>
  </si>
  <si>
    <t>C04011</t>
  </si>
  <si>
    <t>908-671-7468</t>
  </si>
  <si>
    <t>C03734</t>
  </si>
  <si>
    <t>user3734@example.com</t>
  </si>
  <si>
    <t>C03816</t>
  </si>
  <si>
    <t>user3816@example.com</t>
  </si>
  <si>
    <t>684-242-6363</t>
  </si>
  <si>
    <t>C01468</t>
  </si>
  <si>
    <t>user1468@example.com</t>
  </si>
  <si>
    <t>768.757.7637</t>
  </si>
  <si>
    <t>C01226</t>
  </si>
  <si>
    <t>user1226@example.com</t>
  </si>
  <si>
    <t>147.631.5807</t>
  </si>
  <si>
    <t>C03997</t>
  </si>
  <si>
    <t>user3997@example.com</t>
  </si>
  <si>
    <t>577 870 3287</t>
  </si>
  <si>
    <t>C02285</t>
  </si>
  <si>
    <t>C02022</t>
  </si>
  <si>
    <t>user2022@example.com</t>
  </si>
  <si>
    <t>(240) 700-7163</t>
  </si>
  <si>
    <t>C01217</t>
  </si>
  <si>
    <t>(774) 220-3960</t>
  </si>
  <si>
    <t>C04422</t>
  </si>
  <si>
    <t>user4422@example.com</t>
  </si>
  <si>
    <t>916 745 5881</t>
  </si>
  <si>
    <t>C03521</t>
  </si>
  <si>
    <t>user3521@example.com</t>
  </si>
  <si>
    <t>537-813-6717</t>
  </si>
  <si>
    <t>C00421</t>
  </si>
  <si>
    <t>user421@example.com</t>
  </si>
  <si>
    <t>C03444</t>
  </si>
  <si>
    <t>user3444@example.com</t>
  </si>
  <si>
    <t>323 846 3075</t>
  </si>
  <si>
    <t>C00933</t>
  </si>
  <si>
    <t>user933@example.com</t>
  </si>
  <si>
    <t>561 578 8086</t>
  </si>
  <si>
    <t>C01692</t>
  </si>
  <si>
    <t>user1692@example.com</t>
  </si>
  <si>
    <t>571-291-5370</t>
  </si>
  <si>
    <t>C00440</t>
  </si>
  <si>
    <t>user440@example.com</t>
  </si>
  <si>
    <t>210 225 5107</t>
  </si>
  <si>
    <t>C01314</t>
  </si>
  <si>
    <t>user1314@example.com</t>
  </si>
  <si>
    <t>(259) 452-9192</t>
  </si>
  <si>
    <t>C00679</t>
  </si>
  <si>
    <t>user679@example.com</t>
  </si>
  <si>
    <t>467-367-6849</t>
  </si>
  <si>
    <t>C01973</t>
  </si>
  <si>
    <t>user1973@example.com</t>
  </si>
  <si>
    <t>(223) 528-5315</t>
  </si>
  <si>
    <t>C04626</t>
  </si>
  <si>
    <t>user4626@example.com</t>
  </si>
  <si>
    <t>C04391</t>
  </si>
  <si>
    <t>user4391@example.com</t>
  </si>
  <si>
    <t>C02484</t>
  </si>
  <si>
    <t>user2484@example.com</t>
  </si>
  <si>
    <t>991.422.4770</t>
  </si>
  <si>
    <t>user4649@example.com</t>
  </si>
  <si>
    <t>C02635</t>
  </si>
  <si>
    <t>user2635@example.com</t>
  </si>
  <si>
    <t>C02536</t>
  </si>
  <si>
    <t>user2536@example.com</t>
  </si>
  <si>
    <t>C02457</t>
  </si>
  <si>
    <t>user2457@example.com</t>
  </si>
  <si>
    <t>C04808</t>
  </si>
  <si>
    <t>user4808@example.com</t>
  </si>
  <si>
    <t>C00561</t>
  </si>
  <si>
    <t>user2820@example.com</t>
  </si>
  <si>
    <t>738.423.8317</t>
  </si>
  <si>
    <t>C02259</t>
  </si>
  <si>
    <t>user4259@example.com</t>
  </si>
  <si>
    <t>548 892 7523</t>
  </si>
  <si>
    <t>C02797</t>
  </si>
  <si>
    <t>user2797@example.com</t>
  </si>
  <si>
    <t>C02659</t>
  </si>
  <si>
    <t>user2659@example.com</t>
  </si>
  <si>
    <t>688.956.1871</t>
  </si>
  <si>
    <t>C00195</t>
  </si>
  <si>
    <t>user195@example.com</t>
  </si>
  <si>
    <t>812.499.2749</t>
  </si>
  <si>
    <t>C01475</t>
  </si>
  <si>
    <t>user1475@example.com</t>
  </si>
  <si>
    <t>C04468</t>
  </si>
  <si>
    <t>user4468@example.com</t>
  </si>
  <si>
    <t>C01212</t>
  </si>
  <si>
    <t>user1212@example.com</t>
  </si>
  <si>
    <t>C04698</t>
  </si>
  <si>
    <t>user4698@example.com</t>
  </si>
  <si>
    <t>975-763-2879</t>
  </si>
  <si>
    <t>C01658</t>
  </si>
  <si>
    <t>user1658@example.com</t>
  </si>
  <si>
    <t>813.565.9082</t>
  </si>
  <si>
    <t>C02719</t>
  </si>
  <si>
    <t>user2719@example.com</t>
  </si>
  <si>
    <t>609.905.5705</t>
  </si>
  <si>
    <t>C03040</t>
  </si>
  <si>
    <t>user3040@example.com</t>
  </si>
  <si>
    <t>278 694 7582</t>
  </si>
  <si>
    <t>C03836</t>
  </si>
  <si>
    <t>725 644 9068</t>
  </si>
  <si>
    <t>C02237</t>
  </si>
  <si>
    <t>user2237@example.com</t>
  </si>
  <si>
    <t>C01875</t>
  </si>
  <si>
    <t>user1875@example.com</t>
  </si>
  <si>
    <t>C02199</t>
  </si>
  <si>
    <t>user4083@example.com</t>
  </si>
  <si>
    <t>C01131</t>
  </si>
  <si>
    <t>716-225-9693</t>
  </si>
  <si>
    <t>C01462</t>
  </si>
  <si>
    <t>user1462@example.com</t>
  </si>
  <si>
    <t>C00277</t>
  </si>
  <si>
    <t>user277@example.com</t>
  </si>
  <si>
    <t>C02587</t>
  </si>
  <si>
    <t>user2587@example.com</t>
  </si>
  <si>
    <t>(172) 872-6593</t>
  </si>
  <si>
    <t>C02349</t>
  </si>
  <si>
    <t>C02314</t>
  </si>
  <si>
    <t>user2314@example.com</t>
  </si>
  <si>
    <t>C01303</t>
  </si>
  <si>
    <t>C02535</t>
  </si>
  <si>
    <t>user2535@example.com</t>
  </si>
  <si>
    <t>(331) 356-4024</t>
  </si>
  <si>
    <t>C00054</t>
  </si>
  <si>
    <t>C04656</t>
  </si>
  <si>
    <t>(881) 507-9668</t>
  </si>
  <si>
    <t>689.890.5542</t>
  </si>
  <si>
    <t>C00574</t>
  </si>
  <si>
    <t>user574@example.com</t>
  </si>
  <si>
    <t>197-670-1962</t>
  </si>
  <si>
    <t>C01237</t>
  </si>
  <si>
    <t>user1237@example.com</t>
  </si>
  <si>
    <t>663-361-5270</t>
  </si>
  <si>
    <t>C03567</t>
  </si>
  <si>
    <t>user3567@example.com</t>
  </si>
  <si>
    <t>C04384</t>
  </si>
  <si>
    <t>user4384@example.com</t>
  </si>
  <si>
    <t>239-529-2187</t>
  </si>
  <si>
    <t>C01335</t>
  </si>
  <si>
    <t>user1335@example.com</t>
  </si>
  <si>
    <t>(427) 148-3977</t>
  </si>
  <si>
    <t>C02945</t>
  </si>
  <si>
    <t>user2945@example.com</t>
  </si>
  <si>
    <t>354.909.7160</t>
  </si>
  <si>
    <t>C00419</t>
  </si>
  <si>
    <t>user419@example.com</t>
  </si>
  <si>
    <t>226.577.2807</t>
  </si>
  <si>
    <t>C00025</t>
  </si>
  <si>
    <t>user268@example.com</t>
  </si>
  <si>
    <t>(435) 544-4643</t>
  </si>
  <si>
    <t>C01105</t>
  </si>
  <si>
    <t>user1105@example.com</t>
  </si>
  <si>
    <t>171-892-7845</t>
  </si>
  <si>
    <t>C00258</t>
  </si>
  <si>
    <t>808-682-1977</t>
  </si>
  <si>
    <t>C00296</t>
  </si>
  <si>
    <t>user296@example.com</t>
  </si>
  <si>
    <t>C02379</t>
  </si>
  <si>
    <t>user2379@example.com</t>
  </si>
  <si>
    <t>784-166-6609</t>
  </si>
  <si>
    <t>C00387</t>
  </si>
  <si>
    <t>user387@example.com</t>
  </si>
  <si>
    <t>(258) 615-4622</t>
  </si>
  <si>
    <t>C00741</t>
  </si>
  <si>
    <t>user3480@example.com</t>
  </si>
  <si>
    <t>325 548 3187</t>
  </si>
  <si>
    <t>C03520</t>
  </si>
  <si>
    <t>user3520@example.com</t>
  </si>
  <si>
    <t>C01786</t>
  </si>
  <si>
    <t>882.102.7162</t>
  </si>
  <si>
    <t>C02265</t>
  </si>
  <si>
    <t>user2265@example.com</t>
  </si>
  <si>
    <t>(627) 932-8454</t>
  </si>
  <si>
    <t>C04350</t>
  </si>
  <si>
    <t>969 746 9552</t>
  </si>
  <si>
    <t>C03538</t>
  </si>
  <si>
    <t>user3538@example.com</t>
  </si>
  <si>
    <t>882-261-4469</t>
  </si>
  <si>
    <t>C01868</t>
  </si>
  <si>
    <t>user1868@example.com</t>
  </si>
  <si>
    <t>C04399</t>
  </si>
  <si>
    <t>user4399@example.com</t>
  </si>
  <si>
    <t>C01564</t>
  </si>
  <si>
    <t>748-554-9247</t>
  </si>
  <si>
    <t>C01922</t>
  </si>
  <si>
    <t>user1922@example.com</t>
  </si>
  <si>
    <t>967.283.8271</t>
  </si>
  <si>
    <t>C01401</t>
  </si>
  <si>
    <t>C00713</t>
  </si>
  <si>
    <t>user713@example.com</t>
  </si>
  <si>
    <t>C02367</t>
  </si>
  <si>
    <t>C02548</t>
  </si>
  <si>
    <t>user210@example.com</t>
  </si>
  <si>
    <t>C03968</t>
  </si>
  <si>
    <t>(693) 671-9502</t>
  </si>
  <si>
    <t>(412) 758-9446</t>
  </si>
  <si>
    <t>C02012</t>
  </si>
  <si>
    <t>user2012@example.com</t>
  </si>
  <si>
    <t>C00450</t>
  </si>
  <si>
    <t>user450@example.com</t>
  </si>
  <si>
    <t>C04151</t>
  </si>
  <si>
    <t>user4151@example.com</t>
  </si>
  <si>
    <t>C02588</t>
  </si>
  <si>
    <t>user2588@example.com</t>
  </si>
  <si>
    <t>141.490.5185</t>
  </si>
  <si>
    <t>C01821</t>
  </si>
  <si>
    <t>720 774 3955</t>
  </si>
  <si>
    <t>user959@example.com</t>
  </si>
  <si>
    <t>330.529.7974</t>
  </si>
  <si>
    <t>C01794</t>
  </si>
  <si>
    <t>user1794@example.com</t>
  </si>
  <si>
    <t>(309) 206-8761</t>
  </si>
  <si>
    <t>C03081</t>
  </si>
  <si>
    <t>351-841-2540</t>
  </si>
  <si>
    <t>C00655</t>
  </si>
  <si>
    <t>user655@example.com</t>
  </si>
  <si>
    <t>C03660</t>
  </si>
  <si>
    <t>user3660@example.com</t>
  </si>
  <si>
    <t>(159) 178-6099</t>
  </si>
  <si>
    <t>C04131</t>
  </si>
  <si>
    <t>C02026</t>
  </si>
  <si>
    <t>(303) 750-2453</t>
  </si>
  <si>
    <t>C01761</t>
  </si>
  <si>
    <t>user1761@example.com</t>
  </si>
  <si>
    <t>584-463-5075</t>
  </si>
  <si>
    <t>C03647</t>
  </si>
  <si>
    <t>user3647@example.com</t>
  </si>
  <si>
    <t>876 435 7378</t>
  </si>
  <si>
    <t>C03802</t>
  </si>
  <si>
    <t>C02663</t>
  </si>
  <si>
    <t>user2663@example.com</t>
  </si>
  <si>
    <t>588.988.3422</t>
  </si>
  <si>
    <t>C00412</t>
  </si>
  <si>
    <t>user412@example.com</t>
  </si>
  <si>
    <t>(832) 296-5617</t>
  </si>
  <si>
    <t>C01775</t>
  </si>
  <si>
    <t>user1775@example.com</t>
  </si>
  <si>
    <t>C04499</t>
  </si>
  <si>
    <t>user4499@example.com</t>
  </si>
  <si>
    <t>(913) 239-1106</t>
  </si>
  <si>
    <t>C03881</t>
  </si>
  <si>
    <t>user3881@example.com</t>
  </si>
  <si>
    <t>C03525</t>
  </si>
  <si>
    <t>user3525@example.com</t>
  </si>
  <si>
    <t>(942) 260-4837</t>
  </si>
  <si>
    <t>C02645</t>
  </si>
  <si>
    <t>C04326</t>
  </si>
  <si>
    <t>784 499 7915</t>
  </si>
  <si>
    <t>C04790</t>
  </si>
  <si>
    <t>user4790@example.com</t>
  </si>
  <si>
    <t>297.393.7763</t>
  </si>
  <si>
    <t>C03754</t>
  </si>
  <si>
    <t>user3754@example.com</t>
  </si>
  <si>
    <t>C04673</t>
  </si>
  <si>
    <t>user4673@example.com</t>
  </si>
  <si>
    <t>135.580.7506</t>
  </si>
  <si>
    <t>C02837</t>
  </si>
  <si>
    <t>user2837@example.com</t>
  </si>
  <si>
    <t>C03581</t>
  </si>
  <si>
    <t>user3581@example.com</t>
  </si>
  <si>
    <t>C04813</t>
  </si>
  <si>
    <t>978-354-4193</t>
  </si>
  <si>
    <t>C03389</t>
  </si>
  <si>
    <t>user3389@example.com</t>
  </si>
  <si>
    <t>C04828</t>
  </si>
  <si>
    <t>user4828@example.com</t>
  </si>
  <si>
    <t>C03593</t>
  </si>
  <si>
    <t>user3593@example.com</t>
  </si>
  <si>
    <t>C00431</t>
  </si>
  <si>
    <t>user431@example.com</t>
  </si>
  <si>
    <t>C02944</t>
  </si>
  <si>
    <t>(636) 918-9259</t>
  </si>
  <si>
    <t>C03255</t>
  </si>
  <si>
    <t>350 245 1268</t>
  </si>
  <si>
    <t>C01367</t>
  </si>
  <si>
    <t>410.972.4609</t>
  </si>
  <si>
    <t>C02023</t>
  </si>
  <si>
    <t>(789) 300-5346</t>
  </si>
  <si>
    <t>C04431</t>
  </si>
  <si>
    <t>user4431@example.com</t>
  </si>
  <si>
    <t>209.143.9083</t>
  </si>
  <si>
    <t>C01177</t>
  </si>
  <si>
    <t>929-441-3501</t>
  </si>
  <si>
    <t>C03354</t>
  </si>
  <si>
    <t>user3354@example.com</t>
  </si>
  <si>
    <t>139 889 1151</t>
  </si>
  <si>
    <t>C01477</t>
  </si>
  <si>
    <t>user1477@example.com</t>
  </si>
  <si>
    <t>(375) 187-1735</t>
  </si>
  <si>
    <t>C03174</t>
  </si>
  <si>
    <t>user3174@example.com</t>
  </si>
  <si>
    <t>661-648-5397</t>
  </si>
  <si>
    <t>C02064</t>
  </si>
  <si>
    <t>(666) 850-5074</t>
  </si>
  <si>
    <t>C00103</t>
  </si>
  <si>
    <t>user103@example.com</t>
  </si>
  <si>
    <t>960.527.3527</t>
  </si>
  <si>
    <t>user2119@example.com</t>
  </si>
  <si>
    <t>(581) 168-1091</t>
  </si>
  <si>
    <t>C02030</t>
  </si>
  <si>
    <t>528-804-5310</t>
  </si>
  <si>
    <t>user1264@example.com</t>
  </si>
  <si>
    <t>C03923</t>
  </si>
  <si>
    <t>user3923@example.com</t>
  </si>
  <si>
    <t>C03160</t>
  </si>
  <si>
    <t>user3160@example.com</t>
  </si>
  <si>
    <t>(763) 929-9142</t>
  </si>
  <si>
    <t>C02389</t>
  </si>
  <si>
    <t>user2389@example.com</t>
  </si>
  <si>
    <t>C03083</t>
  </si>
  <si>
    <t>user3083@example.com</t>
  </si>
  <si>
    <t>(718) 580-1562</t>
  </si>
  <si>
    <t>C02759</t>
  </si>
  <si>
    <t>856 246 8242</t>
  </si>
  <si>
    <t>C03321</t>
  </si>
  <si>
    <t>user3321@example.com</t>
  </si>
  <si>
    <t>729-100-4149</t>
  </si>
  <si>
    <t>C03193</t>
  </si>
  <si>
    <t>user3193@example.com</t>
  </si>
  <si>
    <t>253 856 7299</t>
  </si>
  <si>
    <t>C04519</t>
  </si>
  <si>
    <t>user4519@example.com</t>
  </si>
  <si>
    <t>316 648 7085</t>
  </si>
  <si>
    <t>C01644</t>
  </si>
  <si>
    <t>user1644@example.com</t>
  </si>
  <si>
    <t>(150) 921-9092</t>
  </si>
  <si>
    <t>C04520</t>
  </si>
  <si>
    <t>663.663.2336</t>
  </si>
  <si>
    <t>C00001</t>
  </si>
  <si>
    <t>user1@example.com</t>
  </si>
  <si>
    <t>(729) 676-9132</t>
  </si>
  <si>
    <t>C01581</t>
  </si>
  <si>
    <t>user1581@example.com</t>
  </si>
  <si>
    <t>C04437</t>
  </si>
  <si>
    <t>(436) 924-5832</t>
  </si>
  <si>
    <t>C04130</t>
  </si>
  <si>
    <t>C01357</t>
  </si>
  <si>
    <t>user1357@example.com</t>
  </si>
  <si>
    <t>(713) 380-3112</t>
  </si>
  <si>
    <t>user3413@example.com</t>
  </si>
  <si>
    <t>982.574.2396</t>
  </si>
  <si>
    <t>C02100</t>
  </si>
  <si>
    <t>user2100@example.com</t>
  </si>
  <si>
    <t>572.825.8913</t>
  </si>
  <si>
    <t>C02252</t>
  </si>
  <si>
    <t>802.850.2661</t>
  </si>
  <si>
    <t>C03510</t>
  </si>
  <si>
    <t>199.137.5201</t>
  </si>
  <si>
    <t>C03713</t>
  </si>
  <si>
    <t>user3713@example.com</t>
  </si>
  <si>
    <t>(401) 899-3314</t>
  </si>
  <si>
    <t>C00397</t>
  </si>
  <si>
    <t>user397@example.com</t>
  </si>
  <si>
    <t>C03483</t>
  </si>
  <si>
    <t>user3483@example.com</t>
  </si>
  <si>
    <t>C01065</t>
  </si>
  <si>
    <t>user1065@example.com</t>
  </si>
  <si>
    <t>C02378</t>
  </si>
  <si>
    <t>user2378@example.com</t>
  </si>
  <si>
    <t>279 595 7223</t>
  </si>
  <si>
    <t>C02171</t>
  </si>
  <si>
    <t>user2171@example.com</t>
  </si>
  <si>
    <t>973.298.1273</t>
  </si>
  <si>
    <t>user819@example.com</t>
  </si>
  <si>
    <t>C01813</t>
  </si>
  <si>
    <t>262-466-9202</t>
  </si>
  <si>
    <t>C02571</t>
  </si>
  <si>
    <t>user2571@example.com</t>
  </si>
  <si>
    <t>C01553</t>
  </si>
  <si>
    <t>user1553@example.com</t>
  </si>
  <si>
    <t>414.614.3043</t>
  </si>
  <si>
    <t>C04502</t>
  </si>
  <si>
    <t>user4502@example.com</t>
  </si>
  <si>
    <t>431 977 4048</t>
  </si>
  <si>
    <t>C00817</t>
  </si>
  <si>
    <t>user817@example.com</t>
  </si>
  <si>
    <t>C01573</t>
  </si>
  <si>
    <t>user1573@example.com</t>
  </si>
  <si>
    <t>C03927</t>
  </si>
  <si>
    <t>user3927@example.com</t>
  </si>
  <si>
    <t>C01801</t>
  </si>
  <si>
    <t>user1801@example.com</t>
  </si>
  <si>
    <t>(245) 938-4943</t>
  </si>
  <si>
    <t>C04302</t>
  </si>
  <si>
    <t>user4302@example.com</t>
  </si>
  <si>
    <t>C00382</t>
  </si>
  <si>
    <t>user382@example.com</t>
  </si>
  <si>
    <t>801.814.6939</t>
  </si>
  <si>
    <t>C02895</t>
  </si>
  <si>
    <t>466 860 8871</t>
  </si>
  <si>
    <t>C04692</t>
  </si>
  <si>
    <t>C02312</t>
  </si>
  <si>
    <t>user2312@example.com</t>
  </si>
  <si>
    <t>C03526</t>
  </si>
  <si>
    <t>user3526@example.com</t>
  </si>
  <si>
    <t>C02329</t>
  </si>
  <si>
    <t>user2329@example.com</t>
  </si>
  <si>
    <t>694 768 7850</t>
  </si>
  <si>
    <t>C01781</t>
  </si>
  <si>
    <t>user1781@example.com</t>
  </si>
  <si>
    <t>926 881 9487</t>
  </si>
  <si>
    <t>516-359-7485</t>
  </si>
  <si>
    <t>C04917</t>
  </si>
  <si>
    <t>user4917@example.com</t>
  </si>
  <si>
    <t>C00865</t>
  </si>
  <si>
    <t>user865@example.com</t>
  </si>
  <si>
    <t>C03041</t>
  </si>
  <si>
    <t>user3041@example.com</t>
  </si>
  <si>
    <t>578.455.5791</t>
  </si>
  <si>
    <t>326 347 8528</t>
  </si>
  <si>
    <t>C00555</t>
  </si>
  <si>
    <t>user555@example.com</t>
  </si>
  <si>
    <t>C01160</t>
  </si>
  <si>
    <t>user1160@example.com</t>
  </si>
  <si>
    <t>C01214</t>
  </si>
  <si>
    <t>669 937 9788</t>
  </si>
  <si>
    <t>C02222</t>
  </si>
  <si>
    <t>user2222@example.com</t>
  </si>
  <si>
    <t>(624) 270-5924</t>
  </si>
  <si>
    <t>C03623</t>
  </si>
  <si>
    <t>user3623@example.com</t>
  </si>
  <si>
    <t>C00049</t>
  </si>
  <si>
    <t>737-673-9422</t>
  </si>
  <si>
    <t>C02385</t>
  </si>
  <si>
    <t>user2385@example.com</t>
  </si>
  <si>
    <t>C00701</t>
  </si>
  <si>
    <t>user701@example.com</t>
  </si>
  <si>
    <t>744.780.5021</t>
  </si>
  <si>
    <t>C00653</t>
  </si>
  <si>
    <t>user653@example.com</t>
  </si>
  <si>
    <t>C04129</t>
  </si>
  <si>
    <t>user4129@example.com</t>
  </si>
  <si>
    <t>C03090</t>
  </si>
  <si>
    <t>user3090@example.com</t>
  </si>
  <si>
    <t>699.220.9466</t>
  </si>
  <si>
    <t>C03551</t>
  </si>
  <si>
    <t>C00749</t>
  </si>
  <si>
    <t>user749@example.com</t>
  </si>
  <si>
    <t>C01456</t>
  </si>
  <si>
    <t>user1456@example.com</t>
  </si>
  <si>
    <t>900 760 1216</t>
  </si>
  <si>
    <t>C04253</t>
  </si>
  <si>
    <t>767.578.6546</t>
  </si>
  <si>
    <t>C04845</t>
  </si>
  <si>
    <t>user4845@example.com</t>
  </si>
  <si>
    <t>(384) 757-7065</t>
  </si>
  <si>
    <t>C03809</t>
  </si>
  <si>
    <t>user3809@example.com</t>
  </si>
  <si>
    <t>(329) 744-6722</t>
  </si>
  <si>
    <t>C00867</t>
  </si>
  <si>
    <t>user867@example.com</t>
  </si>
  <si>
    <t>(985) 713-1173</t>
  </si>
  <si>
    <t>C00753</t>
  </si>
  <si>
    <t>user753@example.com</t>
  </si>
  <si>
    <t>597.128.3340</t>
  </si>
  <si>
    <t>C01645</t>
  </si>
  <si>
    <t>147 381 7901</t>
  </si>
  <si>
    <t>C00093</t>
  </si>
  <si>
    <t>user93@example.com</t>
  </si>
  <si>
    <t>C02844</t>
  </si>
  <si>
    <t>user2844@example.com</t>
  </si>
  <si>
    <t>764-344-6023</t>
  </si>
  <si>
    <t>C03987</t>
  </si>
  <si>
    <t>user3987@example.com</t>
  </si>
  <si>
    <t>C04202</t>
  </si>
  <si>
    <t>user4202@example.com</t>
  </si>
  <si>
    <t>597 107 1805</t>
  </si>
  <si>
    <t>C02648</t>
  </si>
  <si>
    <t>user2648@example.com</t>
  </si>
  <si>
    <t>524 669 4149</t>
  </si>
  <si>
    <t>C01491</t>
  </si>
  <si>
    <t>user1491@example.com</t>
  </si>
  <si>
    <t>C02916</t>
  </si>
  <si>
    <t>user2916@example.com</t>
  </si>
  <si>
    <t>C02195</t>
  </si>
  <si>
    <t>user2195@example.com</t>
  </si>
  <si>
    <t>601-463-6957</t>
  </si>
  <si>
    <t>C00730</t>
  </si>
  <si>
    <t>user730@example.com</t>
  </si>
  <si>
    <t>user3592@example.com</t>
  </si>
  <si>
    <t>417.941.3789</t>
  </si>
  <si>
    <t>C02489</t>
  </si>
  <si>
    <t>user2489@example.com</t>
  </si>
  <si>
    <t>954-484-1416</t>
  </si>
  <si>
    <t>C02260</t>
  </si>
  <si>
    <t>user2260@example.com</t>
  </si>
  <si>
    <t>C01937</t>
  </si>
  <si>
    <t>user1937@example.com</t>
  </si>
  <si>
    <t>C01746</t>
  </si>
  <si>
    <t>user1746@example.com</t>
  </si>
  <si>
    <t>212.108.9174</t>
  </si>
  <si>
    <t>C03001</t>
  </si>
  <si>
    <t>C03300</t>
  </si>
  <si>
    <t>user3300@example.com</t>
  </si>
  <si>
    <t>814-655-9287</t>
  </si>
  <si>
    <t>C03514</t>
  </si>
  <si>
    <t>C01958</t>
  </si>
  <si>
    <t>user1958@example.com</t>
  </si>
  <si>
    <t>C01111</t>
  </si>
  <si>
    <t>user1111@example.com</t>
  </si>
  <si>
    <t>(305) 160-3993</t>
  </si>
  <si>
    <t>C03871</t>
  </si>
  <si>
    <t>user3871@example.com</t>
  </si>
  <si>
    <t>303-634-6465</t>
  </si>
  <si>
    <t>C00418</t>
  </si>
  <si>
    <t>user4057@example.com</t>
  </si>
  <si>
    <t>C04486</t>
  </si>
  <si>
    <t>user4486@example.com</t>
  </si>
  <si>
    <t>605-317-7217</t>
  </si>
  <si>
    <t>C00347</t>
  </si>
  <si>
    <t>user347@example.com</t>
  </si>
  <si>
    <t>453.459.6047</t>
  </si>
  <si>
    <t>C01186</t>
  </si>
  <si>
    <t>user1186@example.com</t>
  </si>
  <si>
    <t>C04031</t>
  </si>
  <si>
    <t>user4031@example.com</t>
  </si>
  <si>
    <t>836 838 2398</t>
  </si>
  <si>
    <t>C01516</t>
  </si>
  <si>
    <t>C04685</t>
  </si>
  <si>
    <t>user4685@example.com</t>
  </si>
  <si>
    <t>C00579</t>
  </si>
  <si>
    <t>user579@example.com</t>
  </si>
  <si>
    <t>(672) 142-3938</t>
  </si>
  <si>
    <t>C01965</t>
  </si>
  <si>
    <t>470-769-8932</t>
  </si>
  <si>
    <t>C00076</t>
  </si>
  <si>
    <t>user76@example.com</t>
  </si>
  <si>
    <t>448-313-8063</t>
  </si>
  <si>
    <t>C01430</t>
  </si>
  <si>
    <t>user1430@example.com</t>
  </si>
  <si>
    <t>592 810 7782</t>
  </si>
  <si>
    <t>C03615</t>
  </si>
  <si>
    <t>184.573.1668</t>
  </si>
  <si>
    <t>C04445</t>
  </si>
  <si>
    <t>user4445@example.com</t>
  </si>
  <si>
    <t>C02771</t>
  </si>
  <si>
    <t>user2771@example.com</t>
  </si>
  <si>
    <t>C03855</t>
  </si>
  <si>
    <t>C01847</t>
  </si>
  <si>
    <t>user1847@example.com</t>
  </si>
  <si>
    <t>C00132</t>
  </si>
  <si>
    <t>user132@example.com</t>
  </si>
  <si>
    <t>235.730.5603</t>
  </si>
  <si>
    <t>C00179</t>
  </si>
  <si>
    <t>174-172-5105</t>
  </si>
  <si>
    <t>C04149</t>
  </si>
  <si>
    <t>user4149@example.com</t>
  </si>
  <si>
    <t>693.878.4983</t>
  </si>
  <si>
    <t>C04481</t>
  </si>
  <si>
    <t>user4481@example.com</t>
  </si>
  <si>
    <t>694.815.7143</t>
  </si>
  <si>
    <t>C03641</t>
  </si>
  <si>
    <t>user3897@example.com</t>
  </si>
  <si>
    <t>(241) 604-6535</t>
  </si>
  <si>
    <t>C03361</t>
  </si>
  <si>
    <t>user3361@example.com</t>
  </si>
  <si>
    <t>888 848 1645</t>
  </si>
  <si>
    <t>C01843</t>
  </si>
  <si>
    <t>user1843@example.com</t>
  </si>
  <si>
    <t>289.798.9653</t>
  </si>
  <si>
    <t>C02116</t>
  </si>
  <si>
    <t>user2116@example.com</t>
  </si>
  <si>
    <t>(438) 864-3217</t>
  </si>
  <si>
    <t>C02752</t>
  </si>
  <si>
    <t>C02950</t>
  </si>
  <si>
    <t>user2950@example.com</t>
  </si>
  <si>
    <t>740 491 3571</t>
  </si>
  <si>
    <t>C00605</t>
  </si>
  <si>
    <t>user605@example.com</t>
  </si>
  <si>
    <t>950 824 8861</t>
  </si>
  <si>
    <t>C04168</t>
  </si>
  <si>
    <t>user4168@example.com</t>
  </si>
  <si>
    <t>248 368 3040</t>
  </si>
  <si>
    <t>user26@example.com</t>
  </si>
  <si>
    <t>C00659</t>
  </si>
  <si>
    <t>user659@example.com</t>
  </si>
  <si>
    <t>C01897</t>
  </si>
  <si>
    <t>340-815-8213</t>
  </si>
  <si>
    <t>C00962</t>
  </si>
  <si>
    <t>user3339@example.com</t>
  </si>
  <si>
    <t>804.427.4919</t>
  </si>
  <si>
    <t>C02202</t>
  </si>
  <si>
    <t>user2202@example.com</t>
  </si>
  <si>
    <t>(450) 816-9253</t>
  </si>
  <si>
    <t>user174@example.com</t>
  </si>
  <si>
    <t>305 724 7432</t>
  </si>
  <si>
    <t>C01612</t>
  </si>
  <si>
    <t>user1612@example.com</t>
  </si>
  <si>
    <t>C00438</t>
  </si>
  <si>
    <t>587.782.7626</t>
  </si>
  <si>
    <t>C00332</t>
  </si>
  <si>
    <t>396 872 3409</t>
  </si>
  <si>
    <t>C03122</t>
  </si>
  <si>
    <t>user3122@example.com</t>
  </si>
  <si>
    <t>(497) 666-9870</t>
  </si>
  <si>
    <t>C01455</t>
  </si>
  <si>
    <t>521 839 6526</t>
  </si>
  <si>
    <t>C00343</t>
  </si>
  <si>
    <t>user343@example.com</t>
  </si>
  <si>
    <t>717.719.9381</t>
  </si>
  <si>
    <t>C03817</t>
  </si>
  <si>
    <t>C04386</t>
  </si>
  <si>
    <t>user4386@example.com</t>
  </si>
  <si>
    <t>C01089</t>
  </si>
  <si>
    <t>user1089@example.com</t>
  </si>
  <si>
    <t>534 853 5043</t>
  </si>
  <si>
    <t>C00480</t>
  </si>
  <si>
    <t>user480@example.com</t>
  </si>
  <si>
    <t>306 608 2234</t>
  </si>
  <si>
    <t>C00728</t>
  </si>
  <si>
    <t>user728@example.com</t>
  </si>
  <si>
    <t>C03808</t>
  </si>
  <si>
    <t>user3808@example.com</t>
  </si>
  <si>
    <t>C00977</t>
  </si>
  <si>
    <t>user977@example.com</t>
  </si>
  <si>
    <t>986 311 3128</t>
  </si>
  <si>
    <t>C04330</t>
  </si>
  <si>
    <t>user4330@example.com</t>
  </si>
  <si>
    <t>101.927.8323</t>
  </si>
  <si>
    <t>C02998</t>
  </si>
  <si>
    <t>user2998@example.com</t>
  </si>
  <si>
    <t>C01929</t>
  </si>
  <si>
    <t>user1929@example.com</t>
  </si>
  <si>
    <t>989.606.3084</t>
  </si>
  <si>
    <t>C01469</t>
  </si>
  <si>
    <t>user1469@example.com</t>
  </si>
  <si>
    <t>268 155 7086</t>
  </si>
  <si>
    <t>C01225</t>
  </si>
  <si>
    <t>C02179</t>
  </si>
  <si>
    <t>user2179@example.com</t>
  </si>
  <si>
    <t>277 750 1052</t>
  </si>
  <si>
    <t>C01764</t>
  </si>
  <si>
    <t>user1953@example.com</t>
  </si>
  <si>
    <t>880 764 2285</t>
  </si>
  <si>
    <t>C04846</t>
  </si>
  <si>
    <t>user4846@example.com</t>
  </si>
  <si>
    <t>(157) 180-3835</t>
  </si>
  <si>
    <t>C03258</t>
  </si>
  <si>
    <t>user3258@example.com</t>
  </si>
  <si>
    <t>309.574.3136</t>
  </si>
  <si>
    <t>C01893</t>
  </si>
  <si>
    <t>user1893@example.com</t>
  </si>
  <si>
    <t>C01300</t>
  </si>
  <si>
    <t>user1300@example.com</t>
  </si>
  <si>
    <t>504 483 5903</t>
  </si>
  <si>
    <t>C03011</t>
  </si>
  <si>
    <t>user3011@example.com</t>
  </si>
  <si>
    <t>100.410.8291</t>
  </si>
  <si>
    <t>C04615</t>
  </si>
  <si>
    <t>user4615@example.com</t>
  </si>
  <si>
    <t>C00661</t>
  </si>
  <si>
    <t>user661@example.com</t>
  </si>
  <si>
    <t>C04938</t>
  </si>
  <si>
    <t>user4938@example.com</t>
  </si>
  <si>
    <t>(951) 421-9532</t>
  </si>
  <si>
    <t>C03341</t>
  </si>
  <si>
    <t>user3341@example.com</t>
  </si>
  <si>
    <t>225 759 5956</t>
  </si>
  <si>
    <t>C02804</t>
  </si>
  <si>
    <t>user2804@example.com</t>
  </si>
  <si>
    <t>C03774</t>
  </si>
  <si>
    <t>user3774@example.com</t>
  </si>
  <si>
    <t>324-868-7912</t>
  </si>
  <si>
    <t>C02513</t>
  </si>
  <si>
    <t>user2513@example.com</t>
  </si>
  <si>
    <t>276 278 9496</t>
  </si>
  <si>
    <t>C03072</t>
  </si>
  <si>
    <t>538.734.8838</t>
  </si>
  <si>
    <t>C02722</t>
  </si>
  <si>
    <t>user2722@example.com</t>
  </si>
  <si>
    <t>414-701-9893</t>
  </si>
  <si>
    <t>C04397</t>
  </si>
  <si>
    <t>C03679</t>
  </si>
  <si>
    <t>user3679@example.com</t>
  </si>
  <si>
    <t>C01279</t>
  </si>
  <si>
    <t>user1279@example.com</t>
  </si>
  <si>
    <t>731-294-1119</t>
  </si>
  <si>
    <t>C03092</t>
  </si>
  <si>
    <t>user3092@example.com</t>
  </si>
  <si>
    <t>(140) 397-6429</t>
  </si>
  <si>
    <t>C01622</t>
  </si>
  <si>
    <t>(913) 310-8992</t>
  </si>
  <si>
    <t>C03035</t>
  </si>
  <si>
    <t>user3035@example.com</t>
  </si>
  <si>
    <t>190.712.7017</t>
  </si>
  <si>
    <t>C02851</t>
  </si>
  <si>
    <t>user2851@example.com</t>
  </si>
  <si>
    <t>497 136 5428</t>
  </si>
  <si>
    <t>C00068</t>
  </si>
  <si>
    <t>user68@example.com</t>
  </si>
  <si>
    <t>586-215-6758</t>
  </si>
  <si>
    <t>C02599</t>
  </si>
  <si>
    <t>user2599@example.com</t>
  </si>
  <si>
    <t>185.113.2656</t>
  </si>
  <si>
    <t>C03980</t>
  </si>
  <si>
    <t>user3980@example.com</t>
  </si>
  <si>
    <t>(117) 384-5949</t>
  </si>
  <si>
    <t>C03815</t>
  </si>
  <si>
    <t>C00821</t>
  </si>
  <si>
    <t>user821@example.com</t>
  </si>
  <si>
    <t>C01227</t>
  </si>
  <si>
    <t>user1227@example.com</t>
  </si>
  <si>
    <t>C03012</t>
  </si>
  <si>
    <t>846 681 3613</t>
  </si>
  <si>
    <t>C02165</t>
  </si>
  <si>
    <t>user2165@example.com</t>
  </si>
  <si>
    <t>C04258</t>
  </si>
  <si>
    <t>user4258@example.com</t>
  </si>
  <si>
    <t>user4472@example.com</t>
  </si>
  <si>
    <t>134-160-7677</t>
  </si>
  <si>
    <t>C04284</t>
  </si>
  <si>
    <t>user4284@example.com</t>
  </si>
  <si>
    <t>C03371</t>
  </si>
  <si>
    <t>user3371@example.com</t>
  </si>
  <si>
    <t>952.789.9990</t>
  </si>
  <si>
    <t>C00398</t>
  </si>
  <si>
    <t>C03411</t>
  </si>
  <si>
    <t>user3411@example.com</t>
  </si>
  <si>
    <t>780-481-6549</t>
  </si>
  <si>
    <t>C04316</t>
  </si>
  <si>
    <t>user4316@example.com</t>
  </si>
  <si>
    <t>C02779</t>
  </si>
  <si>
    <t>user2779@example.com</t>
  </si>
  <si>
    <t>(880) 743-1576</t>
  </si>
  <si>
    <t>246.742.1221</t>
  </si>
  <si>
    <t>C01660</t>
  </si>
  <si>
    <t>user1660@example.com</t>
  </si>
  <si>
    <t>329-148-1170</t>
  </si>
  <si>
    <t>C00980</t>
  </si>
  <si>
    <t>user980@example.com</t>
  </si>
  <si>
    <t>C01299</t>
  </si>
  <si>
    <t>user1299@example.com</t>
  </si>
  <si>
    <t>C02281</t>
  </si>
  <si>
    <t>user2281@example.com</t>
  </si>
  <si>
    <t>250-723-2656</t>
  </si>
  <si>
    <t>C00083</t>
  </si>
  <si>
    <t>user83@example.com</t>
  </si>
  <si>
    <t>(415) 515-2140</t>
  </si>
  <si>
    <t>C04778</t>
  </si>
  <si>
    <t>user4778@example.com</t>
  </si>
  <si>
    <t>(688) 376-7716</t>
  </si>
  <si>
    <t>C02808</t>
  </si>
  <si>
    <t>user2808@example.com</t>
  </si>
  <si>
    <t>681 783 3823</t>
  </si>
  <si>
    <t>C04862</t>
  </si>
  <si>
    <t>user4862@example.com</t>
  </si>
  <si>
    <t>C03806</t>
  </si>
  <si>
    <t>(980) 911-1253</t>
  </si>
  <si>
    <t>C02306</t>
  </si>
  <si>
    <t>user2306@example.com</t>
  </si>
  <si>
    <t>user424@example.com</t>
  </si>
  <si>
    <t>user4354@example.com</t>
  </si>
  <si>
    <t>(174) 902-8552</t>
  </si>
  <si>
    <t>C01905</t>
  </si>
  <si>
    <t>(488) 288-8062</t>
  </si>
  <si>
    <t>user4553@example.com</t>
  </si>
  <si>
    <t>567 570 6830</t>
  </si>
  <si>
    <t>C04610</t>
  </si>
  <si>
    <t>C03124</t>
  </si>
  <si>
    <t>user3124@example.com</t>
  </si>
  <si>
    <t>C01566</t>
  </si>
  <si>
    <t>user1566@example.com</t>
  </si>
  <si>
    <t>316 328 8448</t>
  </si>
  <si>
    <t>C04044</t>
  </si>
  <si>
    <t>user4044@example.com</t>
  </si>
  <si>
    <t>391.535.3825</t>
  </si>
  <si>
    <t>C00840</t>
  </si>
  <si>
    <t>user840@example.com</t>
  </si>
  <si>
    <t>C00501</t>
  </si>
  <si>
    <t>C00142</t>
  </si>
  <si>
    <t>user142@example.com</t>
  </si>
  <si>
    <t>757-370-2900</t>
  </si>
  <si>
    <t>C01378</t>
  </si>
  <si>
    <t>user1378@example.com</t>
  </si>
  <si>
    <t>C03722</t>
  </si>
  <si>
    <t>user3722@example.com</t>
  </si>
  <si>
    <t>C02749</t>
  </si>
  <si>
    <t>user2749@example.com</t>
  </si>
  <si>
    <t>(649) 435-3742</t>
  </si>
  <si>
    <t>C01139</t>
  </si>
  <si>
    <t>user1139@example.com</t>
  </si>
  <si>
    <t>538.587.2645</t>
  </si>
  <si>
    <t>C04279</t>
  </si>
  <si>
    <t>user4279@example.com</t>
  </si>
  <si>
    <t>537.154.9711</t>
  </si>
  <si>
    <t>C01788</t>
  </si>
  <si>
    <t>user1788@example.com</t>
  </si>
  <si>
    <t>C02585</t>
  </si>
  <si>
    <t>user2585@example.com</t>
  </si>
  <si>
    <t>(776) 548-5895</t>
  </si>
  <si>
    <t>C00551</t>
  </si>
  <si>
    <t>user551@example.com</t>
  </si>
  <si>
    <t>286.502.7182</t>
  </si>
  <si>
    <t>C04072</t>
  </si>
  <si>
    <t>user4072@example.com</t>
  </si>
  <si>
    <t>C02020</t>
  </si>
  <si>
    <t>294.961.1583</t>
  </si>
  <si>
    <t>C00742</t>
  </si>
  <si>
    <t>user949@example.com</t>
  </si>
  <si>
    <t>769 624 3445</t>
  </si>
  <si>
    <t>C02278</t>
  </si>
  <si>
    <t>user2278@example.com</t>
  </si>
  <si>
    <t>C00533</t>
  </si>
  <si>
    <t>408.192.4857</t>
  </si>
  <si>
    <t>user1830@example.com</t>
  </si>
  <si>
    <t>165 163 5103</t>
  </si>
  <si>
    <t>C02938</t>
  </si>
  <si>
    <t>user2938@example.com</t>
  </si>
  <si>
    <t>944.735.8906</t>
  </si>
  <si>
    <t>C04433</t>
  </si>
  <si>
    <t>user4433@example.com</t>
  </si>
  <si>
    <t>C03896</t>
  </si>
  <si>
    <t>user3896@example.com</t>
  </si>
  <si>
    <t>C01603</t>
  </si>
  <si>
    <t>user1603@example.com</t>
  </si>
  <si>
    <t>602-914-1359</t>
  </si>
  <si>
    <t>C00640</t>
  </si>
  <si>
    <t>user640@example.com</t>
  </si>
  <si>
    <t>(289) 180-5248</t>
  </si>
  <si>
    <t>C04848</t>
  </si>
  <si>
    <t>user4848@example.com</t>
  </si>
  <si>
    <t>274 340 1475</t>
  </si>
  <si>
    <t>C00968</t>
  </si>
  <si>
    <t>275-206-3910</t>
  </si>
  <si>
    <t>C04252</t>
  </si>
  <si>
    <t>user4252@example.com</t>
  </si>
  <si>
    <t>412.768.7019</t>
  </si>
  <si>
    <t>C02644</t>
  </si>
  <si>
    <t>C01684</t>
  </si>
  <si>
    <t>C04485</t>
  </si>
  <si>
    <t>user4485@example.com</t>
  </si>
  <si>
    <t>(748) 456-1181</t>
  </si>
  <si>
    <t>C02903</t>
  </si>
  <si>
    <t>user2903@example.com</t>
  </si>
  <si>
    <t>125 994 3284</t>
  </si>
  <si>
    <t>C00156</t>
  </si>
  <si>
    <t>C04568</t>
  </si>
  <si>
    <t>user4568@example.com</t>
  </si>
  <si>
    <t>571 871 1664</t>
  </si>
  <si>
    <t>C02859</t>
  </si>
  <si>
    <t>user2859@example.com</t>
  </si>
  <si>
    <t>348-176-3901</t>
  </si>
  <si>
    <t>C01090</t>
  </si>
  <si>
    <t>(589) 135-6921</t>
  </si>
  <si>
    <t>C02674</t>
  </si>
  <si>
    <t>user2674@example.com</t>
  </si>
  <si>
    <t>C04255</t>
  </si>
  <si>
    <t>user4255@example.com</t>
  </si>
  <si>
    <t>243-298-3525</t>
  </si>
  <si>
    <t>C00289</t>
  </si>
  <si>
    <t>user289@example.com</t>
  </si>
  <si>
    <t>C00931</t>
  </si>
  <si>
    <t>335.697.1674</t>
  </si>
  <si>
    <t>C03600</t>
  </si>
  <si>
    <t>921.148.3005</t>
  </si>
  <si>
    <t>C02578</t>
  </si>
  <si>
    <t>C03393</t>
  </si>
  <si>
    <t>user3393@example.com</t>
  </si>
  <si>
    <t>224.612.9758</t>
  </si>
  <si>
    <t>C03313</t>
  </si>
  <si>
    <t>184-184-1139</t>
  </si>
  <si>
    <t>C00943</t>
  </si>
  <si>
    <t>user943@example.com</t>
  </si>
  <si>
    <t>409.863.5496</t>
  </si>
  <si>
    <t>C03884</t>
  </si>
  <si>
    <t>user3884@example.com</t>
  </si>
  <si>
    <t>888.911.2427</t>
  </si>
  <si>
    <t>C04678</t>
  </si>
  <si>
    <t>user4678@example.com</t>
  </si>
  <si>
    <t>139 201 1231</t>
  </si>
  <si>
    <t>C01699</t>
  </si>
  <si>
    <t>user1699@example.com</t>
  </si>
  <si>
    <t>764-491-7923</t>
  </si>
  <si>
    <t>C00386</t>
  </si>
  <si>
    <t>user4788@example.com</t>
  </si>
  <si>
    <t>879 144 8846</t>
  </si>
  <si>
    <t>C04814</t>
  </si>
  <si>
    <t>user4814@example.com</t>
  </si>
  <si>
    <t>568.399.4000</t>
  </si>
  <si>
    <t>C04063</t>
  </si>
  <si>
    <t>user4063@example.com</t>
  </si>
  <si>
    <t>304.920.7563</t>
  </si>
  <si>
    <t>C02953</t>
  </si>
  <si>
    <t>(823) 721-8427</t>
  </si>
  <si>
    <t>C00986</t>
  </si>
  <si>
    <t>user986@example.com</t>
  </si>
  <si>
    <t>761.567.6681</t>
  </si>
  <si>
    <t>C03022</t>
  </si>
  <si>
    <t>user3022@example.com</t>
  </si>
  <si>
    <t>123.819.8859</t>
  </si>
  <si>
    <t>C04740</t>
  </si>
  <si>
    <t>user4740@example.com</t>
  </si>
  <si>
    <t>416.292.1505</t>
  </si>
  <si>
    <t>C03903</t>
  </si>
  <si>
    <t>931-809-8014</t>
  </si>
  <si>
    <t>C04793</t>
  </si>
  <si>
    <t>user4793@example.com</t>
  </si>
  <si>
    <t>409-384-8091</t>
  </si>
  <si>
    <t>C00982</t>
  </si>
  <si>
    <t>user982@example.com</t>
  </si>
  <si>
    <t>165 944 7541</t>
  </si>
  <si>
    <t>C02510</t>
  </si>
  <si>
    <t>user2510@example.com</t>
  </si>
  <si>
    <t>162-710-4437</t>
  </si>
  <si>
    <t>C02448</t>
  </si>
  <si>
    <t>user2448@example.com</t>
  </si>
  <si>
    <t>C03182</t>
  </si>
  <si>
    <t>(275) 925-7279</t>
  </si>
  <si>
    <t>user2963@example.com</t>
  </si>
  <si>
    <t>C03785</t>
  </si>
  <si>
    <t>user3785@example.com</t>
  </si>
  <si>
    <t>342-562-4356</t>
  </si>
  <si>
    <t>C00272</t>
  </si>
  <si>
    <t>713 595 3700</t>
  </si>
  <si>
    <t>C01458</t>
  </si>
  <si>
    <t>C01396</t>
  </si>
  <si>
    <t>user1396@example.com</t>
  </si>
  <si>
    <t>486-493-1339</t>
  </si>
  <si>
    <t>C00265</t>
  </si>
  <si>
    <t>user265@example.com</t>
  </si>
  <si>
    <t>982 321 8757</t>
  </si>
  <si>
    <t>C02414</t>
  </si>
  <si>
    <t>user2414@example.com</t>
  </si>
  <si>
    <t>(167) 878-8078</t>
  </si>
  <si>
    <t>C00930</t>
  </si>
  <si>
    <t>user930@example.com</t>
  </si>
  <si>
    <t>402-555-9500</t>
  </si>
  <si>
    <t>C03117</t>
  </si>
  <si>
    <t>user3117@example.com</t>
  </si>
  <si>
    <t>215-637-5356</t>
  </si>
  <si>
    <t>C02711</t>
  </si>
  <si>
    <t>user2711@example.com</t>
  </si>
  <si>
    <t>user247@example.com</t>
  </si>
  <si>
    <t>627 218 2160</t>
  </si>
  <si>
    <t>C03614</t>
  </si>
  <si>
    <t>user3614@example.com</t>
  </si>
  <si>
    <t>319 206 6072</t>
  </si>
  <si>
    <t>C01759</t>
  </si>
  <si>
    <t>user1759@example.com</t>
  </si>
  <si>
    <t>C04881</t>
  </si>
  <si>
    <t>user4881@example.com</t>
  </si>
  <si>
    <t>C02830</t>
  </si>
  <si>
    <t>274 885 1326</t>
  </si>
  <si>
    <t>C00924</t>
  </si>
  <si>
    <t>user924@example.com</t>
  </si>
  <si>
    <t>374 695 7569</t>
  </si>
  <si>
    <t>C04289</t>
  </si>
  <si>
    <t>user4289@example.com</t>
  </si>
  <si>
    <t>C00269</t>
  </si>
  <si>
    <t>user269@example.com</t>
  </si>
  <si>
    <t>C00670</t>
  </si>
  <si>
    <t>user670@example.com</t>
  </si>
  <si>
    <t>C02755</t>
  </si>
  <si>
    <t>user2755@example.com</t>
  </si>
  <si>
    <t>590 211 2825</t>
  </si>
  <si>
    <t>C01911</t>
  </si>
  <si>
    <t>user1911@example.com</t>
  </si>
  <si>
    <t>901 846 1935</t>
  </si>
  <si>
    <t>C03812</t>
  </si>
  <si>
    <t>user3812@example.com</t>
  </si>
  <si>
    <t>895-443-9832</t>
  </si>
  <si>
    <t>C01153</t>
  </si>
  <si>
    <t>(689) 884-2059</t>
  </si>
  <si>
    <t>C04833</t>
  </si>
  <si>
    <t>user4833@example.com</t>
  </si>
  <si>
    <t>(738) 912-4830</t>
  </si>
  <si>
    <t>C04119</t>
  </si>
  <si>
    <t>user4119@example.com</t>
  </si>
  <si>
    <t>C03532</t>
  </si>
  <si>
    <t>user4256@example.com</t>
  </si>
  <si>
    <t>C03902</t>
  </si>
  <si>
    <t>user3902@example.com</t>
  </si>
  <si>
    <t>C02437</t>
  </si>
  <si>
    <t>user2437@example.com</t>
  </si>
  <si>
    <t>671.673.4267</t>
  </si>
  <si>
    <t>C03003</t>
  </si>
  <si>
    <t>(949) 285-6471</t>
  </si>
  <si>
    <t>C01916</t>
  </si>
  <si>
    <t>user1916@example.com</t>
  </si>
  <si>
    <t>387-918-5495</t>
  </si>
  <si>
    <t>C00613</t>
  </si>
  <si>
    <t>user613@example.com</t>
  </si>
  <si>
    <t>191 121 4411</t>
  </si>
  <si>
    <t>C02424</t>
  </si>
  <si>
    <t>user2424@example.com</t>
  </si>
  <si>
    <t>628.585.7830</t>
  </si>
  <si>
    <t>C03553</t>
  </si>
  <si>
    <t>user3553@example.com</t>
  </si>
  <si>
    <t>C01899</t>
  </si>
  <si>
    <t>user1899@example.com</t>
  </si>
  <si>
    <t>121-610-1553</t>
  </si>
  <si>
    <t>C01650</t>
  </si>
  <si>
    <t>user1650@example.com</t>
  </si>
  <si>
    <t>391 234 7599</t>
  </si>
  <si>
    <t>C04039</t>
  </si>
  <si>
    <t>user4039@example.com</t>
  </si>
  <si>
    <t>C00259</t>
  </si>
  <si>
    <t>user259@example.com</t>
  </si>
  <si>
    <t>239.213.8627</t>
  </si>
  <si>
    <t>C00848</t>
  </si>
  <si>
    <t>user848@example.com</t>
  </si>
  <si>
    <t>105.501.4188</t>
  </si>
  <si>
    <t>C04266</t>
  </si>
  <si>
    <t>721-902-7341</t>
  </si>
  <si>
    <t>C01234</t>
  </si>
  <si>
    <t>user1234@example.com</t>
  </si>
  <si>
    <t>(716) 665-4539</t>
  </si>
  <si>
    <t>user1128@example.com</t>
  </si>
  <si>
    <t>C01968</t>
  </si>
  <si>
    <t>user1968@example.com</t>
  </si>
  <si>
    <t>C00559</t>
  </si>
  <si>
    <t>user559@example.com</t>
  </si>
  <si>
    <t>835-638-8129</t>
  </si>
  <si>
    <t>C03930</t>
  </si>
  <si>
    <t>user3930@example.com</t>
  </si>
  <si>
    <t>C00485</t>
  </si>
  <si>
    <t>user485@example.com</t>
  </si>
  <si>
    <t>379.168.9700</t>
  </si>
  <si>
    <t>user1321@example.com</t>
  </si>
  <si>
    <t>(355) 387-2884</t>
  </si>
  <si>
    <t>C02371</t>
  </si>
  <si>
    <t>user2371@example.com</t>
  </si>
  <si>
    <t>752.333.1458</t>
  </si>
  <si>
    <t>C00008</t>
  </si>
  <si>
    <t>458.673.4478</t>
  </si>
  <si>
    <t>C03989</t>
  </si>
  <si>
    <t>user3211@example.com</t>
  </si>
  <si>
    <t>361 456 4744</t>
  </si>
  <si>
    <t>C01451</t>
  </si>
  <si>
    <t>user1451@example.com</t>
  </si>
  <si>
    <t>350-178-1204</t>
  </si>
  <si>
    <t>C04005</t>
  </si>
  <si>
    <t>user4005@example.com</t>
  </si>
  <si>
    <t>400-685-4153</t>
  </si>
  <si>
    <t>C01815</t>
  </si>
  <si>
    <t>user1815@example.com</t>
  </si>
  <si>
    <t>C00774</t>
  </si>
  <si>
    <t>(949) 822-8278</t>
  </si>
  <si>
    <t>C01012</t>
  </si>
  <si>
    <t>user1012@example.com</t>
  </si>
  <si>
    <t>user2838@example.com</t>
  </si>
  <si>
    <t>828.911.2361</t>
  </si>
  <si>
    <t>C02466</t>
  </si>
  <si>
    <t>user2466@example.com</t>
  </si>
  <si>
    <t>C01992</t>
  </si>
  <si>
    <t>user1992@example.com</t>
  </si>
  <si>
    <t>337-404-9082</t>
  </si>
  <si>
    <t>C01784</t>
  </si>
  <si>
    <t>C03127</t>
  </si>
  <si>
    <t>user3127@example.com</t>
  </si>
  <si>
    <t>C00447</t>
  </si>
  <si>
    <t>user447@example.com</t>
  </si>
  <si>
    <t>911 577 4308</t>
  </si>
  <si>
    <t>user881@example.com</t>
  </si>
  <si>
    <t>(580) 416-6618</t>
  </si>
  <si>
    <t>C04474</t>
  </si>
  <si>
    <t>C00782</t>
  </si>
  <si>
    <t>user782@example.com</t>
  </si>
  <si>
    <t>257-414-7672</t>
  </si>
  <si>
    <t>C01750</t>
  </si>
  <si>
    <t>598.395.2058</t>
  </si>
  <si>
    <t>C03410</t>
  </si>
  <si>
    <t>user3410@example.com</t>
  </si>
  <si>
    <t>(103) 684-6823</t>
  </si>
  <si>
    <t>C04897</t>
  </si>
  <si>
    <t>user4897@example.com</t>
  </si>
  <si>
    <t>(110) 980-7130</t>
  </si>
  <si>
    <t>C00884</t>
  </si>
  <si>
    <t>user884@example.com</t>
  </si>
  <si>
    <t>343-619-1894</t>
  </si>
  <si>
    <t>user2673@example.com</t>
  </si>
  <si>
    <t>C01092</t>
  </si>
  <si>
    <t>user1092@example.com</t>
  </si>
  <si>
    <t>C03958</t>
  </si>
  <si>
    <t>user3958@example.com</t>
  </si>
  <si>
    <t>(927) 502-5748</t>
  </si>
  <si>
    <t>user532@example.com</t>
  </si>
  <si>
    <t>497 108 7438</t>
  </si>
  <si>
    <t>C04047</t>
  </si>
  <si>
    <t>user4047@example.com</t>
  </si>
  <si>
    <t>544 102 2811</t>
  </si>
  <si>
    <t>C04315</t>
  </si>
  <si>
    <t>user4315@example.com</t>
  </si>
  <si>
    <t>user4112@example.com</t>
  </si>
  <si>
    <t>(214) 185-8281</t>
  </si>
  <si>
    <t>C01728</t>
  </si>
  <si>
    <t>user1728@example.com</t>
  </si>
  <si>
    <t>473.569.1222</t>
  </si>
  <si>
    <t>C00611</t>
  </si>
  <si>
    <t>user611@example.com</t>
  </si>
  <si>
    <t>user571@example.com</t>
  </si>
  <si>
    <t>110-580-3182</t>
  </si>
  <si>
    <t>C02690</t>
  </si>
  <si>
    <t>user2690@example.com</t>
  </si>
  <si>
    <t>104-434-7303</t>
  </si>
  <si>
    <t>C03049</t>
  </si>
  <si>
    <t>user3049@example.com</t>
  </si>
  <si>
    <t>C00344</t>
  </si>
  <si>
    <t>user344@example.com</t>
  </si>
  <si>
    <t>782-469-7513</t>
  </si>
  <si>
    <t>C04125</t>
  </si>
  <si>
    <t>user4125@example.com</t>
  </si>
  <si>
    <t>C03571</t>
  </si>
  <si>
    <t>user3571@example.com</t>
  </si>
  <si>
    <t>549-902-9831</t>
  </si>
  <si>
    <t>C00435</t>
  </si>
  <si>
    <t>user435@example.com</t>
  </si>
  <si>
    <t>C01904</t>
  </si>
  <si>
    <t>user1904@example.com</t>
  </si>
  <si>
    <t>554 145 4677</t>
  </si>
  <si>
    <t>C03829</t>
  </si>
  <si>
    <t>C03481</t>
  </si>
  <si>
    <t>user3481@example.com</t>
  </si>
  <si>
    <t>899-340-8961</t>
  </si>
  <si>
    <t>C02070</t>
  </si>
  <si>
    <t>user2070@example.com</t>
  </si>
  <si>
    <t>771 510 3149</t>
  </si>
  <si>
    <t>C01538</t>
  </si>
  <si>
    <t>user1538@example.com</t>
  </si>
  <si>
    <t>C02270</t>
  </si>
  <si>
    <t>user2270@example.com</t>
  </si>
  <si>
    <t>655-373-3928</t>
  </si>
  <si>
    <t>C04975</t>
  </si>
  <si>
    <t>C01518</t>
  </si>
  <si>
    <t>user1518@example.com</t>
  </si>
  <si>
    <t>211 187 3953</t>
  </si>
  <si>
    <t>C00966</t>
  </si>
  <si>
    <t>user966@example.com</t>
  </si>
  <si>
    <t>436-683-8397</t>
  </si>
  <si>
    <t>C04421</t>
  </si>
  <si>
    <t>281.425.4733</t>
  </si>
  <si>
    <t>C00529</t>
  </si>
  <si>
    <t>user529@example.com</t>
  </si>
  <si>
    <t>C00177</t>
  </si>
  <si>
    <t>(728) 758-2740</t>
  </si>
  <si>
    <t>C03505</t>
  </si>
  <si>
    <t>user3505@example.com</t>
  </si>
  <si>
    <t>987 144 4358</t>
  </si>
  <si>
    <t>C02562</t>
  </si>
  <si>
    <t>user2562@example.com</t>
  </si>
  <si>
    <t>C04312</t>
  </si>
  <si>
    <t>user4312@example.com</t>
  </si>
  <si>
    <t>(481) 492-2522</t>
  </si>
  <si>
    <t>user573@example.com</t>
  </si>
  <si>
    <t>C02317</t>
  </si>
  <si>
    <t>user2317@example.com</t>
  </si>
  <si>
    <t>323 316 2812</t>
  </si>
  <si>
    <t>C04840</t>
  </si>
  <si>
    <t>user4840@example.com</t>
  </si>
  <si>
    <t>C02477</t>
  </si>
  <si>
    <t>user2477@example.com</t>
  </si>
  <si>
    <t>C03694</t>
  </si>
  <si>
    <t>C02601</t>
  </si>
  <si>
    <t>user2601@example.com</t>
  </si>
  <si>
    <t>(699) 606-4627</t>
  </si>
  <si>
    <t>C02209</t>
  </si>
  <si>
    <t>818.207.6879</t>
  </si>
  <si>
    <t>C02584</t>
  </si>
  <si>
    <t>user2584@example.com</t>
  </si>
  <si>
    <t>C04317</t>
  </si>
  <si>
    <t>382 531 3265</t>
  </si>
  <si>
    <t>C00384</t>
  </si>
  <si>
    <t>user384@example.com</t>
  </si>
  <si>
    <t>(113) 240-9489</t>
  </si>
  <si>
    <t>C00853</t>
  </si>
  <si>
    <t>user853@example.com</t>
  </si>
  <si>
    <t>591-542-1393</t>
  </si>
  <si>
    <t>C01881</t>
  </si>
  <si>
    <t>user1881@example.com</t>
  </si>
  <si>
    <t>C00371</t>
  </si>
  <si>
    <t>user371@example.com</t>
  </si>
  <si>
    <t>624.850.1287</t>
  </si>
  <si>
    <t>user2396@example.com</t>
  </si>
  <si>
    <t>C04338</t>
  </si>
  <si>
    <t>user4338@example.com</t>
  </si>
  <si>
    <t>(497) 721-8522</t>
  </si>
  <si>
    <t>C01106</t>
  </si>
  <si>
    <t>user1106@example.com</t>
  </si>
  <si>
    <t>C02590</t>
  </si>
  <si>
    <t>user2590@example.com</t>
  </si>
  <si>
    <t>C03971</t>
  </si>
  <si>
    <t>user3971@example.com</t>
  </si>
  <si>
    <t>506.846.1889</t>
  </si>
  <si>
    <t>user1337@example.com</t>
  </si>
  <si>
    <t>(392) 583-5590</t>
  </si>
  <si>
    <t>C02190</t>
  </si>
  <si>
    <t>user2190@example.com</t>
  </si>
  <si>
    <t>488-822-5703</t>
  </si>
  <si>
    <t>C04609</t>
  </si>
  <si>
    <t>user4609@example.com</t>
  </si>
  <si>
    <t>648-814-1129</t>
  </si>
  <si>
    <t>C04170</t>
  </si>
  <si>
    <t>user4170@example.com</t>
  </si>
  <si>
    <t>C04572</t>
  </si>
  <si>
    <t>user4572@example.com</t>
  </si>
  <si>
    <t>695.393.5173</t>
  </si>
  <si>
    <t>C04696</t>
  </si>
  <si>
    <t>user4696@example.com</t>
  </si>
  <si>
    <t>C04864</t>
  </si>
  <si>
    <t>user4864@example.com</t>
  </si>
  <si>
    <t>user1172@example.com</t>
  </si>
  <si>
    <t>user3616@example.com</t>
  </si>
  <si>
    <t>398 746 7387</t>
  </si>
  <si>
    <t>C04194</t>
  </si>
  <si>
    <t>user4194@example.com</t>
  </si>
  <si>
    <t>172-585-2287</t>
  </si>
  <si>
    <t>982-252-3401</t>
  </si>
  <si>
    <t>C03028</t>
  </si>
  <si>
    <t>user3028@example.com</t>
  </si>
  <si>
    <t>826.388.8850</t>
  </si>
  <si>
    <t>C02670</t>
  </si>
  <si>
    <t>user2670@example.com</t>
  </si>
  <si>
    <t>247 884 9841</t>
  </si>
  <si>
    <t>C04169</t>
  </si>
  <si>
    <t>user4169@example.com</t>
  </si>
  <si>
    <t>C01465</t>
  </si>
  <si>
    <t>user1465@example.com</t>
  </si>
  <si>
    <t>733 157 4586</t>
  </si>
  <si>
    <t>C00875</t>
  </si>
  <si>
    <t>user875@example.com</t>
  </si>
  <si>
    <t>463.531.8887</t>
  </si>
  <si>
    <t>C02342</t>
  </si>
  <si>
    <t>(915) 281-8559</t>
  </si>
  <si>
    <t>C04355</t>
  </si>
  <si>
    <t>user4355@example.com</t>
  </si>
  <si>
    <t>443.622.6150</t>
  </si>
  <si>
    <t>C01252</t>
  </si>
  <si>
    <t>user1252@example.com</t>
  </si>
  <si>
    <t>(639) 845-6022</t>
  </si>
  <si>
    <t>C04539</t>
  </si>
  <si>
    <t>user4539@example.com</t>
  </si>
  <si>
    <t>468 691 4215</t>
  </si>
  <si>
    <t>C00841</t>
  </si>
  <si>
    <t>user841@example.com</t>
  </si>
  <si>
    <t>C04038</t>
  </si>
  <si>
    <t>user4038@example.com</t>
  </si>
  <si>
    <t>(160) 227-1276</t>
  </si>
  <si>
    <t>C00582</t>
  </si>
  <si>
    <t>user582@example.com</t>
  </si>
  <si>
    <t>C00205</t>
  </si>
  <si>
    <t>user205@example.com</t>
  </si>
  <si>
    <t>221 316 9570</t>
  </si>
  <si>
    <t>user1642@example.com</t>
  </si>
  <si>
    <t>C02015</t>
  </si>
  <si>
    <t>(619) 443-5523</t>
  </si>
  <si>
    <t>C00906</t>
  </si>
  <si>
    <t>user906@example.com</t>
  </si>
  <si>
    <t>121-951-3248</t>
  </si>
  <si>
    <t>C00632</t>
  </si>
  <si>
    <t>user632@example.com</t>
  </si>
  <si>
    <t>C03115</t>
  </si>
  <si>
    <t>user3115@example.com</t>
  </si>
  <si>
    <t>(407) 236-7401</t>
  </si>
  <si>
    <t>C01975</t>
  </si>
  <si>
    <t>(990) 134-8068</t>
  </si>
  <si>
    <t>user163@example.com</t>
  </si>
  <si>
    <t>C03194</t>
  </si>
  <si>
    <t>user3194@example.com</t>
  </si>
  <si>
    <t>C03850</t>
  </si>
  <si>
    <t>user3850@example.com</t>
  </si>
  <si>
    <t>C04510</t>
  </si>
  <si>
    <t>user4510@example.com</t>
  </si>
  <si>
    <t>555-217-2488</t>
  </si>
  <si>
    <t>C00618</t>
  </si>
  <si>
    <t>user618@example.com</t>
  </si>
  <si>
    <t>C04093</t>
  </si>
  <si>
    <t>user4093@example.com</t>
  </si>
  <si>
    <t>C01432</t>
  </si>
  <si>
    <t>(921) 769-5028</t>
  </si>
  <si>
    <t>user548@example.com</t>
  </si>
  <si>
    <t>589 994 3187</t>
  </si>
  <si>
    <t>C03356</t>
  </si>
  <si>
    <t>user3356@example.com</t>
  </si>
  <si>
    <t>102.207.8910</t>
  </si>
  <si>
    <t>C04561</t>
  </si>
  <si>
    <t>user4561@example.com</t>
  </si>
  <si>
    <t>(222) 904-1477</t>
  </si>
  <si>
    <t>C04237</t>
  </si>
  <si>
    <t>user4237@example.com</t>
  </si>
  <si>
    <t>C02405</t>
  </si>
  <si>
    <t>user2405@example.com</t>
  </si>
  <si>
    <t>C02684</t>
  </si>
  <si>
    <t>user2684@example.com</t>
  </si>
  <si>
    <t>C03837</t>
  </si>
  <si>
    <t>user3837@example.com</t>
  </si>
  <si>
    <t>654 253 8151</t>
  </si>
  <si>
    <t>C04090</t>
  </si>
  <si>
    <t>user4090@example.com</t>
  </si>
  <si>
    <t>C01862</t>
  </si>
  <si>
    <t>user1862@example.com</t>
  </si>
  <si>
    <t>C00641</t>
  </si>
  <si>
    <t>user641@example.com</t>
  </si>
  <si>
    <t>C03008</t>
  </si>
  <si>
    <t>user3008@example.com</t>
  </si>
  <si>
    <t>C00638</t>
  </si>
  <si>
    <t>user638@example.com</t>
  </si>
  <si>
    <t>C03540</t>
  </si>
  <si>
    <t>user3540@example.com</t>
  </si>
  <si>
    <t>C03935</t>
  </si>
  <si>
    <t>user3935@example.com</t>
  </si>
  <si>
    <t>(458) 591-8606</t>
  </si>
  <si>
    <t>C03007</t>
  </si>
  <si>
    <t>591 674 5675</t>
  </si>
  <si>
    <t>C02097</t>
  </si>
  <si>
    <t>user2097@example.com</t>
  </si>
  <si>
    <t>374-806-4427</t>
  </si>
  <si>
    <t>C02568</t>
  </si>
  <si>
    <t>user2568@example.com</t>
  </si>
  <si>
    <t>(385) 150-7567</t>
  </si>
  <si>
    <t>C03097</t>
  </si>
  <si>
    <t>user3097@example.com</t>
  </si>
  <si>
    <t>(448) 986-9083</t>
  </si>
  <si>
    <t>C03699</t>
  </si>
  <si>
    <t>user3699@example.com</t>
  </si>
  <si>
    <t>C04579</t>
  </si>
  <si>
    <t>user4579@example.com</t>
  </si>
  <si>
    <t>(494) 237-8108</t>
  </si>
  <si>
    <t>C00922</t>
  </si>
  <si>
    <t>user922@example.com</t>
  </si>
  <si>
    <t>(429) 829-7125</t>
  </si>
  <si>
    <t>C00547</t>
  </si>
  <si>
    <t>user547@example.com</t>
  </si>
  <si>
    <t>C03691</t>
  </si>
  <si>
    <t>user3691@example.com</t>
  </si>
  <si>
    <t>(411) 667-1081</t>
  </si>
  <si>
    <t>C01901</t>
  </si>
  <si>
    <t>user1901@example.com</t>
  </si>
  <si>
    <t>947.186.1978</t>
  </si>
  <si>
    <t>C02029</t>
  </si>
  <si>
    <t>user2029@example.com</t>
  </si>
  <si>
    <t>C02302</t>
  </si>
  <si>
    <t>448.427.6674</t>
  </si>
  <si>
    <t>C01886</t>
  </si>
  <si>
    <t>user1886@example.com</t>
  </si>
  <si>
    <t>C01643</t>
  </si>
  <si>
    <t>user1643@example.com</t>
  </si>
  <si>
    <t>932.427.4246</t>
  </si>
  <si>
    <t>C04560</t>
  </si>
  <si>
    <t>user4560@example.com</t>
  </si>
  <si>
    <t>(696) 867-9698</t>
  </si>
  <si>
    <t>C04825</t>
  </si>
  <si>
    <t>user4825@example.com</t>
  </si>
  <si>
    <t>165.576.5317</t>
  </si>
  <si>
    <t>C02098</t>
  </si>
  <si>
    <t>user2098@example.com</t>
  </si>
  <si>
    <t>C04372</t>
  </si>
  <si>
    <t>user4372@example.com</t>
  </si>
  <si>
    <t>950 100 1295</t>
  </si>
  <si>
    <t>C03586</t>
  </si>
  <si>
    <t>user3586@example.com</t>
  </si>
  <si>
    <t>751.449.2453</t>
  </si>
  <si>
    <t>user4509@example.com</t>
  </si>
  <si>
    <t>125 811 3065</t>
  </si>
  <si>
    <t>C04983</t>
  </si>
  <si>
    <t>user4983@example.com</t>
  </si>
  <si>
    <t>C00837</t>
  </si>
  <si>
    <t>user837@example.com</t>
  </si>
  <si>
    <t>(365) 683-4734</t>
  </si>
  <si>
    <t>C00602</t>
  </si>
  <si>
    <t>user602@example.com</t>
  </si>
  <si>
    <t>797.796.2998</t>
  </si>
  <si>
    <t>C00572</t>
  </si>
  <si>
    <t>user2185@example.com</t>
  </si>
  <si>
    <t>(907) 110-4563</t>
  </si>
  <si>
    <t>C03890</t>
  </si>
  <si>
    <t>user3890@example.com</t>
  </si>
  <si>
    <t>(340) 964-9425</t>
  </si>
  <si>
    <t>C02499</t>
  </si>
  <si>
    <t>user2499@example.com</t>
  </si>
  <si>
    <t>C04322</t>
  </si>
  <si>
    <t>user4322@example.com</t>
  </si>
  <si>
    <t>(103) 478-5570</t>
  </si>
  <si>
    <t>C01583</t>
  </si>
  <si>
    <t>user1583@example.com</t>
  </si>
  <si>
    <t>(201) 827-3069</t>
  </si>
  <si>
    <t>C04281</t>
  </si>
  <si>
    <t>user4281@example.com</t>
  </si>
  <si>
    <t>C04260</t>
  </si>
  <si>
    <t>user4260@example.com</t>
  </si>
  <si>
    <t>(348) 780-5808</t>
  </si>
  <si>
    <t>C04895</t>
  </si>
  <si>
    <t>user4895@example.com</t>
  </si>
  <si>
    <t>620 713 6416</t>
  </si>
  <si>
    <t>C01071</t>
  </si>
  <si>
    <t>user1071@example.com</t>
  </si>
  <si>
    <t>617 724 8101</t>
  </si>
  <si>
    <t>C01776</t>
  </si>
  <si>
    <t>user1776@example.com</t>
  </si>
  <si>
    <t>873-243-5954</t>
  </si>
  <si>
    <t>C04824</t>
  </si>
  <si>
    <t>user4824@example.com</t>
  </si>
  <si>
    <t>C01284</t>
  </si>
  <si>
    <t>user1284@example.com</t>
  </si>
  <si>
    <t>(626) 461-1834</t>
  </si>
  <si>
    <t>C03942</t>
  </si>
  <si>
    <t>user3942@example.com</t>
  </si>
  <si>
    <t>C04769</t>
  </si>
  <si>
    <t>user4769@example.com</t>
  </si>
  <si>
    <t>C01837</t>
  </si>
  <si>
    <t>user1837@example.com</t>
  </si>
  <si>
    <t>C04257</t>
  </si>
  <si>
    <t>user4257@example.com</t>
  </si>
  <si>
    <t>888.650.9048</t>
  </si>
  <si>
    <t>C01020</t>
  </si>
  <si>
    <t>user1020@example.com</t>
  </si>
  <si>
    <t>531-128-1238</t>
  </si>
  <si>
    <t>C03227</t>
  </si>
  <si>
    <t>375-936-3928</t>
  </si>
  <si>
    <t>C01327</t>
  </si>
  <si>
    <t>user1327@example.com</t>
  </si>
  <si>
    <t>380-296-3395</t>
  </si>
  <si>
    <t>C00476</t>
  </si>
  <si>
    <t>user476@example.com</t>
  </si>
  <si>
    <t>686.200.9001</t>
  </si>
  <si>
    <t>C03470</t>
  </si>
  <si>
    <t>user3470@example.com</t>
  </si>
  <si>
    <t>358-103-8099</t>
  </si>
  <si>
    <t>C01652</t>
  </si>
  <si>
    <t>user1652@example.com</t>
  </si>
  <si>
    <t>760.116.2137</t>
  </si>
  <si>
    <t>C04023</t>
  </si>
  <si>
    <t>(534) 467-6351</t>
  </si>
  <si>
    <t>C04300</t>
  </si>
  <si>
    <t>user4300@example.com</t>
  </si>
  <si>
    <t>(215) 761-9191</t>
  </si>
  <si>
    <t>C02629</t>
  </si>
  <si>
    <t>user2629@example.com</t>
  </si>
  <si>
    <t>976.824.8953</t>
  </si>
  <si>
    <t>C02781</t>
  </si>
  <si>
    <t>user2781@example.com</t>
  </si>
  <si>
    <t>C01374</t>
  </si>
  <si>
    <t>user1374@example.com</t>
  </si>
  <si>
    <t>C00740</t>
  </si>
  <si>
    <t>user740@example.com</t>
  </si>
  <si>
    <t>793.638.7598</t>
  </si>
  <si>
    <t>C03753</t>
  </si>
  <si>
    <t>user3753@example.com</t>
  </si>
  <si>
    <t>C02458</t>
  </si>
  <si>
    <t>user2458@example.com</t>
  </si>
  <si>
    <t>757-520-8001</t>
  </si>
  <si>
    <t>C00868</t>
  </si>
  <si>
    <t>user868@example.com</t>
  </si>
  <si>
    <t>493 575 8014</t>
  </si>
  <si>
    <t>C01141</t>
  </si>
  <si>
    <t>user1141@example.com</t>
  </si>
  <si>
    <t>C00998</t>
  </si>
  <si>
    <t>user998@example.com</t>
  </si>
  <si>
    <t>561 268 5141</t>
  </si>
  <si>
    <t>C01338</t>
  </si>
  <si>
    <t>user1338@example.com</t>
  </si>
  <si>
    <t>C00542</t>
  </si>
  <si>
    <t>user542@example.com</t>
  </si>
  <si>
    <t>C01100</t>
  </si>
  <si>
    <t>user1100@example.com</t>
  </si>
  <si>
    <t>C01133</t>
  </si>
  <si>
    <t>user1133@example.com</t>
  </si>
  <si>
    <t>562.733.8785</t>
  </si>
  <si>
    <t>C04089</t>
  </si>
  <si>
    <t>927-703-5876</t>
  </si>
  <si>
    <t>C02861</t>
  </si>
  <si>
    <t>user2861@example.com</t>
  </si>
  <si>
    <t>984-177-1158</t>
  </si>
  <si>
    <t>C04012</t>
  </si>
  <si>
    <t>user4012@example.com</t>
  </si>
  <si>
    <t>C00060</t>
  </si>
  <si>
    <t>(830) 876-9740</t>
  </si>
  <si>
    <t>C04957</t>
  </si>
  <si>
    <t>user4957@example.com</t>
  </si>
  <si>
    <t>324-996-8077</t>
  </si>
  <si>
    <t>C01939</t>
  </si>
  <si>
    <t>user1939@example.com</t>
  </si>
  <si>
    <t>215 623 2268</t>
  </si>
  <si>
    <t>C02595</t>
  </si>
  <si>
    <t>user2595@example.com</t>
  </si>
  <si>
    <t>C04952</t>
  </si>
  <si>
    <t>user4952@example.com</t>
  </si>
  <si>
    <t>(945) 878-7656</t>
  </si>
  <si>
    <t>C01079</t>
  </si>
  <si>
    <t>user1079@example.com</t>
  </si>
  <si>
    <t>(258) 294-1068</t>
  </si>
  <si>
    <t>C03130</t>
  </si>
  <si>
    <t>user3130@example.com</t>
  </si>
  <si>
    <t>(787) 843-7122</t>
  </si>
  <si>
    <t>C03149</t>
  </si>
  <si>
    <t>431.345.4133</t>
  </si>
  <si>
    <t>C02506</t>
  </si>
  <si>
    <t>user2506@example.com</t>
  </si>
  <si>
    <t>116 381 6296</t>
  </si>
  <si>
    <t>C00941</t>
  </si>
  <si>
    <t>user941@example.com</t>
  </si>
  <si>
    <t>468-139-9946</t>
  </si>
  <si>
    <t>C01081</t>
  </si>
  <si>
    <t>user1081@example.com</t>
  </si>
  <si>
    <t>514 525 7465</t>
  </si>
  <si>
    <t>C00188</t>
  </si>
  <si>
    <t>user188@example.com</t>
  </si>
  <si>
    <t>C02979</t>
  </si>
  <si>
    <t>user2979@example.com</t>
  </si>
  <si>
    <t>622-883-5745</t>
  </si>
  <si>
    <t>C02086</t>
  </si>
  <si>
    <t>user2086@example.com</t>
  </si>
  <si>
    <t>(691) 125-7510</t>
  </si>
  <si>
    <t>C02250</t>
  </si>
  <si>
    <t>user2250@example.com</t>
  </si>
  <si>
    <t>(507) 798-9476</t>
  </si>
  <si>
    <t>C04906</t>
  </si>
  <si>
    <t>user4906@example.com</t>
  </si>
  <si>
    <t>609 585 6224</t>
  </si>
  <si>
    <t>C02024</t>
  </si>
  <si>
    <t>user2024@example.com</t>
  </si>
  <si>
    <t>255 596 4065</t>
  </si>
  <si>
    <t>C02701</t>
  </si>
  <si>
    <t>user2701@example.com</t>
  </si>
  <si>
    <t>C04073</t>
  </si>
  <si>
    <t>user4073@example.com</t>
  </si>
  <si>
    <t>958.547.7449</t>
  </si>
  <si>
    <t>C03631</t>
  </si>
  <si>
    <t>user3631@example.com</t>
  </si>
  <si>
    <t>C00227</t>
  </si>
  <si>
    <t>user227@example.com</t>
  </si>
  <si>
    <t>C04150</t>
  </si>
  <si>
    <t>user4150@example.com</t>
  </si>
  <si>
    <t>C01930</t>
  </si>
  <si>
    <t>(745) 278-3406</t>
  </si>
  <si>
    <t>C03077</t>
  </si>
  <si>
    <t>805 701 6751</t>
  </si>
  <si>
    <t>C04504</t>
  </si>
  <si>
    <t>user4504@example.com</t>
  </si>
  <si>
    <t>271.504.1760</t>
  </si>
  <si>
    <t>C01405</t>
  </si>
  <si>
    <t>user1405@example.com</t>
  </si>
  <si>
    <t>(349) 157-9905</t>
  </si>
  <si>
    <t>C02180</t>
  </si>
  <si>
    <t>user2180@example.com</t>
  </si>
  <si>
    <t>380.674.6745</t>
  </si>
  <si>
    <t>C00698</t>
  </si>
  <si>
    <t>user698@example.com</t>
  </si>
  <si>
    <t>(954) 928-8760</t>
  </si>
  <si>
    <t>C01125</t>
  </si>
  <si>
    <t>user1125@example.com</t>
  </si>
  <si>
    <t>C04837</t>
  </si>
  <si>
    <t>(122) 324-4232</t>
  </si>
  <si>
    <t>C02940</t>
  </si>
  <si>
    <t>user2940@example.com</t>
  </si>
  <si>
    <t>596.421.9786</t>
  </si>
  <si>
    <t>user1779@example.com</t>
  </si>
  <si>
    <t>873-965-7433</t>
  </si>
  <si>
    <t>C04333</t>
  </si>
  <si>
    <t>user4333@example.com</t>
  </si>
  <si>
    <t>C01038</t>
  </si>
  <si>
    <t>user1038@example.com</t>
  </si>
  <si>
    <t>C04349</t>
  </si>
  <si>
    <t>user4349@example.com</t>
  </si>
  <si>
    <t>818 882 6873</t>
  </si>
  <si>
    <t>C02257</t>
  </si>
  <si>
    <t>user2257@example.com</t>
  </si>
  <si>
    <t>889 155 5963</t>
  </si>
  <si>
    <t>C00314</t>
  </si>
  <si>
    <t>user314@example.com</t>
  </si>
  <si>
    <t>user2282@example.com</t>
  </si>
  <si>
    <t>624 842 2290</t>
  </si>
  <si>
    <t>user1417@example.com</t>
  </si>
  <si>
    <t>(538) 643-6486</t>
  </si>
  <si>
    <t>C01037</t>
  </si>
  <si>
    <t>user1037@example.com</t>
  </si>
  <si>
    <t>C02160</t>
  </si>
  <si>
    <t>user2160@example.com</t>
  </si>
  <si>
    <t>762-381-8843</t>
  </si>
  <si>
    <t>C04177</t>
  </si>
  <si>
    <t>C00420</t>
  </si>
  <si>
    <t>user1755@example.com</t>
  </si>
  <si>
    <t>357-241-6737</t>
  </si>
  <si>
    <t>C03134</t>
  </si>
  <si>
    <t>user3134@example.com</t>
  </si>
  <si>
    <t>761 992 3576</t>
  </si>
  <si>
    <t>C04233</t>
  </si>
  <si>
    <t>user4233@example.com</t>
  </si>
  <si>
    <t>C03707</t>
  </si>
  <si>
    <t>user3707@example.com</t>
  </si>
  <si>
    <t>C04161</t>
  </si>
  <si>
    <t>user4161@example.com</t>
  </si>
  <si>
    <t>777.873.3674</t>
  </si>
  <si>
    <t>C03367</t>
  </si>
  <si>
    <t>user3367@example.com</t>
  </si>
  <si>
    <t>723 685 4783</t>
  </si>
  <si>
    <t>C03955</t>
  </si>
  <si>
    <t>user3955@example.com</t>
  </si>
  <si>
    <t>669.415.5370</t>
  </si>
  <si>
    <t>user1507@example.com</t>
  </si>
  <si>
    <t>977 734 3113</t>
  </si>
  <si>
    <t>C01924</t>
  </si>
  <si>
    <t>user1924@example.com</t>
  </si>
  <si>
    <t>137 467 8867</t>
  </si>
  <si>
    <t>C00449</t>
  </si>
  <si>
    <t>user449@example.com</t>
  </si>
  <si>
    <t>C02461</t>
  </si>
  <si>
    <t>user2461@example.com</t>
  </si>
  <si>
    <t>679-547-1525</t>
  </si>
  <si>
    <t>C04356</t>
  </si>
  <si>
    <t>user4356@example.com</t>
  </si>
  <si>
    <t>571-598-8486</t>
  </si>
  <si>
    <t>C04985</t>
  </si>
  <si>
    <t>user4985@example.com</t>
  </si>
  <si>
    <t>C03677</t>
  </si>
  <si>
    <t>user3677@example.com</t>
  </si>
  <si>
    <t>C00362</t>
  </si>
  <si>
    <t>user362@example.com</t>
  </si>
  <si>
    <t>(127) 910-1040</t>
  </si>
  <si>
    <t>C02184</t>
  </si>
  <si>
    <t>user2184@example.com</t>
  </si>
  <si>
    <t>(425) 705-1329</t>
  </si>
  <si>
    <t>C01135</t>
  </si>
  <si>
    <t>user1135@example.com</t>
  </si>
  <si>
    <t>753-932-6278</t>
  </si>
  <si>
    <t>C03905</t>
  </si>
  <si>
    <t>user3905@example.com</t>
  </si>
  <si>
    <t>C02156</t>
  </si>
  <si>
    <t>user2156@example.com</t>
  </si>
  <si>
    <t>(552) 469-9618</t>
  </si>
  <si>
    <t>C01831</t>
  </si>
  <si>
    <t>user1831@example.com</t>
  </si>
  <si>
    <t>138-967-2194</t>
  </si>
  <si>
    <t>C01054</t>
  </si>
  <si>
    <t>334-967-6427</t>
  </si>
  <si>
    <t>C00023</t>
  </si>
  <si>
    <t>user23@example.com</t>
  </si>
  <si>
    <t>C02067</t>
  </si>
  <si>
    <t>143 260 5638</t>
  </si>
  <si>
    <t>C01654</t>
  </si>
  <si>
    <t>user1654@example.com</t>
  </si>
  <si>
    <t>C02606</t>
  </si>
  <si>
    <t>user2606@example.com</t>
  </si>
  <si>
    <t>716-210-2615</t>
  </si>
  <si>
    <t>C03232</t>
  </si>
  <si>
    <t>user3232@example.com</t>
  </si>
  <si>
    <t>625.932.1339</t>
  </si>
  <si>
    <t>C04617</t>
  </si>
  <si>
    <t>user4617@example.com</t>
  </si>
  <si>
    <t>(345) 476-2944</t>
  </si>
  <si>
    <t>C04061</t>
  </si>
  <si>
    <t>user4061@example.com</t>
  </si>
  <si>
    <t>181.148.5714</t>
  </si>
  <si>
    <t>C02326</t>
  </si>
  <si>
    <t>user2326@example.com</t>
  </si>
  <si>
    <t>(994) 281-7554</t>
  </si>
  <si>
    <t>C00461</t>
  </si>
  <si>
    <t>user461@example.com</t>
  </si>
  <si>
    <t>C01068</t>
  </si>
  <si>
    <t>user1068@example.com</t>
  </si>
  <si>
    <t>C00088</t>
  </si>
  <si>
    <t>user88@example.com</t>
  </si>
  <si>
    <t>(776) 252-8421</t>
  </si>
  <si>
    <t>C01431</t>
  </si>
  <si>
    <t>user1431@example.com</t>
  </si>
  <si>
    <t>C03337</t>
  </si>
  <si>
    <t>user3337@example.com</t>
  </si>
  <si>
    <t>(210) 559-3066</t>
  </si>
  <si>
    <t>user283@example.com</t>
  </si>
  <si>
    <t>C00463</t>
  </si>
  <si>
    <t>user463@example.com</t>
  </si>
  <si>
    <t>C00213</t>
  </si>
  <si>
    <t>user213@example.com</t>
  </si>
  <si>
    <t>725 274 2047</t>
  </si>
  <si>
    <t>C03969</t>
  </si>
  <si>
    <t>(233) 252-1460</t>
  </si>
  <si>
    <t>C01369</t>
  </si>
  <si>
    <t>user1369@example.com</t>
  </si>
  <si>
    <t>(329) 146-9741</t>
  </si>
  <si>
    <t>C00235</t>
  </si>
  <si>
    <t>user235@example.com</t>
  </si>
  <si>
    <t>104 671 4860</t>
  </si>
  <si>
    <t>C02790</t>
  </si>
  <si>
    <t>247.143.8535</t>
  </si>
  <si>
    <t>C00598</t>
  </si>
  <si>
    <t>user598@example.com</t>
  </si>
  <si>
    <t>C04435</t>
  </si>
  <si>
    <t>user4435@example.com</t>
  </si>
  <si>
    <t>202-573-9315</t>
  </si>
  <si>
    <t>C02251</t>
  </si>
  <si>
    <t>C04056</t>
  </si>
  <si>
    <t>user4056@example.com</t>
  </si>
  <si>
    <t>209 251 1499</t>
  </si>
  <si>
    <t>C02284</t>
  </si>
  <si>
    <t>510 122 4013</t>
  </si>
  <si>
    <t>user663@example.com</t>
  </si>
  <si>
    <t>C04979</t>
  </si>
  <si>
    <t>100-176-4110</t>
  </si>
  <si>
    <t>user2286@example.com</t>
  </si>
  <si>
    <t>219 912 4139</t>
  </si>
  <si>
    <t>C04732</t>
  </si>
  <si>
    <t>user4732@example.com</t>
  </si>
  <si>
    <t>595 336 2309</t>
  </si>
  <si>
    <t>C03215</t>
  </si>
  <si>
    <t>user3215@example.com</t>
  </si>
  <si>
    <t>490-473-1786</t>
  </si>
  <si>
    <t>C02521</t>
  </si>
  <si>
    <t>user2521@example.com</t>
  </si>
  <si>
    <t>147 652 7177</t>
  </si>
  <si>
    <t>C03454</t>
  </si>
  <si>
    <t>user3454@example.com</t>
  </si>
  <si>
    <t>763.719.9153</t>
  </si>
  <si>
    <t>C00755</t>
  </si>
  <si>
    <t>user780@example.com</t>
  </si>
  <si>
    <t>201-654-3755</t>
  </si>
  <si>
    <t>C04827</t>
  </si>
  <si>
    <t>user4827@example.com</t>
  </si>
  <si>
    <t>159.258.4741</t>
  </si>
  <si>
    <t>C01272</t>
  </si>
  <si>
    <t>user3448@example.com</t>
  </si>
  <si>
    <t>660 343 1972</t>
  </si>
  <si>
    <t>C03309</t>
  </si>
  <si>
    <t>user3309@example.com</t>
  </si>
  <si>
    <t>C03888</t>
  </si>
  <si>
    <t>user3888@example.com</t>
  </si>
  <si>
    <t>674 161 3156</t>
  </si>
  <si>
    <t>C04851</t>
  </si>
  <si>
    <t>user4851@example.com</t>
  </si>
  <si>
    <t>169 918 1268</t>
  </si>
  <si>
    <t>C00686</t>
  </si>
  <si>
    <t>user686@example.com</t>
  </si>
  <si>
    <t>(973) 806-9444</t>
  </si>
  <si>
    <t>C03938</t>
  </si>
  <si>
    <t>user3938@example.com</t>
  </si>
  <si>
    <t>(488) 258-1535</t>
  </si>
  <si>
    <t>C04328</t>
  </si>
  <si>
    <t>C03456</t>
  </si>
  <si>
    <t>user3456@example.com</t>
  </si>
  <si>
    <t>C02172</t>
  </si>
  <si>
    <t>user2172@example.com</t>
  </si>
  <si>
    <t>957.788.6185</t>
  </si>
  <si>
    <t>C02686</t>
  </si>
  <si>
    <t>user2686@example.com</t>
  </si>
  <si>
    <t>562.869.2540</t>
  </si>
  <si>
    <t>C01851</t>
  </si>
  <si>
    <t>user1851@example.com</t>
  </si>
  <si>
    <t>123.329.5749</t>
  </si>
  <si>
    <t>C00488</t>
  </si>
  <si>
    <t>user488@example.com</t>
  </si>
  <si>
    <t>C01689</t>
  </si>
  <si>
    <t>user1689@example.com</t>
  </si>
  <si>
    <t>C02231</t>
  </si>
  <si>
    <t>user2231@example.com</t>
  </si>
  <si>
    <t>192 841 5009</t>
  </si>
  <si>
    <t>C03286</t>
  </si>
  <si>
    <t>user3286@example.com</t>
  </si>
  <si>
    <t>C02321</t>
  </si>
  <si>
    <t>user2321@example.com</t>
  </si>
  <si>
    <t>713 385 6233</t>
  </si>
  <si>
    <t>C00783</t>
  </si>
  <si>
    <t>user783@example.com</t>
  </si>
  <si>
    <t>C00522</t>
  </si>
  <si>
    <t>user522@example.com</t>
  </si>
  <si>
    <t>360 983 1916</t>
  </si>
  <si>
    <t>C00523</t>
  </si>
  <si>
    <t>user523@example.com</t>
  </si>
  <si>
    <t>646 483 2850</t>
  </si>
  <si>
    <t>C02858</t>
  </si>
  <si>
    <t>C03977</t>
  </si>
  <si>
    <t>user2399@example.com</t>
  </si>
  <si>
    <t>908.749.2196</t>
  </si>
  <si>
    <t>C02208</t>
  </si>
  <si>
    <t>user2208@example.com</t>
  </si>
  <si>
    <t>C03500</t>
  </si>
  <si>
    <t>(432) 146-6507</t>
  </si>
  <si>
    <t>C03575</t>
  </si>
  <si>
    <t>user3575@example.com</t>
  </si>
  <si>
    <t>788 217 9257</t>
  </si>
  <si>
    <t>C03762</t>
  </si>
  <si>
    <t>user3762@example.com</t>
  </si>
  <si>
    <t>C02842</t>
  </si>
  <si>
    <t>user2842@example.com</t>
  </si>
  <si>
    <t>C01512</t>
  </si>
  <si>
    <t>user1512@example.com</t>
  </si>
  <si>
    <t>C01883</t>
  </si>
  <si>
    <t>144.421.6728</t>
  </si>
  <si>
    <t>C00652</t>
  </si>
  <si>
    <t>user652@example.com</t>
  </si>
  <si>
    <t>408-888-8592</t>
  </si>
  <si>
    <t>C02806</t>
  </si>
  <si>
    <t>user2806@example.com</t>
  </si>
  <si>
    <t>C03674</t>
  </si>
  <si>
    <t>user3674@example.com</t>
  </si>
  <si>
    <t>(604) 504-8023</t>
  </si>
  <si>
    <t>C00370</t>
  </si>
  <si>
    <t>user370@example.com</t>
  </si>
  <si>
    <t>C03398</t>
  </si>
  <si>
    <t>user3893@example.com</t>
  </si>
  <si>
    <t>C00119</t>
  </si>
  <si>
    <t>user119@example.com</t>
  </si>
  <si>
    <t>576.629.2281</t>
  </si>
  <si>
    <t>C03425</t>
  </si>
  <si>
    <t>856.407.7666</t>
  </si>
  <si>
    <t>C03984</t>
  </si>
  <si>
    <t>(315) 992-2533</t>
  </si>
  <si>
    <t>C02217</t>
  </si>
  <si>
    <t>(358) 840-7114</t>
  </si>
  <si>
    <t>C03758</t>
  </si>
  <si>
    <t>user3758@example.com</t>
  </si>
  <si>
    <t>831-559-3289</t>
  </si>
  <si>
    <t>C01614</t>
  </si>
  <si>
    <t>user1614@example.com</t>
  </si>
  <si>
    <t>322-130-6366</t>
  </si>
  <si>
    <t>C04922</t>
  </si>
  <si>
    <t>user4922@example.com</t>
  </si>
  <si>
    <t>C00963</t>
  </si>
  <si>
    <t>user963@example.com</t>
  </si>
  <si>
    <t>(257) 438-7404</t>
  </si>
  <si>
    <t>C02511</t>
  </si>
  <si>
    <t>user2511@example.com</t>
  </si>
  <si>
    <t>C03790</t>
  </si>
  <si>
    <t>user3790@example.com</t>
  </si>
  <si>
    <t>C02843</t>
  </si>
  <si>
    <t>user2843@example.com</t>
  </si>
  <si>
    <t>601-426-3734</t>
  </si>
  <si>
    <t>C03467</t>
  </si>
  <si>
    <t>user3467@example.com</t>
  </si>
  <si>
    <t>(498) 461-4080</t>
  </si>
  <si>
    <t>C03143</t>
  </si>
  <si>
    <t>user3143@example.com</t>
  </si>
  <si>
    <t>975.581.9379</t>
  </si>
  <si>
    <t>C02416</t>
  </si>
  <si>
    <t>user2416@example.com</t>
  </si>
  <si>
    <t>450 753 9824</t>
  </si>
  <si>
    <t>C04670</t>
  </si>
  <si>
    <t>user4670@example.com</t>
  </si>
  <si>
    <t>C03021</t>
  </si>
  <si>
    <t>user4251@example.com</t>
  </si>
  <si>
    <t>132-792-8032</t>
  </si>
  <si>
    <t>C02186</t>
  </si>
  <si>
    <t>user2186@example.com</t>
  </si>
  <si>
    <t>C02935</t>
  </si>
  <si>
    <t>user2935@example.com</t>
  </si>
  <si>
    <t>828.246.6960</t>
  </si>
  <si>
    <t>C02038</t>
  </si>
  <si>
    <t>529.557.6331</t>
  </si>
  <si>
    <t>C04276</t>
  </si>
  <si>
    <t>user4276@example.com</t>
  </si>
  <si>
    <t>C00773</t>
  </si>
  <si>
    <t>user773@example.com</t>
  </si>
  <si>
    <t>(119) 381-4371</t>
  </si>
  <si>
    <t>C01285</t>
  </si>
  <si>
    <t>user1285@example.com</t>
  </si>
  <si>
    <t>607 488 3793</t>
  </si>
  <si>
    <t>user4619@example.com</t>
  </si>
  <si>
    <t>153.783.5338</t>
  </si>
  <si>
    <t>C04752</t>
  </si>
  <si>
    <t>user4752@example.com</t>
  </si>
  <si>
    <t>C04591</t>
  </si>
  <si>
    <t>291 474 1943</t>
  </si>
  <si>
    <t>C01415</t>
  </si>
  <si>
    <t>user1415@example.com</t>
  </si>
  <si>
    <t>user1235@example.com</t>
  </si>
  <si>
    <t>C03183</t>
  </si>
  <si>
    <t>user3183@example.com</t>
  </si>
  <si>
    <t>(654) 731-1285</t>
  </si>
  <si>
    <t>C00436</t>
  </si>
  <si>
    <t>C01675</t>
  </si>
  <si>
    <t>C00366</t>
  </si>
  <si>
    <t>222-883-5541</t>
  </si>
  <si>
    <t>C04238</t>
  </si>
  <si>
    <t>921-379-8309</t>
  </si>
  <si>
    <t>C04282</t>
  </si>
  <si>
    <t>user4282@example.com</t>
  </si>
  <si>
    <t>C04066</t>
  </si>
  <si>
    <t>user4066@example.com</t>
  </si>
  <si>
    <t>(457) 644-9652</t>
  </si>
  <si>
    <t>C04871</t>
  </si>
  <si>
    <t>687 887 2250</t>
  </si>
  <si>
    <t>C00408</t>
  </si>
  <si>
    <t>user408@example.com</t>
  </si>
  <si>
    <t>C02091</t>
  </si>
  <si>
    <t>user2091@example.com</t>
  </si>
  <si>
    <t>707 355 2374</t>
  </si>
  <si>
    <t>C00087</t>
  </si>
  <si>
    <t>user87@example.com</t>
  </si>
  <si>
    <t>C00845</t>
  </si>
  <si>
    <t>user845@example.com</t>
  </si>
  <si>
    <t>607 470 9474</t>
  </si>
  <si>
    <t>C01032</t>
  </si>
  <si>
    <t>user1032@example.com</t>
  </si>
  <si>
    <t>C02650</t>
  </si>
  <si>
    <t>C04535</t>
  </si>
  <si>
    <t>user4535@example.com</t>
  </si>
  <si>
    <t>(778) 259-1969</t>
  </si>
  <si>
    <t>C02744</t>
  </si>
  <si>
    <t>user2744@example.com</t>
  </si>
  <si>
    <t>C03251</t>
  </si>
  <si>
    <t>user4629@example.com</t>
  </si>
  <si>
    <t>(245) 223-2300</t>
  </si>
  <si>
    <t>C00856</t>
  </si>
  <si>
    <t>user856@example.com</t>
  </si>
  <si>
    <t>(448) 952-1891</t>
  </si>
  <si>
    <t>C02248</t>
  </si>
  <si>
    <t>user2248@example.com</t>
  </si>
  <si>
    <t>C04585</t>
  </si>
  <si>
    <t>user4585@example.com</t>
  </si>
  <si>
    <t>C03986</t>
  </si>
  <si>
    <t>user3986@example.com</t>
  </si>
  <si>
    <t>C02933</t>
  </si>
  <si>
    <t>user2933@example.com</t>
  </si>
  <si>
    <t>C02930</t>
  </si>
  <si>
    <t>user2930@example.com</t>
  </si>
  <si>
    <t>676 581 1317</t>
  </si>
  <si>
    <t>C02280</t>
  </si>
  <si>
    <t>user2280@example.com</t>
  </si>
  <si>
    <t>178-434-7107</t>
  </si>
  <si>
    <t>C04533</t>
  </si>
  <si>
    <t>user4533@example.com</t>
  </si>
  <si>
    <t>C04173</t>
  </si>
  <si>
    <t>user4173@example.com</t>
  </si>
  <si>
    <t>C03895</t>
  </si>
  <si>
    <t>user3895@example.com</t>
  </si>
  <si>
    <t>911 872 8369</t>
  </si>
  <si>
    <t>C04126</t>
  </si>
  <si>
    <t>user4126@example.com</t>
  </si>
  <si>
    <t>882-763-2376</t>
  </si>
  <si>
    <t>user2177@example.com</t>
  </si>
  <si>
    <t>(554) 145-5514</t>
  </si>
  <si>
    <t>C00425</t>
  </si>
  <si>
    <t>user425@example.com</t>
  </si>
  <si>
    <t>C00393</t>
  </si>
  <si>
    <t>user393@example.com</t>
  </si>
  <si>
    <t>711 635 6604</t>
  </si>
  <si>
    <t>C04742</t>
  </si>
  <si>
    <t>user4742@example.com</t>
  </si>
  <si>
    <t>(338) 227-3371</t>
  </si>
  <si>
    <t>C04753</t>
  </si>
  <si>
    <t>user4753@example.com</t>
  </si>
  <si>
    <t>935 306 7318</t>
  </si>
  <si>
    <t>C00105</t>
  </si>
  <si>
    <t>user105@example.com</t>
  </si>
  <si>
    <t>(111) 173-1257</t>
  </si>
  <si>
    <t>C02993</t>
  </si>
  <si>
    <t>user2993@example.com</t>
  </si>
  <si>
    <t>556-717-9385</t>
  </si>
  <si>
    <t>C03742</t>
  </si>
  <si>
    <t>user3742@example.com</t>
  </si>
  <si>
    <t>714 500 7378</t>
  </si>
  <si>
    <t>C01949</t>
  </si>
  <si>
    <t>C01460</t>
  </si>
  <si>
    <t>user1460@example.com</t>
  </si>
  <si>
    <t>952 533 8443</t>
  </si>
  <si>
    <t>C04388</t>
  </si>
  <si>
    <t>218-688-7091</t>
  </si>
  <si>
    <t>user2823@example.com</t>
  </si>
  <si>
    <t>(267) 525-2940</t>
  </si>
  <si>
    <t>C04411</t>
  </si>
  <si>
    <t>user4411@example.com</t>
  </si>
  <si>
    <t>(460) 893-7607</t>
  </si>
  <si>
    <t>C04805</t>
  </si>
  <si>
    <t>user4805@example.com</t>
  </si>
  <si>
    <t>367-822-6906</t>
  </si>
  <si>
    <t>user1588@example.com</t>
  </si>
  <si>
    <t>743-888-3507</t>
  </si>
  <si>
    <t>user3684@example.com</t>
  </si>
  <si>
    <t>448.464.1852</t>
  </si>
  <si>
    <t>C01732</t>
  </si>
  <si>
    <t>C04869</t>
  </si>
  <si>
    <t>user4869@example.com</t>
  </si>
  <si>
    <t>C03738</t>
  </si>
  <si>
    <t>user3738@example.com</t>
  </si>
  <si>
    <t>C03706</t>
  </si>
  <si>
    <t>user3706@example.com</t>
  </si>
  <si>
    <t>C01792</t>
  </si>
  <si>
    <t>user1792@example.com</t>
  </si>
  <si>
    <t>168-100-3507</t>
  </si>
  <si>
    <t>C02356</t>
  </si>
  <si>
    <t>C01941</t>
  </si>
  <si>
    <t>user1941@example.com</t>
  </si>
  <si>
    <t>C00703</t>
  </si>
  <si>
    <t>906 333 3260</t>
  </si>
  <si>
    <t>user2834@example.com</t>
  </si>
  <si>
    <t>C00497</t>
  </si>
  <si>
    <t>user497@example.com</t>
  </si>
  <si>
    <t>(346) 254-5919</t>
  </si>
  <si>
    <t>C00465</t>
  </si>
  <si>
    <t>user465@example.com</t>
  </si>
  <si>
    <t>C02706</t>
  </si>
  <si>
    <t>user2706@example.com</t>
  </si>
  <si>
    <t>C04348</t>
  </si>
  <si>
    <t>user4348@example.com</t>
  </si>
  <si>
    <t>(122) 189-3174</t>
  </si>
  <si>
    <t>C00173</t>
  </si>
  <si>
    <t>user173@example.com</t>
  </si>
  <si>
    <t>282.551.2137</t>
  </si>
  <si>
    <t>C03095</t>
  </si>
  <si>
    <t>user3095@example.com</t>
  </si>
  <si>
    <t>(105) 496-3893</t>
  </si>
  <si>
    <t>C04812</t>
  </si>
  <si>
    <t>user4812@example.com</t>
  </si>
  <si>
    <t>C02541</t>
  </si>
  <si>
    <t>user2541@example.com</t>
  </si>
  <si>
    <t>C04305</t>
  </si>
  <si>
    <t>user4305@example.com</t>
  </si>
  <si>
    <t>115-289-4768</t>
  </si>
  <si>
    <t>C02971</t>
  </si>
  <si>
    <t>user2971@example.com</t>
  </si>
  <si>
    <t>C02261</t>
  </si>
  <si>
    <t>user2261@example.com</t>
  </si>
  <si>
    <t>C02113</t>
  </si>
  <si>
    <t>635.801.4349</t>
  </si>
  <si>
    <t>C00901</t>
  </si>
  <si>
    <t>user901@example.com</t>
  </si>
  <si>
    <t>130-303-4241</t>
  </si>
  <si>
    <t>C01447</t>
  </si>
  <si>
    <t>user1447@example.com</t>
  </si>
  <si>
    <t>155.818.2736</t>
  </si>
  <si>
    <t>C03718</t>
  </si>
  <si>
    <t>131 757 8241</t>
  </si>
  <si>
    <t>user742@example.com</t>
  </si>
  <si>
    <t>698.610.7937</t>
  </si>
  <si>
    <t>C02294</t>
  </si>
  <si>
    <t>105.516.4393</t>
  </si>
  <si>
    <t>C02453</t>
  </si>
  <si>
    <t>user2453@example.com</t>
  </si>
  <si>
    <t>891.556.4519</t>
  </si>
  <si>
    <t>C02641</t>
  </si>
  <si>
    <t>user2641@example.com</t>
  </si>
  <si>
    <t>(553) 945-1668</t>
  </si>
  <si>
    <t>C04101</t>
  </si>
  <si>
    <t>user4101@example.com</t>
  </si>
  <si>
    <t>user1207@example.com</t>
  </si>
  <si>
    <t>(123) 700-8856</t>
  </si>
  <si>
    <t>user510@example.com</t>
  </si>
  <si>
    <t>C02639</t>
  </si>
  <si>
    <t>user2639@example.com</t>
  </si>
  <si>
    <t>206 965 5815</t>
  </si>
  <si>
    <t>C01668</t>
  </si>
  <si>
    <t>C03335</t>
  </si>
  <si>
    <t>(572) 252-3543</t>
  </si>
  <si>
    <t>C01550</t>
  </si>
  <si>
    <t>user1550@example.com</t>
  </si>
  <si>
    <t>C03289</t>
  </si>
  <si>
    <t>user3289@example.com</t>
  </si>
  <si>
    <t>C02203</t>
  </si>
  <si>
    <t>user2203@example.com</t>
  </si>
  <si>
    <t>C02567</t>
  </si>
  <si>
    <t>user2567@example.com</t>
  </si>
  <si>
    <t>C02698</t>
  </si>
  <si>
    <t>737-139-9807</t>
  </si>
  <si>
    <t>C02045</t>
  </si>
  <si>
    <t>user2045@example.com</t>
  </si>
  <si>
    <t>(971) 901-7701</t>
  </si>
  <si>
    <t>C00768</t>
  </si>
  <si>
    <t>user768@example.com</t>
  </si>
  <si>
    <t>C04939</t>
  </si>
  <si>
    <t>user4939@example.com</t>
  </si>
  <si>
    <t>894.854.7352</t>
  </si>
  <si>
    <t>C04197</t>
  </si>
  <si>
    <t>user4197@example.com</t>
  </si>
  <si>
    <t>C00422</t>
  </si>
  <si>
    <t>user422@example.com</t>
  </si>
  <si>
    <t>435-605-2895</t>
  </si>
  <si>
    <t>C00124</t>
  </si>
  <si>
    <t>user124@example.com</t>
  </si>
  <si>
    <t>C04471</t>
  </si>
  <si>
    <t>user4471@example.com</t>
  </si>
  <si>
    <t>(146) 470-7355</t>
  </si>
  <si>
    <t>C02647</t>
  </si>
  <si>
    <t>978-726-8917</t>
  </si>
  <si>
    <t>C00820</t>
  </si>
  <si>
    <t>user820@example.com</t>
  </si>
  <si>
    <t>651 183 2270</t>
  </si>
  <si>
    <t>C01404</t>
  </si>
  <si>
    <t>user1404@example.com</t>
  </si>
  <si>
    <t>(414) 439-8846</t>
  </si>
  <si>
    <t>C01383</t>
  </si>
  <si>
    <t>user1383@example.com</t>
  </si>
  <si>
    <t>C02149</t>
  </si>
  <si>
    <t>user2149@example.com</t>
  </si>
  <si>
    <t>user1576@example.com</t>
  </si>
  <si>
    <t>C01639</t>
  </si>
  <si>
    <t>user1639@example.com</t>
  </si>
  <si>
    <t>716.317.9638</t>
  </si>
  <si>
    <t>C01796</t>
  </si>
  <si>
    <t>user1796@example.com</t>
  </si>
  <si>
    <t>156 224 5913</t>
  </si>
  <si>
    <t>C04831</t>
  </si>
  <si>
    <t>869 444 3612</t>
  </si>
  <si>
    <t>C00400</t>
  </si>
  <si>
    <t>user400@example.com</t>
  </si>
  <si>
    <t>119-893-8934</t>
  </si>
  <si>
    <t>C02311</t>
  </si>
  <si>
    <t>user2311@example.com</t>
  </si>
  <si>
    <t>(739) 698-3731</t>
  </si>
  <si>
    <t>C00883</t>
  </si>
  <si>
    <t>user883@example.com</t>
  </si>
  <si>
    <t>C04989</t>
  </si>
  <si>
    <t>user4989@example.com</t>
  </si>
  <si>
    <t>C02918</t>
  </si>
  <si>
    <t>602 113 6046</t>
  </si>
  <si>
    <t>C01353</t>
  </si>
  <si>
    <t>user1353@example.com</t>
  </si>
  <si>
    <t>C03919</t>
  </si>
  <si>
    <t>user3919@example.com</t>
  </si>
  <si>
    <t>C04565</t>
  </si>
  <si>
    <t>user4565@example.com</t>
  </si>
  <si>
    <t>(221) 529-8976</t>
  </si>
  <si>
    <t>C02131</t>
  </si>
  <si>
    <t>user2131@example.com</t>
  </si>
  <si>
    <t>C00983</t>
  </si>
  <si>
    <t>user983@example.com</t>
  </si>
  <si>
    <t>C00457</t>
  </si>
  <si>
    <t>user457@example.com</t>
  </si>
  <si>
    <t>882 212 9037</t>
  </si>
  <si>
    <t>C03554</t>
  </si>
  <si>
    <t>user3554@example.com</t>
  </si>
  <si>
    <t>(346) 151-9329</t>
  </si>
  <si>
    <t>user1080@example.com</t>
  </si>
  <si>
    <t>982-612-7131</t>
  </si>
  <si>
    <t>C01951</t>
  </si>
  <si>
    <t>user1951@example.com</t>
  </si>
  <si>
    <t>950 696 1534</t>
  </si>
  <si>
    <t>C04329</t>
  </si>
  <si>
    <t>user4329@example.com</t>
  </si>
  <si>
    <t>825-192-4683</t>
  </si>
  <si>
    <t>C00690</t>
  </si>
  <si>
    <t>user690@example.com</t>
  </si>
  <si>
    <t>C02430</t>
  </si>
  <si>
    <t>user2430@example.com</t>
  </si>
  <si>
    <t>105 880 7620</t>
  </si>
  <si>
    <t>user642@example.com</t>
  </si>
  <si>
    <t>C02393</t>
  </si>
  <si>
    <t>user2393@example.com</t>
  </si>
  <si>
    <t>(141) 723-5354</t>
  </si>
  <si>
    <t>C01954</t>
  </si>
  <si>
    <t>user1954@example.com</t>
  </si>
  <si>
    <t>329-678-9249</t>
  </si>
  <si>
    <t>C02768</t>
  </si>
  <si>
    <t>user2768@example.com</t>
  </si>
  <si>
    <t>C03558</t>
  </si>
  <si>
    <t>440.662.3231</t>
  </si>
  <si>
    <t>C03457</t>
  </si>
  <si>
    <t>user3457@example.com</t>
  </si>
  <si>
    <t>(828) 141-4782</t>
  </si>
  <si>
    <t>C03358</t>
  </si>
  <si>
    <t>user3358@example.com</t>
  </si>
  <si>
    <t>796.774.9273</t>
  </si>
  <si>
    <t>C04782</t>
  </si>
  <si>
    <t>user4782@example.com</t>
  </si>
  <si>
    <t>C02952</t>
  </si>
  <si>
    <t>user2952@example.com</t>
  </si>
  <si>
    <t>380-566-5521</t>
  </si>
  <si>
    <t>C01885</t>
  </si>
  <si>
    <t>user1885@example.com</t>
  </si>
  <si>
    <t>(720) 507-8843</t>
  </si>
  <si>
    <t>C00390</t>
  </si>
  <si>
    <t>user390@example.com</t>
  </si>
  <si>
    <t>C02495</t>
  </si>
  <si>
    <t>user2495@example.com</t>
  </si>
  <si>
    <t>C03139</t>
  </si>
  <si>
    <t>user3139@example.com</t>
  </si>
  <si>
    <t>C04818</t>
  </si>
  <si>
    <t>user4818@example.com</t>
  </si>
  <si>
    <t>C00846</t>
  </si>
  <si>
    <t>C00543</t>
  </si>
  <si>
    <t>user543@example.com</t>
  </si>
  <si>
    <t>C00092</t>
  </si>
  <si>
    <t>user92@example.com</t>
  </si>
  <si>
    <t>835 452 2462</t>
  </si>
  <si>
    <t>user4598@example.com</t>
  </si>
  <si>
    <t>984.578.7396</t>
  </si>
  <si>
    <t>C01980</t>
  </si>
  <si>
    <t>user1980@example.com</t>
  </si>
  <si>
    <t>C04624</t>
  </si>
  <si>
    <t>user4624@example.com</t>
  </si>
  <si>
    <t>680 522 4604</t>
  </si>
  <si>
    <t>C04104</t>
  </si>
  <si>
    <t>user4104@example.com</t>
  </si>
  <si>
    <t>319-578-1835</t>
  </si>
  <si>
    <t>C02923</t>
  </si>
  <si>
    <t>C02530</t>
  </si>
  <si>
    <t>user2530@example.com</t>
  </si>
  <si>
    <t>user1677@example.com</t>
  </si>
  <si>
    <t>C01049</t>
  </si>
  <si>
    <t>user1049@example.com</t>
  </si>
  <si>
    <t>C01961</t>
  </si>
  <si>
    <t>user1961@example.com</t>
  </si>
  <si>
    <t>(566) 422-2890</t>
  </si>
  <si>
    <t>C02531</t>
  </si>
  <si>
    <t>user2531@example.com</t>
  </si>
  <si>
    <t>(324) 627-3126</t>
  </si>
  <si>
    <t>C02802</t>
  </si>
  <si>
    <t>user2802@example.com</t>
  </si>
  <si>
    <t>244 581 2780</t>
  </si>
  <si>
    <t>C00238</t>
  </si>
  <si>
    <t>user238@example.com</t>
  </si>
  <si>
    <t>C02987</t>
  </si>
  <si>
    <t>742-862-5610</t>
  </si>
  <si>
    <t>C04843</t>
  </si>
  <si>
    <t>user4843@example.com</t>
  </si>
  <si>
    <t>724 724 6691</t>
  </si>
  <si>
    <t>C01134</t>
  </si>
  <si>
    <t>user1134@example.com</t>
  </si>
  <si>
    <t>C01806</t>
  </si>
  <si>
    <t>user1806@example.com</t>
  </si>
  <si>
    <t>814 919 2758</t>
  </si>
  <si>
    <t>C04346</t>
  </si>
  <si>
    <t>user4346@example.com</t>
  </si>
  <si>
    <t>C00164</t>
  </si>
  <si>
    <t>user164@example.com</t>
  </si>
  <si>
    <t>976-719-3128</t>
  </si>
  <si>
    <t>C04291</t>
  </si>
  <si>
    <t>user4291@example.com</t>
  </si>
  <si>
    <t>422.592.3176</t>
  </si>
  <si>
    <t>C04725</t>
  </si>
  <si>
    <t>239-846-2471</t>
  </si>
  <si>
    <t>C03235</t>
  </si>
  <si>
    <t>user3365@example.com</t>
  </si>
  <si>
    <t>703 742 2028</t>
  </si>
  <si>
    <t>C04847</t>
  </si>
  <si>
    <t>(852) 695-5232</t>
  </si>
  <si>
    <t>C03221</t>
  </si>
  <si>
    <t>user3221@example.com</t>
  </si>
  <si>
    <t>(519) 419-3730</t>
  </si>
  <si>
    <t>C03659</t>
  </si>
  <si>
    <t>user3659@example.com</t>
  </si>
  <si>
    <t>476 724 6665</t>
  </si>
  <si>
    <t>C03964</t>
  </si>
  <si>
    <t>user3964@example.com</t>
  </si>
  <si>
    <t>C01812</t>
  </si>
  <si>
    <t>C03132</t>
  </si>
  <si>
    <t>user3132@example.com</t>
  </si>
  <si>
    <t>C03400</t>
  </si>
  <si>
    <t>user3400@example.com</t>
  </si>
  <si>
    <t>266-249-6604</t>
  </si>
  <si>
    <t>C01429</t>
  </si>
  <si>
    <t>user1429@example.com</t>
  </si>
  <si>
    <t>461 426 9097</t>
  </si>
  <si>
    <t>C04459</t>
  </si>
  <si>
    <t>user4459@example.com</t>
  </si>
  <si>
    <t>user2819@example.com</t>
  </si>
  <si>
    <t>(414) 960-2081</t>
  </si>
  <si>
    <t>C04999</t>
  </si>
  <si>
    <t>user4999@example.com</t>
  </si>
  <si>
    <t>812.941.7541</t>
  </si>
  <si>
    <t>C04925</t>
  </si>
  <si>
    <t>user4925@example.com</t>
  </si>
  <si>
    <t>(821) 976-3572</t>
  </si>
  <si>
    <t>C04665</t>
  </si>
  <si>
    <t>user4665@example.com</t>
  </si>
  <si>
    <t>(251) 273-3470</t>
  </si>
  <si>
    <t>C04614</t>
  </si>
  <si>
    <t>user4614@example.com</t>
  </si>
  <si>
    <t>409 964 8318</t>
  </si>
  <si>
    <t>C01453</t>
  </si>
  <si>
    <t>user1453@example.com</t>
  </si>
  <si>
    <t>(883) 286-8696</t>
  </si>
  <si>
    <t>C00594</t>
  </si>
  <si>
    <t>user594@example.com</t>
  </si>
  <si>
    <t>465 826 8949</t>
  </si>
  <si>
    <t>C02726</t>
  </si>
  <si>
    <t>user2726@example.com</t>
  </si>
  <si>
    <t>943-945-8107</t>
  </si>
  <si>
    <t>C00042</t>
  </si>
  <si>
    <t>user42@example.com</t>
  </si>
  <si>
    <t>329-830-4328</t>
  </si>
  <si>
    <t>C03222</t>
  </si>
  <si>
    <t>user3222@example.com</t>
  </si>
  <si>
    <t>user3338@example.com</t>
  </si>
  <si>
    <t>(840) 175-5628</t>
  </si>
  <si>
    <t>user244@example.com</t>
  </si>
  <si>
    <t>C01340</t>
  </si>
  <si>
    <t>user1340@example.com</t>
  </si>
  <si>
    <t>214.199.1223</t>
  </si>
  <si>
    <t>C03765</t>
  </si>
  <si>
    <t>C03883</t>
  </si>
  <si>
    <t>user3883@example.com</t>
  </si>
  <si>
    <t>user4362@example.com</t>
  </si>
  <si>
    <t>(244) 717-8823</t>
  </si>
  <si>
    <t>C01443</t>
  </si>
  <si>
    <t>C00262</t>
  </si>
  <si>
    <t>user262@example.com</t>
  </si>
  <si>
    <t>C04454</t>
  </si>
  <si>
    <t>user4454@example.com</t>
  </si>
  <si>
    <t>548-389-1718</t>
  </si>
  <si>
    <t>C01690</t>
  </si>
  <si>
    <t>user1690@example.com</t>
  </si>
  <si>
    <t>(572) 997-2755</t>
  </si>
  <si>
    <t>C01726</t>
  </si>
  <si>
    <t>user1726@example.com</t>
  </si>
  <si>
    <t>602 852 6747</t>
  </si>
  <si>
    <t>C04086</t>
  </si>
  <si>
    <t>user4086@example.com</t>
  </si>
  <si>
    <t>C00835</t>
  </si>
  <si>
    <t>C01867</t>
  </si>
  <si>
    <t>user1867@example.com</t>
  </si>
  <si>
    <t>608-619-4690</t>
  </si>
  <si>
    <t>C02497</t>
  </si>
  <si>
    <t>user2497@example.com</t>
  </si>
  <si>
    <t>C02011</t>
  </si>
  <si>
    <t>user2011@example.com</t>
  </si>
  <si>
    <t>C00341</t>
  </si>
  <si>
    <t>user341@example.com</t>
  </si>
  <si>
    <t>793 787 2431</t>
  </si>
  <si>
    <t>C03009</t>
  </si>
  <si>
    <t>user3009@example.com</t>
  </si>
  <si>
    <t>C01602</t>
  </si>
  <si>
    <t>user1602@example.com</t>
  </si>
  <si>
    <t>958.312.7402</t>
  </si>
  <si>
    <t>C03761</t>
  </si>
  <si>
    <t>user3761@example.com</t>
  </si>
  <si>
    <t>668-917-2508</t>
  </si>
  <si>
    <t>C04710</t>
  </si>
  <si>
    <t>user4710@example.com</t>
  </si>
  <si>
    <t>C00481</t>
  </si>
  <si>
    <t>user481@example.com</t>
  </si>
  <si>
    <t>C03075</t>
  </si>
  <si>
    <t>user3075@example.com</t>
  </si>
  <si>
    <t>131.361.8759</t>
  </si>
  <si>
    <t>C03925</t>
  </si>
  <si>
    <t>user3925@example.com</t>
  </si>
  <si>
    <t>C03622</t>
  </si>
  <si>
    <t>296.986.1381</t>
  </si>
  <si>
    <t>C04654</t>
  </si>
  <si>
    <t>user4654@example.com</t>
  </si>
  <si>
    <t>127 718 5933</t>
  </si>
  <si>
    <t>C03067</t>
  </si>
  <si>
    <t>user3067@example.com</t>
  </si>
  <si>
    <t>C04712</t>
  </si>
  <si>
    <t>user4712@example.com</t>
  </si>
  <si>
    <t>146 470 6217</t>
  </si>
  <si>
    <t>C01767</t>
  </si>
  <si>
    <t>238.526.4268</t>
  </si>
  <si>
    <t>C04488</t>
  </si>
  <si>
    <t>user4488@example.com</t>
  </si>
  <si>
    <t>(392) 208-8526</t>
  </si>
  <si>
    <t>C02454</t>
  </si>
  <si>
    <t>user2454@example.com</t>
  </si>
  <si>
    <t>(428) 579-4730</t>
  </si>
  <si>
    <t>C02898</t>
  </si>
  <si>
    <t>user2898@example.com</t>
  </si>
  <si>
    <t>(701) 274-1699</t>
  </si>
  <si>
    <t>C03840</t>
  </si>
  <si>
    <t>user3840@example.com</t>
  </si>
  <si>
    <t>867 139 9718</t>
  </si>
  <si>
    <t>C04041</t>
  </si>
  <si>
    <t>user4041@example.com</t>
  </si>
  <si>
    <t>533.905.6050</t>
  </si>
  <si>
    <t>C04693</t>
  </si>
  <si>
    <t>user4693@example.com</t>
  </si>
  <si>
    <t>C03704</t>
  </si>
  <si>
    <t>user1272@example.com</t>
  </si>
  <si>
    <t>749-181-2256</t>
  </si>
  <si>
    <t>C03099</t>
  </si>
  <si>
    <t>user3099@example.com</t>
  </si>
  <si>
    <t>C04516</t>
  </si>
  <si>
    <t>user4516@example.com</t>
  </si>
  <si>
    <t>C03779</t>
  </si>
  <si>
    <t>user3779@example.com</t>
  </si>
  <si>
    <t>C04156</t>
  </si>
  <si>
    <t>user4156@example.com</t>
  </si>
  <si>
    <t>504.591.3479</t>
  </si>
  <si>
    <t>C00348</t>
  </si>
  <si>
    <t>user348@example.com</t>
  </si>
  <si>
    <t>995 674 2435</t>
  </si>
  <si>
    <t>user3906@example.com</t>
  </si>
  <si>
    <t>754.335.4802</t>
  </si>
  <si>
    <t>C04639</t>
  </si>
  <si>
    <t>user4639@example.com</t>
  </si>
  <si>
    <t>C02563</t>
  </si>
  <si>
    <t>919-645-6941</t>
  </si>
  <si>
    <t>user4605@example.com</t>
  </si>
  <si>
    <t>495 845 9237</t>
  </si>
  <si>
    <t>C01424</t>
  </si>
  <si>
    <t>user1424@example.com</t>
  </si>
  <si>
    <t>251.499.8318</t>
  </si>
  <si>
    <t>C00657</t>
  </si>
  <si>
    <t>user657@example.com</t>
  </si>
  <si>
    <t>C02103</t>
  </si>
  <si>
    <t>user2103@example.com</t>
  </si>
  <si>
    <t>230 875 1223</t>
  </si>
  <si>
    <t>360.699.2339</t>
  </si>
  <si>
    <t>C04367</t>
  </si>
  <si>
    <t>C02494</t>
  </si>
  <si>
    <t>user2494@example.com</t>
  </si>
  <si>
    <t>(618) 692-9462</t>
  </si>
  <si>
    <t>C02666</t>
  </si>
  <si>
    <t>user2666@example.com</t>
  </si>
  <si>
    <t>C04926</t>
  </si>
  <si>
    <t>user4926@example.com</t>
  </si>
  <si>
    <t>938-757-2371</t>
  </si>
  <si>
    <t>C03687</t>
  </si>
  <si>
    <t>user3687@example.com</t>
  </si>
  <si>
    <t>C03373</t>
  </si>
  <si>
    <t>user3373@example.com</t>
  </si>
  <si>
    <t>(506) 102-8045</t>
  </si>
  <si>
    <t>C04026</t>
  </si>
  <si>
    <t>user4026@example.com</t>
  </si>
  <si>
    <t>176.860.3558</t>
  </si>
  <si>
    <t>C03619</t>
  </si>
  <si>
    <t>user3619@example.com</t>
  </si>
  <si>
    <t>(512) 907-4753</t>
  </si>
  <si>
    <t>C02501</t>
  </si>
  <si>
    <t>C01466</t>
  </si>
  <si>
    <t>user1466@example.com</t>
  </si>
  <si>
    <t>288 942 2264</t>
  </si>
  <si>
    <t>C04164</t>
  </si>
  <si>
    <t>user4164@example.com</t>
  </si>
  <si>
    <t>449-291-5073</t>
  </si>
  <si>
    <t>user116@example.com</t>
  </si>
  <si>
    <t>C01822</t>
  </si>
  <si>
    <t>C01495</t>
  </si>
  <si>
    <t>user1495@example.com</t>
  </si>
  <si>
    <t>(725) 721-2228</t>
  </si>
  <si>
    <t>C02402</t>
  </si>
  <si>
    <t>user2402@example.com</t>
  </si>
  <si>
    <t>C01233</t>
  </si>
  <si>
    <t>user1233@example.com</t>
  </si>
  <si>
    <t>976.952.4526</t>
  </si>
  <si>
    <t>C02662</t>
  </si>
  <si>
    <t>user2662@example.com</t>
  </si>
  <si>
    <t>673-559-1942</t>
  </si>
  <si>
    <t>C02893</t>
  </si>
  <si>
    <t>user2893@example.com</t>
  </si>
  <si>
    <t>C04588</t>
  </si>
  <si>
    <t>user4588@example.com</t>
  </si>
  <si>
    <t>C01154</t>
  </si>
  <si>
    <t>user1154@example.com</t>
  </si>
  <si>
    <t>C03873</t>
  </si>
  <si>
    <t>958-472-4443</t>
  </si>
  <si>
    <t>user58@example.com</t>
  </si>
  <si>
    <t>283 821 8304</t>
  </si>
  <si>
    <t>C03651</t>
  </si>
  <si>
    <t>user3651@example.com</t>
  </si>
  <si>
    <t>930-130-2748</t>
  </si>
  <si>
    <t>C04303</t>
  </si>
  <si>
    <t>user4303@example.com</t>
  </si>
  <si>
    <t>C04961</t>
  </si>
  <si>
    <t>user4961@example.com</t>
  </si>
  <si>
    <t>C01736</t>
  </si>
  <si>
    <t>user1736@example.com</t>
  </si>
  <si>
    <t>C02197</t>
  </si>
  <si>
    <t>user2197@example.com</t>
  </si>
  <si>
    <t>949 746 3793</t>
  </si>
  <si>
    <t>C03576</t>
  </si>
  <si>
    <t>C02476</t>
  </si>
  <si>
    <t>user2476@example.com</t>
  </si>
  <si>
    <t>254 365 4651</t>
  </si>
  <si>
    <t>C00385</t>
  </si>
  <si>
    <t>user2565@example.com</t>
  </si>
  <si>
    <t>(483) 262-2640</t>
  </si>
  <si>
    <t>C03180</t>
  </si>
  <si>
    <t>user3180@example.com</t>
  </si>
  <si>
    <t>user4059@example.com</t>
  </si>
  <si>
    <t>563 204 5038</t>
  </si>
  <si>
    <t>C03680</t>
  </si>
  <si>
    <t>user3680@example.com</t>
  </si>
  <si>
    <t>722 190 1446</t>
  </si>
  <si>
    <t>C00708</t>
  </si>
  <si>
    <t>user708@example.com</t>
  </si>
  <si>
    <t>446-422-7580</t>
  </si>
  <si>
    <t>C04295</t>
  </si>
  <si>
    <t>user4295@example.com</t>
  </si>
  <si>
    <t>C01094</t>
  </si>
  <si>
    <t>user1094@example.com</t>
  </si>
  <si>
    <t>353.716.3644</t>
  </si>
  <si>
    <t>C04461</t>
  </si>
  <si>
    <t>user4461@example.com</t>
  </si>
  <si>
    <t>891.838.1199</t>
  </si>
  <si>
    <t>C01377</t>
  </si>
  <si>
    <t>user1377@example.com</t>
  </si>
  <si>
    <t>C04929</t>
  </si>
  <si>
    <t>C00073</t>
  </si>
  <si>
    <t>user73@example.com</t>
  </si>
  <si>
    <t>645.572.7566</t>
  </si>
  <si>
    <t>C00665</t>
  </si>
  <si>
    <t>user1923@example.com</t>
  </si>
  <si>
    <t>117 550 1145</t>
  </si>
  <si>
    <t>C03195</t>
  </si>
  <si>
    <t>user3195@example.com</t>
  </si>
  <si>
    <t>C01765</t>
  </si>
  <si>
    <t>C00744</t>
  </si>
  <si>
    <t>user744@example.com</t>
  </si>
  <si>
    <t>(247) 617-3082</t>
  </si>
  <si>
    <t>C04208</t>
  </si>
  <si>
    <t>user4208@example.com</t>
  </si>
  <si>
    <t>C01006</t>
  </si>
  <si>
    <t>user1006@example.com</t>
  </si>
  <si>
    <t>C02669</t>
  </si>
  <si>
    <t>user2669@example.com</t>
  </si>
  <si>
    <t>338.683.9322</t>
  </si>
  <si>
    <t>C01191</t>
  </si>
  <si>
    <t>C03634</t>
  </si>
  <si>
    <t>user3634@example.com</t>
  </si>
  <si>
    <t>344.309.4541</t>
  </si>
  <si>
    <t>C02602</t>
  </si>
  <si>
    <t>user2602@example.com</t>
  </si>
  <si>
    <t>C01126</t>
  </si>
  <si>
    <t>user1126@example.com</t>
  </si>
  <si>
    <t>user1242@example.com</t>
  </si>
  <si>
    <t>C04332</t>
  </si>
  <si>
    <t>user4332@example.com</t>
  </si>
  <si>
    <t>C03464</t>
  </si>
  <si>
    <t>432.520.7205</t>
  </si>
  <si>
    <t>C00999</t>
  </si>
  <si>
    <t>(618) 145-8572</t>
  </si>
  <si>
    <t>C03408</t>
  </si>
  <si>
    <t>user3408@example.com</t>
  </si>
  <si>
    <t>429 757 7043</t>
  </si>
  <si>
    <t>C02685</t>
  </si>
  <si>
    <t>(332) 459-2336</t>
  </si>
  <si>
    <t>C01578</t>
  </si>
  <si>
    <t>(669) 500-4156</t>
  </si>
  <si>
    <t>C04806</t>
  </si>
  <si>
    <t>user4806@example.com</t>
  </si>
  <si>
    <t>C01827</t>
  </si>
  <si>
    <t>user1827@example.com</t>
  </si>
  <si>
    <t>795 587 6302</t>
  </si>
  <si>
    <t>C03314</t>
  </si>
  <si>
    <t>user3314@example.com</t>
  </si>
  <si>
    <t>(653) 538-9071</t>
  </si>
  <si>
    <t>C02899</t>
  </si>
  <si>
    <t>user2899@example.com</t>
  </si>
  <si>
    <t>C03559</t>
  </si>
  <si>
    <t>(145) 537-9036</t>
  </si>
  <si>
    <t>C00441</t>
  </si>
  <si>
    <t>user441@example.com</t>
  </si>
  <si>
    <t>609 336 3205</t>
  </si>
  <si>
    <t>user4967@example.com</t>
  </si>
  <si>
    <t>962 929 3800</t>
  </si>
  <si>
    <t>C01101</t>
  </si>
  <si>
    <t>user1101@example.com</t>
  </si>
  <si>
    <t>C04035</t>
  </si>
  <si>
    <t>user4035@example.com</t>
  </si>
  <si>
    <t>427.367.3598</t>
  </si>
  <si>
    <t>user4002@example.com</t>
  </si>
  <si>
    <t>239 840 6618</t>
  </si>
  <si>
    <t>C00650</t>
  </si>
  <si>
    <t>user650@example.com</t>
  </si>
  <si>
    <t>C01547</t>
  </si>
  <si>
    <t>(749) 560-2596</t>
  </si>
  <si>
    <t>C03561</t>
  </si>
  <si>
    <t>C04832</t>
  </si>
  <si>
    <t>(305) 236-9524</t>
  </si>
  <si>
    <t>C03185</t>
  </si>
  <si>
    <t>user3185@example.com</t>
  </si>
  <si>
    <t>227 197 5033</t>
  </si>
  <si>
    <t>C03208</t>
  </si>
  <si>
    <t>user3208@example.com</t>
  </si>
  <si>
    <t>685 453 6890</t>
  </si>
  <si>
    <t>C03766</t>
  </si>
  <si>
    <t>299-303-4320</t>
  </si>
  <si>
    <t>C00631</t>
  </si>
  <si>
    <t>user631@example.com</t>
  </si>
  <si>
    <t>522 196 8612</t>
  </si>
  <si>
    <t>C00673</t>
  </si>
  <si>
    <t>user673@example.com</t>
  </si>
  <si>
    <t>918 964 3654</t>
  </si>
  <si>
    <t>C00330</t>
  </si>
  <si>
    <t>user1250@example.com</t>
  </si>
  <si>
    <t>110.200.7179</t>
  </si>
  <si>
    <t>C00483</t>
  </si>
  <si>
    <t>user483@example.com</t>
  </si>
  <si>
    <t>(739) 860-2506</t>
  </si>
  <si>
    <t>C01585</t>
  </si>
  <si>
    <t>user1585@example.com</t>
  </si>
  <si>
    <t>C03096</t>
  </si>
  <si>
    <t>user3096@example.com</t>
  </si>
  <si>
    <t>144 409 3992</t>
  </si>
  <si>
    <t>C04744</t>
  </si>
  <si>
    <t>user4744@example.com</t>
  </si>
  <si>
    <t>962.124.6719</t>
  </si>
  <si>
    <t>C03059</t>
  </si>
  <si>
    <t>user3059@example.com</t>
  </si>
  <si>
    <t>C01463</t>
  </si>
  <si>
    <t>user1463@example.com</t>
  </si>
  <si>
    <t>260 378 2506</t>
  </si>
  <si>
    <t>C04074</t>
  </si>
  <si>
    <t>user4074@example.com</t>
  </si>
  <si>
    <t>942 252 2293</t>
  </si>
  <si>
    <t>C04916</t>
  </si>
  <si>
    <t>(546) 350-8590</t>
  </si>
  <si>
    <t>C02579</t>
  </si>
  <si>
    <t>user2579@example.com</t>
  </si>
  <si>
    <t>331-382-3300</t>
  </si>
  <si>
    <t>C03826</t>
  </si>
  <si>
    <t>user3826@example.com</t>
  </si>
  <si>
    <t>user50@example.com</t>
  </si>
  <si>
    <t>C04304</t>
  </si>
  <si>
    <t>user4304@example.com</t>
  </si>
  <si>
    <t>(249) 224-1733</t>
  </si>
  <si>
    <t>C03078</t>
  </si>
  <si>
    <t>user3078@example.com</t>
  </si>
  <si>
    <t>C00859</t>
  </si>
  <si>
    <t>user859@example.com</t>
  </si>
  <si>
    <t>740-557-3045</t>
  </si>
  <si>
    <t>user1073@example.com</t>
  </si>
  <si>
    <t>880-490-8002</t>
  </si>
  <si>
    <t>C00720</t>
  </si>
  <si>
    <t>user3606@example.com</t>
  </si>
  <si>
    <t>835 882 4075</t>
  </si>
  <si>
    <t>C02426</t>
  </si>
  <si>
    <t>user2632@example.com</t>
  </si>
  <si>
    <t>116.214.4109</t>
  </si>
  <si>
    <t>C04889</t>
  </si>
  <si>
    <t>C01661</t>
  </si>
  <si>
    <t>user1661@example.com</t>
  </si>
  <si>
    <t>user1657@example.com</t>
  </si>
  <si>
    <t>727 148 7444</t>
  </si>
  <si>
    <t>user2426@example.com</t>
  </si>
  <si>
    <t>583.976.5974</t>
  </si>
  <si>
    <t>C04608</t>
  </si>
  <si>
    <t>user4608@example.com</t>
  </si>
  <si>
    <t>(451) 392-7061</t>
  </si>
  <si>
    <t>C02966</t>
  </si>
  <si>
    <t>user4243@example.com</t>
  </si>
  <si>
    <t>334.853.8843</t>
  </si>
  <si>
    <t>C04990</t>
  </si>
  <si>
    <t>user4990@example.com</t>
  </si>
  <si>
    <t>C04458</t>
  </si>
  <si>
    <t>C04491</t>
  </si>
  <si>
    <t>user4491@example.com</t>
  </si>
  <si>
    <t>(415) 438-2560</t>
  </si>
  <si>
    <t>C03327</t>
  </si>
  <si>
    <t>user3327@example.com</t>
  </si>
  <si>
    <t>(758) 894-9435</t>
  </si>
  <si>
    <t>C04767</t>
  </si>
  <si>
    <t>user4767@example.com</t>
  </si>
  <si>
    <t>790 311 7988</t>
  </si>
  <si>
    <t>C04140</t>
  </si>
  <si>
    <t>user4140@example.com</t>
  </si>
  <si>
    <t>897-571-7523</t>
  </si>
  <si>
    <t>C02607</t>
  </si>
  <si>
    <t>user2607@example.com</t>
  </si>
  <si>
    <t>C01386</t>
  </si>
  <si>
    <t>user1386@example.com</t>
  </si>
  <si>
    <t>251.590.2535</t>
  </si>
  <si>
    <t>C03860</t>
  </si>
  <si>
    <t>703 326 4641</t>
  </si>
  <si>
    <t>C01400</t>
  </si>
  <si>
    <t>user1400@example.com</t>
  </si>
  <si>
    <t>910-208-9886</t>
  </si>
  <si>
    <t>C01196</t>
  </si>
  <si>
    <t>user1196@example.com</t>
  </si>
  <si>
    <t>537 795 3756</t>
  </si>
  <si>
    <t>C01409</t>
  </si>
  <si>
    <t>user1409@example.com</t>
  </si>
  <si>
    <t>245 101 4675</t>
  </si>
  <si>
    <t>user3849@example.com</t>
  </si>
  <si>
    <t>374.357.3990</t>
  </si>
  <si>
    <t>user1799@example.com</t>
  </si>
  <si>
    <t>C01476</t>
  </si>
  <si>
    <t>user1476@example.com</t>
  </si>
  <si>
    <t>(664) 306-1530</t>
  </si>
  <si>
    <t>C03272</t>
  </si>
  <si>
    <t>user3272@example.com</t>
  </si>
  <si>
    <t>476.152.9470</t>
  </si>
  <si>
    <t>C00036</t>
  </si>
  <si>
    <t>user36@example.com</t>
  </si>
  <si>
    <t>941-628-3174</t>
  </si>
  <si>
    <t>C03564</t>
  </si>
  <si>
    <t>user3564@example.com</t>
  </si>
  <si>
    <t>855-878-6273</t>
  </si>
  <si>
    <t>C02346</t>
  </si>
  <si>
    <t>user2346@example.com</t>
  </si>
  <si>
    <t>C01260</t>
  </si>
  <si>
    <t>user3231@example.com</t>
  </si>
  <si>
    <t>433-975-3814</t>
  </si>
  <si>
    <t>C02360</t>
  </si>
  <si>
    <t>user2360@example.com</t>
  </si>
  <si>
    <t>826 603 5009</t>
  </si>
  <si>
    <t>C02207</t>
  </si>
  <si>
    <t>user2207@example.com</t>
  </si>
  <si>
    <t>243 578 6291</t>
  </si>
  <si>
    <t>C04772</t>
  </si>
  <si>
    <t>user4772@example.com</t>
  </si>
  <si>
    <t>438.871.5288</t>
  </si>
  <si>
    <t>C01287</t>
  </si>
  <si>
    <t>user1287@example.com</t>
  </si>
  <si>
    <t>user350@example.com</t>
  </si>
  <si>
    <t>395 267 7944</t>
  </si>
  <si>
    <t>C02138</t>
  </si>
  <si>
    <t>user2138@example.com</t>
  </si>
  <si>
    <t>(268) 586-1004</t>
  </si>
  <si>
    <t>C02692</t>
  </si>
  <si>
    <t>user2692@example.com</t>
  </si>
  <si>
    <t>276-293-9162</t>
  </si>
  <si>
    <t>C04854</t>
  </si>
  <si>
    <t>user4854@example.com</t>
  </si>
  <si>
    <t>153.482.1958</t>
  </si>
  <si>
    <t>user4575@example.com</t>
  </si>
  <si>
    <t>C01682</t>
  </si>
  <si>
    <t>user1682@example.com</t>
  </si>
  <si>
    <t>313.933.9644</t>
  </si>
  <si>
    <t>C04635</t>
  </si>
  <si>
    <t>user4635@example.com</t>
  </si>
  <si>
    <t>373.964.9160</t>
  </si>
  <si>
    <t>C01444</t>
  </si>
  <si>
    <t>user1444@example.com</t>
  </si>
  <si>
    <t>(157) 864-3257</t>
  </si>
  <si>
    <t>C03265</t>
  </si>
  <si>
    <t>169 460 6430</t>
  </si>
  <si>
    <t>C01672</t>
  </si>
  <si>
    <t>C00016</t>
  </si>
  <si>
    <t>user3658@example.com</t>
  </si>
  <si>
    <t>735-796-4501</t>
  </si>
  <si>
    <t>user1180@example.com</t>
  </si>
  <si>
    <t>(977) 599-7419</t>
  </si>
  <si>
    <t>C02799</t>
  </si>
  <si>
    <t>C01693</t>
  </si>
  <si>
    <t>587-777-9698</t>
  </si>
  <si>
    <t>C03899</t>
  </si>
  <si>
    <t>user3899@example.com</t>
  </si>
  <si>
    <t>C00373</t>
  </si>
  <si>
    <t>user373@example.com</t>
  </si>
  <si>
    <t>(427) 572-3219</t>
  </si>
  <si>
    <t>C03635</t>
  </si>
  <si>
    <t>user3635@example.com</t>
  </si>
  <si>
    <t>(883) 943-6817</t>
  </si>
  <si>
    <t>C01917</t>
  </si>
  <si>
    <t>user1917@example.com</t>
  </si>
  <si>
    <t>355-889-9893</t>
  </si>
  <si>
    <t>C01358</t>
  </si>
  <si>
    <t>user1358@example.com</t>
  </si>
  <si>
    <t>146.679.1996</t>
  </si>
  <si>
    <t>C01826</t>
  </si>
  <si>
    <t>user1826@example.com</t>
  </si>
  <si>
    <t>(198) 781-2740</t>
  </si>
  <si>
    <t>C00787</t>
  </si>
  <si>
    <t>user787@example.com</t>
  </si>
  <si>
    <t>431 364 7152</t>
  </si>
  <si>
    <t>C00470</t>
  </si>
  <si>
    <t>user470@example.com</t>
  </si>
  <si>
    <t>217.445.3781</t>
  </si>
  <si>
    <t>C00141</t>
  </si>
  <si>
    <t>user141@example.com</t>
  </si>
  <si>
    <t>(691) 851-6653</t>
  </si>
  <si>
    <t>C00789</t>
  </si>
  <si>
    <t>user789@example.com</t>
  </si>
  <si>
    <t>C00324</t>
  </si>
  <si>
    <t>user324@example.com</t>
  </si>
  <si>
    <t>478.288.4361</t>
  </si>
  <si>
    <t>C00051</t>
  </si>
  <si>
    <t>user51@example.com</t>
  </si>
  <si>
    <t>C00715</t>
  </si>
  <si>
    <t>C04503</t>
  </si>
  <si>
    <t>user4503@example.com</t>
  </si>
  <si>
    <t>275-707-7938</t>
  </si>
  <si>
    <t>C02841</t>
  </si>
  <si>
    <t>user2841@example.com</t>
  </si>
  <si>
    <t>(473) 971-5140</t>
  </si>
  <si>
    <t>user2447@example.com</t>
  </si>
  <si>
    <t>213.583.3200</t>
  </si>
  <si>
    <t>C04829</t>
  </si>
  <si>
    <t>user4829@example.com</t>
  </si>
  <si>
    <t>267-265-5592</t>
  </si>
  <si>
    <t>C04776</t>
  </si>
  <si>
    <t>user4776@example.com</t>
  </si>
  <si>
    <t>C04611</t>
  </si>
  <si>
    <t>user4611@example.com</t>
  </si>
  <si>
    <t>C03036</t>
  </si>
  <si>
    <t>user3036@example.com</t>
  </si>
  <si>
    <t>940 583 9922</t>
  </si>
  <si>
    <t>C02667</t>
  </si>
  <si>
    <t>user2667@example.com</t>
  </si>
  <si>
    <t>320 777 8407</t>
  </si>
  <si>
    <t>C00407</t>
  </si>
  <si>
    <t>user407@example.com</t>
  </si>
  <si>
    <t>192-249-5544</t>
  </si>
  <si>
    <t>C03381</t>
  </si>
  <si>
    <t>user3381@example.com</t>
  </si>
  <si>
    <t>C01005</t>
  </si>
  <si>
    <t>user1005@example.com</t>
  </si>
  <si>
    <t>572 169 2352</t>
  </si>
  <si>
    <t>C03226</t>
  </si>
  <si>
    <t>user3226@example.com</t>
  </si>
  <si>
    <t>C00891</t>
  </si>
  <si>
    <t>user891@example.com</t>
  </si>
  <si>
    <t>997 908 1691</t>
  </si>
  <si>
    <t>C02412</t>
  </si>
  <si>
    <t>user2412@example.com</t>
  </si>
  <si>
    <t>(599) 106-6229</t>
  </si>
  <si>
    <t>C02546</t>
  </si>
  <si>
    <t>319 564 5305</t>
  </si>
  <si>
    <t>user4857@example.com</t>
  </si>
  <si>
    <t>C02391</t>
  </si>
  <si>
    <t>user2391@example.com</t>
  </si>
  <si>
    <t>C03965</t>
  </si>
  <si>
    <t>user3965@example.com</t>
  </si>
  <si>
    <t>352.782.8676</t>
  </si>
  <si>
    <t>C00043</t>
  </si>
  <si>
    <t>691-876-6114</t>
  </si>
  <si>
    <t>C02831</t>
  </si>
  <si>
    <t>user2831@example.com</t>
  </si>
  <si>
    <t>C00304</t>
  </si>
  <si>
    <t>user304@example.com</t>
  </si>
  <si>
    <t>268-382-2835</t>
  </si>
  <si>
    <t>C04528</t>
  </si>
  <si>
    <t>user4528@example.com</t>
  </si>
  <si>
    <t>C03772</t>
  </si>
  <si>
    <t>user3772@example.com</t>
  </si>
  <si>
    <t>user665@example.com</t>
  </si>
  <si>
    <t>219 606 6681</t>
  </si>
  <si>
    <t>C01178</t>
  </si>
  <si>
    <t>user1178@example.com</t>
  </si>
  <si>
    <t>C02677</t>
  </si>
  <si>
    <t>user2677@example.com</t>
  </si>
  <si>
    <t>(130) 764-9109</t>
  </si>
  <si>
    <t>C00733</t>
  </si>
  <si>
    <t>C02502</t>
  </si>
  <si>
    <t>978 202 6811</t>
  </si>
  <si>
    <t>C01474</t>
  </si>
  <si>
    <t>user1474@example.com</t>
  </si>
  <si>
    <t>C03506</t>
  </si>
  <si>
    <t>user3506@example.com</t>
  </si>
  <si>
    <t>522 647 2189</t>
  </si>
  <si>
    <t>C03543</t>
  </si>
  <si>
    <t>user3543@example.com</t>
  </si>
  <si>
    <t>(948) 708-9730</t>
  </si>
  <si>
    <t>C02133</t>
  </si>
  <si>
    <t>user2133@example.com</t>
  </si>
  <si>
    <t>(916) 634-7274</t>
  </si>
  <si>
    <t>C01027</t>
  </si>
  <si>
    <t>user1027@example.com</t>
  </si>
  <si>
    <t>223 337 4502</t>
  </si>
  <si>
    <t>user962@example.com</t>
  </si>
  <si>
    <t>701.123.1527</t>
  </si>
  <si>
    <t>C02890</t>
  </si>
  <si>
    <t>user2890@example.com</t>
  </si>
  <si>
    <t>790-882-8306</t>
  </si>
  <si>
    <t>C03387</t>
  </si>
  <si>
    <t>C02010</t>
  </si>
  <si>
    <t>user2010@example.com</t>
  </si>
  <si>
    <t>542 605 5309</t>
  </si>
  <si>
    <t>C02150</t>
  </si>
  <si>
    <t>user2150@example.com</t>
  </si>
  <si>
    <t>C03345</t>
  </si>
  <si>
    <t>user3345@example.com</t>
  </si>
  <si>
    <t>291 932 9152</t>
  </si>
  <si>
    <t>C02339</t>
  </si>
  <si>
    <t>user2339@example.com</t>
  </si>
  <si>
    <t>235.400.2061</t>
  </si>
  <si>
    <t>C03913</t>
  </si>
  <si>
    <t>C00305</t>
  </si>
  <si>
    <t>user305@example.com</t>
  </si>
  <si>
    <t>C01441</t>
  </si>
  <si>
    <t>C01497</t>
  </si>
  <si>
    <t>user1497@example.com</t>
  </si>
  <si>
    <t>924-115-3336</t>
  </si>
  <si>
    <t>C02653</t>
  </si>
  <si>
    <t>653.465.2262</t>
  </si>
  <si>
    <t>C02876</t>
  </si>
  <si>
    <t>user2876@example.com</t>
  </si>
  <si>
    <t>849.792.2003</t>
  </si>
  <si>
    <t>C00917</t>
  </si>
  <si>
    <t>user917@example.com</t>
  </si>
  <si>
    <t>(971) 620-9011</t>
  </si>
  <si>
    <t>C04196</t>
  </si>
  <si>
    <t>user4196@example.com</t>
  </si>
  <si>
    <t>(952) 710-9811</t>
  </si>
  <si>
    <t>C03746</t>
  </si>
  <si>
    <t>user3746@example.com</t>
  </si>
  <si>
    <t>149-167-7147</t>
  </si>
  <si>
    <t>C02773</t>
  </si>
  <si>
    <t>user2773@example.com</t>
  </si>
  <si>
    <t>630 647 1286</t>
  </si>
  <si>
    <t>C01625</t>
  </si>
  <si>
    <t>user1625@example.com</t>
  </si>
  <si>
    <t>304 680 6782</t>
  </si>
  <si>
    <t>C03862</t>
  </si>
  <si>
    <t>user3862@example.com</t>
  </si>
  <si>
    <t>328-981-9265</t>
  </si>
  <si>
    <t>user822@example.com</t>
  </si>
  <si>
    <t>C03322</t>
  </si>
  <si>
    <t>user3322@example.com</t>
  </si>
  <si>
    <t>(500) 943-9034</t>
  </si>
  <si>
    <t>C01355</t>
  </si>
  <si>
    <t>user1355@example.com</t>
  </si>
  <si>
    <t>169 594 7864</t>
  </si>
  <si>
    <t>C04512</t>
  </si>
  <si>
    <t>user4512@example.com</t>
  </si>
  <si>
    <t>C00851</t>
  </si>
  <si>
    <t>user851@example.com</t>
  </si>
  <si>
    <t>355-301-3694</t>
  </si>
  <si>
    <t>C01001</t>
  </si>
  <si>
    <t>user3399@example.com</t>
  </si>
  <si>
    <t>user19@example.com</t>
  </si>
  <si>
    <t>user1638@example.com</t>
  </si>
  <si>
    <t>(675) 167-7317</t>
  </si>
  <si>
    <t>user1668@example.com</t>
  </si>
  <si>
    <t>815.274.3257</t>
  </si>
  <si>
    <t>C00494</t>
  </si>
  <si>
    <t>user494@example.com</t>
  </si>
  <si>
    <t>C01348</t>
  </si>
  <si>
    <t>user1348@example.com</t>
  </si>
  <si>
    <t>C03752</t>
  </si>
  <si>
    <t>user3752@example.com</t>
  </si>
  <si>
    <t>user3277@example.com</t>
  </si>
  <si>
    <t>C03639</t>
  </si>
  <si>
    <t>user3639@example.com</t>
  </si>
  <si>
    <t>192-196-8450</t>
  </si>
  <si>
    <t>C03504</t>
  </si>
  <si>
    <t>678-240-4789</t>
  </si>
  <si>
    <t>C00688</t>
  </si>
  <si>
    <t>user688@example.com</t>
  </si>
  <si>
    <t>918 568 2817</t>
  </si>
  <si>
    <t>C03756</t>
  </si>
  <si>
    <t>user3756@example.com</t>
  </si>
  <si>
    <t>C01609</t>
  </si>
  <si>
    <t>user1609@example.com</t>
  </si>
  <si>
    <t>455.595.9953</t>
  </si>
  <si>
    <t>C04105</t>
  </si>
  <si>
    <t>user4105@example.com</t>
  </si>
  <si>
    <t>C03424</t>
  </si>
  <si>
    <t>user3424@example.com</t>
  </si>
  <si>
    <t>C01010</t>
  </si>
  <si>
    <t>user1010@example.com</t>
  </si>
  <si>
    <t>647-859-7403</t>
  </si>
  <si>
    <t>C02409</t>
  </si>
  <si>
    <t>user2409@example.com</t>
  </si>
  <si>
    <t>760.406.5328</t>
  </si>
  <si>
    <t>C01093</t>
  </si>
  <si>
    <t>user1093@example.com</t>
  </si>
  <si>
    <t>719.566.3414</t>
  </si>
  <si>
    <t>C01328</t>
  </si>
  <si>
    <t>user1328@example.com</t>
  </si>
  <si>
    <t>118 731 4270</t>
  </si>
  <si>
    <t>C01678</t>
  </si>
  <si>
    <t>C02000</t>
  </si>
  <si>
    <t>user2000@example.com</t>
  </si>
  <si>
    <t>329 273 5726</t>
  </si>
  <si>
    <t>C01311</t>
  </si>
  <si>
    <t>869.882.7551</t>
  </si>
  <si>
    <t>C03280</t>
  </si>
  <si>
    <t>user3280@example.com</t>
  </si>
  <si>
    <t>(142) 145-5962</t>
  </si>
  <si>
    <t>C01988</t>
  </si>
  <si>
    <t>707-707-7060</t>
  </si>
  <si>
    <t>C04648</t>
  </si>
  <si>
    <t>user4648@example.com</t>
  </si>
  <si>
    <t>125-476-6332</t>
  </si>
  <si>
    <t>C00345</t>
  </si>
  <si>
    <t>user345@example.com</t>
  </si>
  <si>
    <t>(833) 974-8006</t>
  </si>
  <si>
    <t>C04784</t>
  </si>
  <si>
    <t>user4784@example.com</t>
  </si>
  <si>
    <t>C00987</t>
  </si>
  <si>
    <t>C03876</t>
  </si>
  <si>
    <t>user3876@example.com</t>
  </si>
  <si>
    <t>307.209.4548</t>
  </si>
  <si>
    <t>C03832</t>
  </si>
  <si>
    <t>user3832@example.com</t>
  </si>
  <si>
    <t>300 652 4059</t>
  </si>
  <si>
    <t>C04327</t>
  </si>
  <si>
    <t>user4327@example.com</t>
  </si>
  <si>
    <t>C04027</t>
  </si>
  <si>
    <t>244-593-1881</t>
  </si>
  <si>
    <t>C03113</t>
  </si>
  <si>
    <t>user3113@example.com</t>
  </si>
  <si>
    <t>C03051</t>
  </si>
  <si>
    <t>214 613 9912</t>
  </si>
  <si>
    <t>C01143</t>
  </si>
  <si>
    <t>230-609-2426</t>
  </si>
  <si>
    <t>C02359</t>
  </si>
  <si>
    <t>user2359@example.com</t>
  </si>
  <si>
    <t>199.437.2213</t>
  </si>
  <si>
    <t>C01199</t>
  </si>
  <si>
    <t>user1199@example.com</t>
  </si>
  <si>
    <t>C00086</t>
  </si>
  <si>
    <t>user86@example.com</t>
  </si>
  <si>
    <t>322-936-3276</t>
  </si>
  <si>
    <t>C01519</t>
  </si>
  <si>
    <t>user1519@example.com</t>
  </si>
  <si>
    <t>C00517</t>
  </si>
  <si>
    <t>user517@example.com</t>
  </si>
  <si>
    <t>C01382</t>
  </si>
  <si>
    <t>user1382@example.com</t>
  </si>
  <si>
    <t>C02717</t>
  </si>
  <si>
    <t>user2717@example.com</t>
  </si>
  <si>
    <t>603-206-6267</t>
  </si>
  <si>
    <t>C03106</t>
  </si>
  <si>
    <t>user3106@example.com</t>
  </si>
  <si>
    <t>166-189-5305</t>
  </si>
  <si>
    <t>C01015</t>
  </si>
  <si>
    <t>C00129</t>
  </si>
  <si>
    <t>user129@example.com</t>
  </si>
  <si>
    <t>928.855.1447</t>
  </si>
  <si>
    <t>C01365</t>
  </si>
  <si>
    <t>user1365@example.com</t>
  </si>
  <si>
    <t>C03648</t>
  </si>
  <si>
    <t>572-612-7671</t>
  </si>
  <si>
    <t>C03146</t>
  </si>
  <si>
    <t>user3146@example.com</t>
  </si>
  <si>
    <t>645.629.2031</t>
  </si>
  <si>
    <t>C00892</t>
  </si>
  <si>
    <t>user892@example.com</t>
  </si>
  <si>
    <t>324 103 4654</t>
  </si>
  <si>
    <t>C02794</t>
  </si>
  <si>
    <t>user2794@example.com</t>
  </si>
  <si>
    <t>851 563 8272</t>
  </si>
  <si>
    <t>C04222</t>
  </si>
  <si>
    <t>user4222@example.com</t>
  </si>
  <si>
    <t>109-811-7971</t>
  </si>
  <si>
    <t>C00127</t>
  </si>
  <si>
    <t>user1360@example.com</t>
  </si>
  <si>
    <t>801 645 9412</t>
  </si>
  <si>
    <t>C00308</t>
  </si>
  <si>
    <t>user308@example.com</t>
  </si>
  <si>
    <t>C01662</t>
  </si>
  <si>
    <t>user1662@example.com</t>
  </si>
  <si>
    <t>(274) 190-4131</t>
  </si>
  <si>
    <t>user2432@example.com</t>
  </si>
  <si>
    <t>885 380 1319</t>
  </si>
  <si>
    <t>user3959@example.com</t>
  </si>
  <si>
    <t>(120) 684-6449</t>
  </si>
  <si>
    <t>C01318</t>
  </si>
  <si>
    <t>user1318@example.com</t>
  </si>
  <si>
    <t>591 396 5623</t>
  </si>
  <si>
    <t>C04318</t>
  </si>
  <si>
    <t>user4318@example.com</t>
  </si>
  <si>
    <t>(422) 416-7695</t>
  </si>
  <si>
    <t>user2475@example.com</t>
  </si>
  <si>
    <t>108-330-6281</t>
  </si>
  <si>
    <t>C02543</t>
  </si>
  <si>
    <t>user2543@example.com</t>
  </si>
  <si>
    <t>(506) 430-1191</t>
  </si>
  <si>
    <t>C01247</t>
  </si>
  <si>
    <t>user1247@example.com</t>
  </si>
  <si>
    <t>437-755-2457</t>
  </si>
  <si>
    <t>C01209</t>
  </si>
  <si>
    <t>user1209@example.com</t>
  </si>
  <si>
    <t>C00217</t>
  </si>
  <si>
    <t>user217@example.com</t>
  </si>
  <si>
    <t>223.800.9943</t>
  </si>
  <si>
    <t>C04307</t>
  </si>
  <si>
    <t>user4307@example.com</t>
  </si>
  <si>
    <t>C04111</t>
  </si>
  <si>
    <t>C02290</t>
  </si>
  <si>
    <t>user2290@example.com</t>
  </si>
  <si>
    <t>687.584.4525</t>
  </si>
  <si>
    <t>C02741</t>
  </si>
  <si>
    <t>user2741@example.com</t>
  </si>
  <si>
    <t>806 110 7813</t>
  </si>
  <si>
    <t>C00276</t>
  </si>
  <si>
    <t>user276@example.com</t>
  </si>
  <si>
    <t>(763) 192-1260</t>
  </si>
  <si>
    <t>C00490</t>
  </si>
  <si>
    <t>user490@example.com</t>
  </si>
  <si>
    <t>(524) 511-5116</t>
  </si>
  <si>
    <t>C00098</t>
  </si>
  <si>
    <t>user1036@example.com</t>
  </si>
  <si>
    <t>197.714.6314</t>
  </si>
  <si>
    <t>C01230</t>
  </si>
  <si>
    <t>user1230@example.com</t>
  </si>
  <si>
    <t>C04600</t>
  </si>
  <si>
    <t>915.564.7576</t>
  </si>
  <si>
    <t>C01009</t>
  </si>
  <si>
    <t>user1009@example.com</t>
  </si>
  <si>
    <t>C04082</t>
  </si>
  <si>
    <t>358-138-1321</t>
  </si>
  <si>
    <t>C03144</t>
  </si>
  <si>
    <t>user3144@example.com</t>
  </si>
  <si>
    <t>495 875 3248</t>
  </si>
  <si>
    <t>C03204</t>
  </si>
  <si>
    <t>user3204@example.com</t>
  </si>
  <si>
    <t>(488) 714-8695</t>
  </si>
  <si>
    <t>C02123</t>
  </si>
  <si>
    <t>C04183</t>
  </si>
  <si>
    <t>C01059</t>
  </si>
  <si>
    <t>user1059@example.com</t>
  </si>
  <si>
    <t>990-603-2146</t>
  </si>
  <si>
    <t>C02167</t>
  </si>
  <si>
    <t>user2167@example.com</t>
  </si>
  <si>
    <t>C04113</t>
  </si>
  <si>
    <t>user4113@example.com</t>
  </si>
  <si>
    <t>848-956-9806</t>
  </si>
  <si>
    <t>user4287@example.com</t>
  </si>
  <si>
    <t>C00282</t>
  </si>
  <si>
    <t>user282@example.com</t>
  </si>
  <si>
    <t>C04306</t>
  </si>
  <si>
    <t>user4306@example.com</t>
  </si>
  <si>
    <t>(102) 116-2032</t>
  </si>
  <si>
    <t>C01317</t>
  </si>
  <si>
    <t>user1317@example.com</t>
  </si>
  <si>
    <t>711 855 1131</t>
  </si>
  <si>
    <t>C04994</t>
  </si>
  <si>
    <t>user4994@example.com</t>
  </si>
  <si>
    <t>707.529.9736</t>
  </si>
  <si>
    <t>C04641</t>
  </si>
  <si>
    <t>user4641@example.com</t>
  </si>
  <si>
    <t>(555) 573-8421</t>
  </si>
  <si>
    <t>C03945</t>
  </si>
  <si>
    <t>568-803-4523</t>
  </si>
  <si>
    <t>C03188</t>
  </si>
  <si>
    <t>user3188@example.com</t>
  </si>
  <si>
    <t>209.103.4912</t>
  </si>
  <si>
    <t>C03542</t>
  </si>
  <si>
    <t>C00620</t>
  </si>
  <si>
    <t>user620@example.com</t>
  </si>
  <si>
    <t>user4841@example.com</t>
  </si>
  <si>
    <t>473 935 1175</t>
  </si>
  <si>
    <t>C01743</t>
  </si>
  <si>
    <t>user1743@example.com</t>
  </si>
  <si>
    <t>295.142.9520</t>
  </si>
  <si>
    <t>C01391</t>
  </si>
  <si>
    <t>C04075</t>
  </si>
  <si>
    <t>699.165.9595</t>
  </si>
  <si>
    <t>C01848</t>
  </si>
  <si>
    <t>user1848@example.com</t>
  </si>
  <si>
    <t>682-180-3083</t>
  </si>
  <si>
    <t>C01580</t>
  </si>
  <si>
    <t>user1580@example.com</t>
  </si>
  <si>
    <t>C01656</t>
  </si>
  <si>
    <t>669-893-6131</t>
  </si>
  <si>
    <t>C02353</t>
  </si>
  <si>
    <t>user2353@example.com</t>
  </si>
  <si>
    <t>C02213</t>
  </si>
  <si>
    <t>659 290 1356</t>
  </si>
  <si>
    <t>C02021</t>
  </si>
  <si>
    <t>C04988</t>
  </si>
  <si>
    <t>user1957@example.com</t>
  </si>
  <si>
    <t>721-583-9592</t>
  </si>
  <si>
    <t>C01308</t>
  </si>
  <si>
    <t>781 372 2946</t>
  </si>
  <si>
    <t>C02004</t>
  </si>
  <si>
    <t>user2004@example.com</t>
  </si>
  <si>
    <t>(128) 712-1651</t>
  </si>
  <si>
    <t>C04470</t>
  </si>
  <si>
    <t>user4470@example.com</t>
  </si>
  <si>
    <t>802.680.6578</t>
  </si>
  <si>
    <t>C00576</t>
  </si>
  <si>
    <t>user576@example.com</t>
  </si>
  <si>
    <t>720.786.1745</t>
  </si>
  <si>
    <t>C02361</t>
  </si>
  <si>
    <t>450.402.8285</t>
  </si>
  <si>
    <t>C04216</t>
  </si>
  <si>
    <t>user4216@example.com</t>
  </si>
  <si>
    <t>233 348 7054</t>
  </si>
  <si>
    <t>C04451</t>
  </si>
  <si>
    <t>user4451@example.com</t>
  </si>
  <si>
    <t>C01707</t>
  </si>
  <si>
    <t>user1707@example.com</t>
  </si>
  <si>
    <t>(735) 816-7628</t>
  </si>
  <si>
    <t>C04557</t>
  </si>
  <si>
    <t>user4557@example.com</t>
  </si>
  <si>
    <t>(712) 191-7811</t>
  </si>
  <si>
    <t>C03493</t>
  </si>
  <si>
    <t>user3493@example.com</t>
  </si>
  <si>
    <t>user1281@example.com</t>
  </si>
  <si>
    <t>C00862</t>
  </si>
  <si>
    <t>user862@example.com</t>
  </si>
  <si>
    <t>(163) 921-8240</t>
  </si>
  <si>
    <t>C04424</t>
  </si>
  <si>
    <t>user4424@example.com</t>
  </si>
  <si>
    <t>442.154.8299</t>
  </si>
  <si>
    <t>C01802</t>
  </si>
  <si>
    <t>user1802@example.com</t>
  </si>
  <si>
    <t>(623) 859-9956</t>
  </si>
  <si>
    <t>C01629</t>
  </si>
  <si>
    <t>user1629@example.com</t>
  </si>
  <si>
    <t>C01994</t>
  </si>
  <si>
    <t>user1994@example.com</t>
  </si>
  <si>
    <t>C02640</t>
  </si>
  <si>
    <t>C00270</t>
  </si>
  <si>
    <t>user270@example.com</t>
  </si>
  <si>
    <t>145 141 8711</t>
  </si>
  <si>
    <t>C00630</t>
  </si>
  <si>
    <t>user630@example.com</t>
  </si>
  <si>
    <t>625-210-9366</t>
  </si>
  <si>
    <t>C03082</t>
  </si>
  <si>
    <t>user3082@example.com</t>
  </si>
  <si>
    <t>488 867 6527</t>
  </si>
  <si>
    <t>C02335</t>
  </si>
  <si>
    <t>C02967</t>
  </si>
  <si>
    <t>user2967@example.com</t>
  </si>
  <si>
    <t>465.446.2329</t>
  </si>
  <si>
    <t>user301@example.com</t>
  </si>
  <si>
    <t>735 476 2075</t>
  </si>
  <si>
    <t>user460@example.com</t>
  </si>
  <si>
    <t>500-369-9105</t>
  </si>
  <si>
    <t>C01448</t>
  </si>
  <si>
    <t>C01473</t>
  </si>
  <si>
    <t>user1473@example.com</t>
  </si>
  <si>
    <t>345-388-3666</t>
  </si>
  <si>
    <t>C02047</t>
  </si>
  <si>
    <t>user2047@example.com</t>
  </si>
  <si>
    <t>C04242</t>
  </si>
  <si>
    <t>user4242@example.com</t>
  </si>
  <si>
    <t>(154) 308-9663</t>
  </si>
  <si>
    <t>C03789</t>
  </si>
  <si>
    <t>user3789@example.com</t>
  </si>
  <si>
    <t>C02114</t>
  </si>
  <si>
    <t>C00028</t>
  </si>
  <si>
    <t>user28@example.com</t>
  </si>
  <si>
    <t>188 608 4893</t>
  </si>
  <si>
    <t>C04713</t>
  </si>
  <si>
    <t>user4713@example.com</t>
  </si>
  <si>
    <t>682.174.3855</t>
  </si>
  <si>
    <t>user4537@example.com</t>
  </si>
  <si>
    <t>385 770 4463</t>
  </si>
  <si>
    <t>C00838</t>
  </si>
  <si>
    <t>user838@example.com</t>
  </si>
  <si>
    <t>user4212@example.com</t>
  </si>
  <si>
    <t>874 553 6569</t>
  </si>
  <si>
    <t>833-823-2965</t>
  </si>
  <si>
    <t>C04923</t>
  </si>
  <si>
    <t>(770) 651-1662</t>
  </si>
  <si>
    <t>C00504</t>
  </si>
  <si>
    <t>user504@example.com</t>
  </si>
  <si>
    <t>597 673 8145</t>
  </si>
  <si>
    <t>C03228</t>
  </si>
  <si>
    <t>user3228@example.com</t>
  </si>
  <si>
    <t>C04319</t>
  </si>
  <si>
    <t>user4319@example.com</t>
  </si>
  <si>
    <t>C00381</t>
  </si>
  <si>
    <t>user381@example.com</t>
  </si>
  <si>
    <t>C01852</t>
  </si>
  <si>
    <t>user1852@example.com</t>
  </si>
  <si>
    <t>499.820.6863</t>
  </si>
  <si>
    <t>C01526</t>
  </si>
  <si>
    <t>user1526@example.com</t>
  </si>
  <si>
    <t>user2366@example.com</t>
  </si>
  <si>
    <t>C03250</t>
  </si>
  <si>
    <t>user3250@example.com</t>
  </si>
  <si>
    <t>484 406 7121</t>
  </si>
  <si>
    <t>C03053</t>
  </si>
  <si>
    <t>user3053@example.com</t>
  </si>
  <si>
    <t>663.780.3698</t>
  </si>
  <si>
    <t>C02885</t>
  </si>
  <si>
    <t>user2885@example.com</t>
  </si>
  <si>
    <t>C02341</t>
  </si>
  <si>
    <t>user2341@example.com</t>
  </si>
  <si>
    <t>350 800 8268</t>
  </si>
  <si>
    <t>C00375</t>
  </si>
  <si>
    <t>529.751.6832</t>
  </si>
  <si>
    <t>C04100</t>
  </si>
  <si>
    <t>user4100@example.com</t>
  </si>
  <si>
    <t>547.287.4455</t>
  </si>
  <si>
    <t>C04324</t>
  </si>
  <si>
    <t>user4324@example.com</t>
  </si>
  <si>
    <t>954 176 6429</t>
  </si>
  <si>
    <t>C00940</t>
  </si>
  <si>
    <t>user940@example.com</t>
  </si>
  <si>
    <t>333.200.2942</t>
  </si>
  <si>
    <t>user3981@example.com</t>
  </si>
  <si>
    <t>C04410</t>
  </si>
  <si>
    <t>user4410@example.com</t>
  </si>
  <si>
    <t>364-440-1743</t>
  </si>
  <si>
    <t>C02800</t>
  </si>
  <si>
    <t>661 983 7688</t>
  </si>
  <si>
    <t>C02148</t>
  </si>
  <si>
    <t>user2148@example.com</t>
  </si>
  <si>
    <t>C03842</t>
  </si>
  <si>
    <t>user3842@example.com</t>
  </si>
  <si>
    <t>758 290 4890</t>
  </si>
  <si>
    <t>C04555</t>
  </si>
  <si>
    <t>user4555@example.com</t>
  </si>
  <si>
    <t>(235) 886-2163</t>
  </si>
  <si>
    <t>C04230</t>
  </si>
  <si>
    <t>user4230@example.com</t>
  </si>
  <si>
    <t>481-972-9247</t>
  </si>
  <si>
    <t>C02069</t>
  </si>
  <si>
    <t>user2069@example.com</t>
  </si>
  <si>
    <t>378-867-3025</t>
  </si>
  <si>
    <t>C00530</t>
  </si>
  <si>
    <t>user530@example.com</t>
  </si>
  <si>
    <t>C03755</t>
  </si>
  <si>
    <t>user3755@example.com</t>
  </si>
  <si>
    <t>user637@example.com</t>
  </si>
  <si>
    <t>701.841.8454</t>
  </si>
  <si>
    <t>C01270</t>
  </si>
  <si>
    <t>user1270@example.com</t>
  </si>
  <si>
    <t>750.978.2424</t>
  </si>
  <si>
    <t>C00186</t>
  </si>
  <si>
    <t>user186@example.com</t>
  </si>
  <si>
    <t>C03843</t>
  </si>
  <si>
    <t>user3843@example.com</t>
  </si>
  <si>
    <t>153.812.5412</t>
  </si>
  <si>
    <t>C03201</t>
  </si>
  <si>
    <t>user3201@example.com</t>
  </si>
  <si>
    <t>(906) 513-4393</t>
  </si>
  <si>
    <t>C03476</t>
  </si>
  <si>
    <t>user3476@example.com</t>
  </si>
  <si>
    <t>700-565-6699</t>
  </si>
  <si>
    <t>C01798</t>
  </si>
  <si>
    <t>user1798@example.com</t>
  </si>
  <si>
    <t>C02980</t>
  </si>
  <si>
    <t>user2980@example.com</t>
  </si>
  <si>
    <t>124 785 7798</t>
  </si>
  <si>
    <t>C01442</t>
  </si>
  <si>
    <t>user1442@example.com</t>
  </si>
  <si>
    <t>(401) 571-3361</t>
  </si>
  <si>
    <t>C04482</t>
  </si>
  <si>
    <t>user4482@example.com</t>
  </si>
  <si>
    <t>(121) 102-7432</t>
  </si>
  <si>
    <t>C04890</t>
  </si>
  <si>
    <t>user4890@example.com</t>
  </si>
  <si>
    <t>C01536</t>
  </si>
  <si>
    <t>user1536@example.com</t>
  </si>
  <si>
    <t>(303) 457-7866</t>
  </si>
  <si>
    <t>C03465</t>
  </si>
  <si>
    <t>user3465@example.com</t>
  </si>
  <si>
    <t>C01274</t>
  </si>
  <si>
    <t>user1274@example.com</t>
  </si>
  <si>
    <t>C02468</t>
  </si>
  <si>
    <t>user2468@example.com</t>
  </si>
  <si>
    <t>885-800-8060</t>
  </si>
  <si>
    <t>C00608</t>
  </si>
  <si>
    <t>user608@example.com</t>
  </si>
  <si>
    <t>849.851.3118</t>
  </si>
  <si>
    <t>user3409@example.com</t>
  </si>
  <si>
    <t>(142) 137-8420</t>
  </si>
  <si>
    <t>C01713</t>
  </si>
  <si>
    <t>user1713@example.com</t>
  </si>
  <si>
    <t>(615) 817-8811</t>
  </si>
  <si>
    <t>C02200</t>
  </si>
  <si>
    <t>C00956</t>
  </si>
  <si>
    <t>user956@example.com</t>
  </si>
  <si>
    <t>242.691.3102</t>
  </si>
  <si>
    <t>C02580</t>
  </si>
  <si>
    <t>user2580@example.com</t>
  </si>
  <si>
    <t>226 843 3487</t>
  </si>
  <si>
    <t>C03922</t>
  </si>
  <si>
    <t>394.314.2140</t>
  </si>
  <si>
    <t>C04440</t>
  </si>
  <si>
    <t>user4440@example.com</t>
  </si>
  <si>
    <t>C03607</t>
  </si>
  <si>
    <t>user3607@example.com</t>
  </si>
  <si>
    <t>C04490</t>
  </si>
  <si>
    <t>user4490@example.com</t>
  </si>
  <si>
    <t>C00404</t>
  </si>
  <si>
    <t>user404@example.com</t>
  </si>
  <si>
    <t>144.167.5942</t>
  </si>
  <si>
    <t>C02072</t>
  </si>
  <si>
    <t>user2072@example.com</t>
  </si>
  <si>
    <t>178-175-9265</t>
  </si>
  <si>
    <t>C04771</t>
  </si>
  <si>
    <t>773 545 5063</t>
  </si>
  <si>
    <t>C01978</t>
  </si>
  <si>
    <t>user1978@example.com</t>
  </si>
  <si>
    <t>532 462 3088</t>
  </si>
  <si>
    <t>user159@example.com</t>
  </si>
  <si>
    <t>C01749</t>
  </si>
  <si>
    <t>user1749@example.com</t>
  </si>
  <si>
    <t>C02910</t>
  </si>
  <si>
    <t>user2910@example.com</t>
  </si>
  <si>
    <t>609-501-3593</t>
  </si>
  <si>
    <t>C04981</t>
  </si>
  <si>
    <t>user4981@example.com</t>
  </si>
  <si>
    <t>(331) 834-3496</t>
  </si>
  <si>
    <t>C00903</t>
  </si>
  <si>
    <t>C00353</t>
  </si>
  <si>
    <t>user353@example.com</t>
  </si>
  <si>
    <t>(312) 410-8776</t>
  </si>
  <si>
    <t>C01231</t>
  </si>
  <si>
    <t>user1231@example.com</t>
  </si>
  <si>
    <t>C04686</t>
  </si>
  <si>
    <t>user4686@example.com</t>
  </si>
  <si>
    <t>305 432 8251</t>
  </si>
  <si>
    <t>C02141</t>
  </si>
  <si>
    <t>user2141@example.com</t>
  </si>
  <si>
    <t>C00445</t>
  </si>
  <si>
    <t>user445@example.com</t>
  </si>
  <si>
    <t>(410) 736-2578</t>
  </si>
  <si>
    <t>user4964@example.com</t>
  </si>
  <si>
    <t>929.283.5426</t>
  </si>
  <si>
    <t>user755@example.com</t>
  </si>
  <si>
    <t>412-390-4532</t>
  </si>
  <si>
    <t>C01738</t>
  </si>
  <si>
    <t>user1738@example.com</t>
  </si>
  <si>
    <t>(486) 754-2768</t>
  </si>
  <si>
    <t>C02972</t>
  </si>
  <si>
    <t>user2972@example.com</t>
  </si>
  <si>
    <t>(559) 262-2888</t>
  </si>
  <si>
    <t>C04995</t>
  </si>
  <si>
    <t>user4995@example.com</t>
  </si>
  <si>
    <t>user2921@example.com</t>
  </si>
  <si>
    <t>C00312</t>
  </si>
  <si>
    <t>C00549</t>
  </si>
  <si>
    <t>user549@example.com</t>
  </si>
  <si>
    <t>277.803.6367</t>
  </si>
  <si>
    <t>C04077</t>
  </si>
  <si>
    <t>132-158-5358</t>
  </si>
  <si>
    <t>C04777</t>
  </si>
  <si>
    <t>user4777@example.com</t>
  </si>
  <si>
    <t>692.561.5670</t>
  </si>
  <si>
    <t>C01990</t>
  </si>
  <si>
    <t>user1990@example.com</t>
  </si>
  <si>
    <t>428 549 3895</t>
  </si>
  <si>
    <t>C00307</t>
  </si>
  <si>
    <t>user307@example.com</t>
  </si>
  <si>
    <t>C02336</t>
  </si>
  <si>
    <t>user2336@example.com</t>
  </si>
  <si>
    <t>(762) 472-6482</t>
  </si>
  <si>
    <t>C02357</t>
  </si>
  <si>
    <t>user2357@example.com</t>
  </si>
  <si>
    <t>772 447 3325</t>
  </si>
  <si>
    <t>user1928@example.com</t>
  </si>
  <si>
    <t>284 364 5524</t>
  </si>
  <si>
    <t>C00685</t>
  </si>
  <si>
    <t>user685@example.com</t>
  </si>
  <si>
    <t>888-998-5382</t>
  </si>
  <si>
    <t>223-478-5744</t>
  </si>
  <si>
    <t>C04578</t>
  </si>
  <si>
    <t>user4578@example.com</t>
  </si>
  <si>
    <t>(564) 294-3121</t>
  </si>
  <si>
    <t>C01267</t>
  </si>
  <si>
    <t>user1267@example.com</t>
  </si>
  <si>
    <t>462 917 8678</t>
  </si>
  <si>
    <t>C03900</t>
  </si>
  <si>
    <t>915.987.6199</t>
  </si>
  <si>
    <t>C03552</t>
  </si>
  <si>
    <t>user3552@example.com</t>
  </si>
  <si>
    <t>C04438</t>
  </si>
  <si>
    <t>C04009</t>
  </si>
  <si>
    <t>user4009@example.com</t>
  </si>
  <si>
    <t>user3084@example.com</t>
  </si>
  <si>
    <t>417.665.8392</t>
  </si>
  <si>
    <t>C03062</t>
  </si>
  <si>
    <t>user3062@example.com</t>
  </si>
  <si>
    <t>(173) 811-6022</t>
  </si>
  <si>
    <t>C03026</t>
  </si>
  <si>
    <t>user3026@example.com</t>
  </si>
  <si>
    <t>522 279 1217</t>
  </si>
  <si>
    <t>C00971</t>
  </si>
  <si>
    <t>user971@example.com</t>
  </si>
  <si>
    <t>390 310 4818</t>
  </si>
  <si>
    <t>C00014</t>
  </si>
  <si>
    <t>user14@example.com</t>
  </si>
  <si>
    <t>(298) 438-6536</t>
  </si>
  <si>
    <t>C00874</t>
  </si>
  <si>
    <t>user874@example.com</t>
  </si>
  <si>
    <t>C00809</t>
  </si>
  <si>
    <t>user809@example.com</t>
  </si>
  <si>
    <t>815 225 3288</t>
  </si>
  <si>
    <t>C00143</t>
  </si>
  <si>
    <t>user3199@example.com</t>
  </si>
  <si>
    <t>721 310 7110</t>
  </si>
  <si>
    <t>C00515</t>
  </si>
  <si>
    <t>634-780-9605</t>
  </si>
  <si>
    <t>C04487</t>
  </si>
  <si>
    <t>user4487@example.com</t>
  </si>
  <si>
    <t>361.233.7408</t>
  </si>
  <si>
    <t>C00410</t>
  </si>
  <si>
    <t>user410@example.com</t>
  </si>
  <si>
    <t>C03430</t>
  </si>
  <si>
    <t>user3430@example.com</t>
  </si>
  <si>
    <t>425.226.3992</t>
  </si>
  <si>
    <t>user4357@example.com</t>
  </si>
  <si>
    <t>823.192.3260</t>
  </si>
  <si>
    <t>C00208</t>
  </si>
  <si>
    <t>user208@example.com</t>
  </si>
  <si>
    <t>137-853-3319</t>
  </si>
  <si>
    <t>C03245</t>
  </si>
  <si>
    <t>user3245@example.com</t>
  </si>
  <si>
    <t>905.720.7638</t>
  </si>
  <si>
    <t>C00459</t>
  </si>
  <si>
    <t>C03494</t>
  </si>
  <si>
    <t>user3494@example.com</t>
  </si>
  <si>
    <t>C02431</t>
  </si>
  <si>
    <t>518-462-3292</t>
  </si>
  <si>
    <t>C03682</t>
  </si>
  <si>
    <t>user3682@example.com</t>
  </si>
  <si>
    <t>428-863-4487</t>
  </si>
  <si>
    <t>C00111</t>
  </si>
  <si>
    <t>463 331 4044</t>
  </si>
  <si>
    <t>C03771</t>
  </si>
  <si>
    <t>user3771@example.com</t>
  </si>
  <si>
    <t>309-969-3691</t>
  </si>
  <si>
    <t>C04069</t>
  </si>
  <si>
    <t>user4069@example.com</t>
  </si>
  <si>
    <t>130 309 2974</t>
  </si>
  <si>
    <t>C01884</t>
  </si>
  <si>
    <t>user1884@example.com</t>
  </si>
  <si>
    <t>user1714@example.com</t>
  </si>
  <si>
    <t>C03983</t>
  </si>
  <si>
    <t>user3983@example.com</t>
  </si>
  <si>
    <t>571-168-6683</t>
  </si>
  <si>
    <t>C04003</t>
  </si>
  <si>
    <t>user4003@example.com</t>
  </si>
  <si>
    <t>C00553</t>
  </si>
  <si>
    <t>user553@example.com</t>
  </si>
  <si>
    <t>C01440</t>
  </si>
  <si>
    <t>user1440@example.com</t>
  </si>
  <si>
    <t>671.585.3188</t>
  </si>
  <si>
    <t>C02271</t>
  </si>
  <si>
    <t>user2271@example.com</t>
  </si>
  <si>
    <t>465.527.1287</t>
  </si>
  <si>
    <t>C03145</t>
  </si>
  <si>
    <t>user3145@example.com</t>
  </si>
  <si>
    <t>445 193 9022</t>
  </si>
  <si>
    <t>C02822</t>
  </si>
  <si>
    <t>user2822@example.com</t>
  </si>
  <si>
    <t>410.203.3618</t>
  </si>
  <si>
    <t>C04797</t>
  </si>
  <si>
    <t>(854) 995-6828</t>
  </si>
  <si>
    <t>C01926</t>
  </si>
  <si>
    <t>user1926@example.com</t>
  </si>
  <si>
    <t>693-181-5529</t>
  </si>
  <si>
    <t>C00635</t>
  </si>
  <si>
    <t>user635@example.com</t>
  </si>
  <si>
    <t>C04821</t>
  </si>
  <si>
    <t>user4821@example.com</t>
  </si>
  <si>
    <t>user317@example.com</t>
  </si>
  <si>
    <t>(908) 366-4715</t>
  </si>
  <si>
    <t>C04231</t>
  </si>
  <si>
    <t>user4231@example.com</t>
  </si>
  <si>
    <t>646.916.9471</t>
  </si>
  <si>
    <t>C04715</t>
  </si>
  <si>
    <t>user4715@example.com</t>
  </si>
  <si>
    <t>188.538.5385</t>
  </si>
  <si>
    <t>C01329</t>
  </si>
  <si>
    <t>user1329@example.com</t>
  </si>
  <si>
    <t>985-152-7231</t>
  </si>
  <si>
    <t>C00428</t>
  </si>
  <si>
    <t>user428@example.com</t>
  </si>
  <si>
    <t>790-603-2723</t>
  </si>
  <si>
    <t>C03439</t>
  </si>
  <si>
    <t>user3439@example.com</t>
  </si>
  <si>
    <t>588-143-8687</t>
  </si>
  <si>
    <t>C00106</t>
  </si>
  <si>
    <t>user106@example.com</t>
  </si>
  <si>
    <t>(838) 598-8155</t>
  </si>
  <si>
    <t>C03042</t>
  </si>
  <si>
    <t>user3042@example.com</t>
  </si>
  <si>
    <t>(933) 788-9102</t>
  </si>
  <si>
    <t>user143@example.com</t>
  </si>
  <si>
    <t>271-575-7533</t>
  </si>
  <si>
    <t>user2170@example.com</t>
  </si>
  <si>
    <t>199.978.9914</t>
  </si>
  <si>
    <t>C03351</t>
  </si>
  <si>
    <t>251.143.3299</t>
  </si>
  <si>
    <t>C00090</t>
  </si>
  <si>
    <t>user90@example.com</t>
  </si>
  <si>
    <t>(310) 797-6187</t>
  </si>
  <si>
    <t>C02919</t>
  </si>
  <si>
    <t>user2919@example.com</t>
  </si>
  <si>
    <t>C03238</t>
  </si>
  <si>
    <t>C02242</t>
  </si>
  <si>
    <t>user2242@example.com</t>
  </si>
  <si>
    <t>725-713-7523</t>
  </si>
  <si>
    <t>C03175</t>
  </si>
  <si>
    <t>user3175@example.com</t>
  </si>
  <si>
    <t>(902) 198-7934</t>
  </si>
  <si>
    <t>C03434</t>
  </si>
  <si>
    <t>user3434@example.com</t>
  </si>
  <si>
    <t>C02164</t>
  </si>
  <si>
    <t>user2164@example.com</t>
  </si>
  <si>
    <t>user2637@example.com</t>
  </si>
  <si>
    <t>249.833.6573</t>
  </si>
  <si>
    <t>C01950</t>
  </si>
  <si>
    <t>user1950@example.com</t>
  </si>
  <si>
    <t>C01769</t>
  </si>
  <si>
    <t>user1769@example.com</t>
  </si>
  <si>
    <t>C04863</t>
  </si>
  <si>
    <t>user4863@example.com</t>
  </si>
  <si>
    <t>C02273</t>
  </si>
  <si>
    <t>user2273@example.com</t>
  </si>
  <si>
    <t>C00002</t>
  </si>
  <si>
    <t>user3304@example.com</t>
  </si>
  <si>
    <t>C04973</t>
  </si>
  <si>
    <t>user4973@example.com</t>
  </si>
  <si>
    <t>user1952@example.com</t>
  </si>
  <si>
    <t>C00936</t>
  </si>
  <si>
    <t>user936@example.com</t>
  </si>
  <si>
    <t>(552) 339-5351</t>
  </si>
  <si>
    <t>C04311</t>
  </si>
  <si>
    <t>user4311@example.com</t>
  </si>
  <si>
    <t>660-185-5841</t>
  </si>
  <si>
    <t>C02721</t>
  </si>
  <si>
    <t>user2721@example.com</t>
  </si>
  <si>
    <t>C03509</t>
  </si>
  <si>
    <t>user3509@example.com</t>
  </si>
  <si>
    <t>C01110</t>
  </si>
  <si>
    <t>user1110@example.com</t>
  </si>
  <si>
    <t>user3612@example.com</t>
  </si>
  <si>
    <t>(529) 874-3138</t>
  </si>
  <si>
    <t>C00592</t>
  </si>
  <si>
    <t>267.822.8653</t>
  </si>
  <si>
    <t>C01696</t>
  </si>
  <si>
    <t>user1696@example.com</t>
  </si>
  <si>
    <t>(254) 506-9227</t>
  </si>
  <si>
    <t>C03472</t>
  </si>
  <si>
    <t>C02937</t>
  </si>
  <si>
    <t>user2937@example.com</t>
  </si>
  <si>
    <t>C04218</t>
  </si>
  <si>
    <t>user4218@example.com</t>
  </si>
  <si>
    <t>(974) 748-4019</t>
  </si>
  <si>
    <t>C04770</t>
  </si>
  <si>
    <t>user4770@example.com</t>
  </si>
  <si>
    <t>C03979</t>
  </si>
  <si>
    <t>user3979@example.com</t>
  </si>
  <si>
    <t>162 917 1662</t>
  </si>
  <si>
    <t>C00214</t>
  </si>
  <si>
    <t>user214@example.com</t>
  </si>
  <si>
    <t>216-609-4613</t>
  </si>
  <si>
    <t>C00601</t>
  </si>
  <si>
    <t>user779@example.com</t>
  </si>
  <si>
    <t>491.363.2491</t>
  </si>
  <si>
    <t>user1416@example.com</t>
  </si>
  <si>
    <t>144-719-3475</t>
  </si>
  <si>
    <t>C03784</t>
  </si>
  <si>
    <t>541-382-5665</t>
  </si>
  <si>
    <t>C02044</t>
  </si>
  <si>
    <t>user2044@example.com</t>
  </si>
  <si>
    <t>397-374-9314</t>
  </si>
  <si>
    <t>C02849</t>
  </si>
  <si>
    <t>user2849@example.com</t>
  </si>
  <si>
    <t>C04946</t>
  </si>
  <si>
    <t>user4946@example.com</t>
  </si>
  <si>
    <t>(117) 412-2047</t>
  </si>
  <si>
    <t>C03528</t>
  </si>
  <si>
    <t>user3528@example.com</t>
  </si>
  <si>
    <t>(235) 402-8550</t>
  </si>
  <si>
    <t>C03838</t>
  </si>
  <si>
    <t>user3838@example.com</t>
  </si>
  <si>
    <t>C01568</t>
  </si>
  <si>
    <t>user1568@example.com</t>
  </si>
  <si>
    <t>227 459 8601</t>
  </si>
  <si>
    <t>C00166</t>
  </si>
  <si>
    <t>user166@example.com</t>
  </si>
  <si>
    <t>812-288-5150</t>
  </si>
  <si>
    <t>C04730</t>
  </si>
  <si>
    <t>user4730@example.com</t>
  </si>
  <si>
    <t>679-635-8775</t>
  </si>
  <si>
    <t>C03608</t>
  </si>
  <si>
    <t>user3608@example.com</t>
  </si>
  <si>
    <t>348.258.2073</t>
  </si>
  <si>
    <t>C04942</t>
  </si>
  <si>
    <t>C00914</t>
  </si>
  <si>
    <t>user1344@example.com</t>
  </si>
  <si>
    <t>C02014</t>
  </si>
  <si>
    <t>user2014@example.com</t>
  </si>
  <si>
    <t>C00274</t>
  </si>
  <si>
    <t>user274@example.com</t>
  </si>
  <si>
    <t>C00072</t>
  </si>
  <si>
    <t>user72@example.com</t>
  </si>
  <si>
    <t>669.765.2162</t>
  </si>
  <si>
    <t>C03912</t>
  </si>
  <si>
    <t>user3912@example.com</t>
  </si>
  <si>
    <t>C01088</t>
  </si>
  <si>
    <t>C00395</t>
  </si>
  <si>
    <t>user395@example.com</t>
  </si>
  <si>
    <t>C00584</t>
  </si>
  <si>
    <t>user584@example.com</t>
  </si>
  <si>
    <t>145.230.9179</t>
  </si>
  <si>
    <t>C01368</t>
  </si>
  <si>
    <t>C01791</t>
  </si>
  <si>
    <t>user4658@example.com</t>
  </si>
  <si>
    <t>C02549</t>
  </si>
  <si>
    <t>user2549@example.com</t>
  </si>
  <si>
    <t>290.361.6586</t>
  </si>
  <si>
    <t>C01014</t>
  </si>
  <si>
    <t>user1014@example.com</t>
  </si>
  <si>
    <t>C04913</t>
  </si>
  <si>
    <t>user4913@example.com</t>
  </si>
  <si>
    <t>985.887.7725</t>
  </si>
  <si>
    <t>C03004</t>
  </si>
  <si>
    <t>user3004@example.com</t>
  </si>
  <si>
    <t>(611) 837-7366</t>
  </si>
  <si>
    <t>C04804</t>
  </si>
  <si>
    <t>user4804@example.com</t>
  </si>
  <si>
    <t>925 180 4578</t>
  </si>
  <si>
    <t>C04025</t>
  </si>
  <si>
    <t>(317) 966-1443</t>
  </si>
  <si>
    <t>C03555</t>
  </si>
  <si>
    <t>user3555@example.com</t>
  </si>
  <si>
    <t>user1764@example.com</t>
  </si>
  <si>
    <t>711.418.3839</t>
  </si>
  <si>
    <t>C01876</t>
  </si>
  <si>
    <t>user1876@example.com</t>
  </si>
  <si>
    <t>220 730 7024</t>
  </si>
  <si>
    <t>user1260@example.com</t>
  </si>
  <si>
    <t>803-625-3547</t>
  </si>
  <si>
    <t>C04545</t>
  </si>
  <si>
    <t>user4545@example.com</t>
  </si>
  <si>
    <t>C02254</t>
  </si>
  <si>
    <t>user2254@example.com</t>
  </si>
  <si>
    <t>264-426-3109</t>
  </si>
  <si>
    <t>C02782</t>
  </si>
  <si>
    <t>user2782@example.com</t>
  </si>
  <si>
    <t>C03617</t>
  </si>
  <si>
    <t>user3617@example.com</t>
  </si>
  <si>
    <t>(463) 868-7122</t>
  </si>
  <si>
    <t>C00527</t>
  </si>
  <si>
    <t>user527@example.com</t>
  </si>
  <si>
    <t>760-720-1570</t>
  </si>
  <si>
    <t>C03443</t>
  </si>
  <si>
    <t>user3443@example.com</t>
  </si>
  <si>
    <t>user2947@example.com</t>
  </si>
  <si>
    <t>367.309.3360</t>
  </si>
  <si>
    <t>C00378</t>
  </si>
  <si>
    <t>user378@example.com</t>
  </si>
  <si>
    <t>C01560</t>
  </si>
  <si>
    <t>user1560@example.com</t>
  </si>
  <si>
    <t>C03845</t>
  </si>
  <si>
    <t>user3845@example.com</t>
  </si>
  <si>
    <t>490 845 6437</t>
  </si>
  <si>
    <t>C01964</t>
  </si>
  <si>
    <t>user1964@example.com</t>
  </si>
  <si>
    <t>460-673-9284</t>
  </si>
  <si>
    <t>C04748</t>
  </si>
  <si>
    <t>user4748@example.com</t>
  </si>
  <si>
    <t>243-530-8606</t>
  </si>
  <si>
    <t>C00349</t>
  </si>
  <si>
    <t>user349@example.com</t>
  </si>
  <si>
    <t>(845) 554-7809</t>
  </si>
  <si>
    <t>C02435</t>
  </si>
  <si>
    <t>952.482.1387</t>
  </si>
  <si>
    <t>C02247</t>
  </si>
  <si>
    <t>user2247@example.com</t>
  </si>
  <si>
    <t>(391) 418-7337</t>
  </si>
  <si>
    <t>C04180</t>
  </si>
  <si>
    <t>user4180@example.com</t>
  </si>
  <si>
    <t>523.629.2713</t>
  </si>
  <si>
    <t>C01710</t>
  </si>
  <si>
    <t>user1710@example.com</t>
  </si>
  <si>
    <t>310 275 4335</t>
  </si>
  <si>
    <t>C01051</t>
  </si>
  <si>
    <t>user1051@example.com</t>
  </si>
  <si>
    <t>C00591</t>
  </si>
  <si>
    <t>user591@example.com</t>
  </si>
  <si>
    <t>(287) 136-8704</t>
  </si>
  <si>
    <t>C00520</t>
  </si>
  <si>
    <t>user520@example.com</t>
  </si>
  <si>
    <t>323 247 2750</t>
  </si>
  <si>
    <t>C04508</t>
  </si>
  <si>
    <t>user4508@example.com</t>
  </si>
  <si>
    <t>(179) 361-8568</t>
  </si>
  <si>
    <t>C04443</t>
  </si>
  <si>
    <t>user4443@example.com</t>
  </si>
  <si>
    <t>C02478</t>
  </si>
  <si>
    <t>user2478@example.com</t>
  </si>
  <si>
    <t>C01084</t>
  </si>
  <si>
    <t>user1084@example.com</t>
  </si>
  <si>
    <t>139 227 7304</t>
  </si>
  <si>
    <t>C03613</t>
  </si>
  <si>
    <t>user3613@example.com</t>
  </si>
  <si>
    <t>839.842.9656</t>
  </si>
  <si>
    <t>C04794</t>
  </si>
  <si>
    <t>user4794@example.com</t>
  </si>
  <si>
    <t>490.165.3431</t>
  </si>
  <si>
    <t>C04524</t>
  </si>
  <si>
    <t>user4524@example.com</t>
  </si>
  <si>
    <t>669 629 1728</t>
  </si>
  <si>
    <t>C01295</t>
  </si>
  <si>
    <t>user1295@example.com</t>
  </si>
  <si>
    <t>463 109 2660</t>
  </si>
  <si>
    <t>user1810@example.com</t>
  </si>
  <si>
    <t>C00792</t>
  </si>
  <si>
    <t>user792@example.com</t>
  </si>
  <si>
    <t>666 516 2072</t>
  </si>
  <si>
    <t>C00793</t>
  </si>
  <si>
    <t>user793@example.com</t>
  </si>
  <si>
    <t>129 517 4829</t>
  </si>
  <si>
    <t>C04128</t>
  </si>
  <si>
    <t>user4128@example.com</t>
  </si>
  <si>
    <t>(714) 786-7938</t>
  </si>
  <si>
    <t>C01856</t>
  </si>
  <si>
    <t>user1856@example.com</t>
  </si>
  <si>
    <t>733 158 9944</t>
  </si>
  <si>
    <t>C04773</t>
  </si>
  <si>
    <t>user4773@example.com</t>
  </si>
  <si>
    <t>863.326.6036</t>
  </si>
  <si>
    <t>C01981</t>
  </si>
  <si>
    <t>user1981@example.com</t>
  </si>
  <si>
    <t>944.444.2765</t>
  </si>
  <si>
    <t>C03234</t>
  </si>
  <si>
    <t>user3234@example.com</t>
  </si>
  <si>
    <t>(271) 149-8685</t>
  </si>
  <si>
    <t>C03933</t>
  </si>
  <si>
    <t>user3933@example.com</t>
  </si>
  <si>
    <t>C03407</t>
  </si>
  <si>
    <t>user3407@example.com</t>
  </si>
  <si>
    <t>C03329</t>
  </si>
  <si>
    <t>user3329@example.com</t>
  </si>
  <si>
    <t>C01531</t>
  </si>
  <si>
    <t>user1531@example.com</t>
  </si>
  <si>
    <t>245-170-5487</t>
  </si>
  <si>
    <t>C01411</t>
  </si>
  <si>
    <t>user1411@example.com</t>
  </si>
  <si>
    <t>(461) 771-5699</t>
  </si>
  <si>
    <t>C04309</t>
  </si>
  <si>
    <t>user4309@example.com</t>
  </si>
  <si>
    <t>C04664</t>
  </si>
  <si>
    <t>user4664@example.com</t>
  </si>
  <si>
    <t>C00869</t>
  </si>
  <si>
    <t>user869@example.com</t>
  </si>
  <si>
    <t>C02351</t>
  </si>
  <si>
    <t>user2351@example.com</t>
  </si>
  <si>
    <t>931.507.1653</t>
  </si>
  <si>
    <t>C00021</t>
  </si>
  <si>
    <t>user21@example.com</t>
  </si>
  <si>
    <t>C04358</t>
  </si>
  <si>
    <t>user4358@example.com</t>
  </si>
  <si>
    <t>C02796</t>
  </si>
  <si>
    <t>user2796@example.com</t>
  </si>
  <si>
    <t>781.508.3180</t>
  </si>
  <si>
    <t>C04587</t>
  </si>
  <si>
    <t>user4587@example.com</t>
  </si>
  <si>
    <t>C01563</t>
  </si>
  <si>
    <t>user1563@example.com</t>
  </si>
  <si>
    <t>608-867-9924</t>
  </si>
  <si>
    <t>C03094</t>
  </si>
  <si>
    <t>user3094@example.com</t>
  </si>
  <si>
    <t>303-593-8966</t>
  </si>
  <si>
    <t>C03156</t>
  </si>
  <si>
    <t>user3156@example.com</t>
  </si>
  <si>
    <t>695 632 3841</t>
  </si>
  <si>
    <t>C00974</t>
  </si>
  <si>
    <t>user974@example.com</t>
  </si>
  <si>
    <t>275-434-7731</t>
  </si>
  <si>
    <t>C01711</t>
  </si>
  <si>
    <t>user1711@example.com</t>
  </si>
  <si>
    <t>C03202</t>
  </si>
  <si>
    <t>(421) 461-7637</t>
  </si>
  <si>
    <t>C04006</t>
  </si>
  <si>
    <t>user4006@example.com</t>
  </si>
  <si>
    <t>489 445 4414</t>
  </si>
  <si>
    <t>C04835</t>
  </si>
  <si>
    <t>user4835@example.com</t>
  </si>
  <si>
    <t>510.687.2766</t>
  </si>
  <si>
    <t>user1099@example.com</t>
  </si>
  <si>
    <t>(949) 537-5143</t>
  </si>
  <si>
    <t>C04175</t>
  </si>
  <si>
    <t>user4175@example.com</t>
  </si>
  <si>
    <t>user2845@example.com</t>
  </si>
  <si>
    <t>559.543.6529</t>
  </si>
  <si>
    <t>C00887</t>
  </si>
  <si>
    <t>user887@example.com</t>
  </si>
  <si>
    <t>449-293-8794</t>
  </si>
  <si>
    <t>C04947</t>
  </si>
  <si>
    <t>user4947@example.com</t>
  </si>
  <si>
    <t>391-267-5144</t>
  </si>
  <si>
    <t>C03703</t>
  </si>
  <si>
    <t>user3703@example.com</t>
  </si>
  <si>
    <t>C04595</t>
  </si>
  <si>
    <t>user4595@example.com</t>
  </si>
  <si>
    <t>823-954-6993</t>
  </si>
  <si>
    <t>C03590</t>
  </si>
  <si>
    <t>user3590@example.com</t>
  </si>
  <si>
    <t>(916) 375-9383</t>
  </si>
  <si>
    <t>C04416</t>
  </si>
  <si>
    <t>user4416@example.com</t>
  </si>
  <si>
    <t>C00516</t>
  </si>
  <si>
    <t>user516@example.com</t>
  </si>
  <si>
    <t>608.192.4900</t>
  </si>
  <si>
    <t>C04636</t>
  </si>
  <si>
    <t>215-609-4178</t>
  </si>
  <si>
    <t>C00738</t>
  </si>
  <si>
    <t>user738@example.com</t>
  </si>
  <si>
    <t>163-535-3130</t>
  </si>
  <si>
    <t>C01454</t>
  </si>
  <si>
    <t>C03996</t>
  </si>
  <si>
    <t>user3996@example.com</t>
  </si>
  <si>
    <t>(261) 220-8542</t>
  </si>
  <si>
    <t>C04716</t>
  </si>
  <si>
    <t>user4716@example.com</t>
  </si>
  <si>
    <t>179-679-6606</t>
  </si>
  <si>
    <t>C02507</t>
  </si>
  <si>
    <t>user2507@example.com</t>
  </si>
  <si>
    <t>244-967-5079</t>
  </si>
  <si>
    <t>C02995</t>
  </si>
  <si>
    <t>user2995@example.com</t>
  </si>
  <si>
    <t>496-923-2748</t>
  </si>
  <si>
    <t>C02127</t>
  </si>
  <si>
    <t>user2127@example.com</t>
  </si>
  <si>
    <t>C02927</t>
  </si>
  <si>
    <t>user2927@example.com</t>
  </si>
  <si>
    <t>749.587.5596</t>
  </si>
  <si>
    <t>C04761</t>
  </si>
  <si>
    <t>user4761@example.com</t>
  </si>
  <si>
    <t>C00907</t>
  </si>
  <si>
    <t>user907@example.com</t>
  </si>
  <si>
    <t>770 906 2818</t>
  </si>
  <si>
    <t>C03672</t>
  </si>
  <si>
    <t>user3672@example.com</t>
  </si>
  <si>
    <t>(632) 648-7672</t>
  </si>
  <si>
    <t>C01031</t>
  </si>
  <si>
    <t>user1031@example.com</t>
  </si>
  <si>
    <t>(167) 773-5562</t>
  </si>
  <si>
    <t>(678) 109-3096</t>
  </si>
  <si>
    <t>C02429</t>
  </si>
  <si>
    <t>user2429@example.com</t>
  </si>
  <si>
    <t>415 535 7447</t>
  </si>
  <si>
    <t>C00948</t>
  </si>
  <si>
    <t>user948@example.com</t>
  </si>
  <si>
    <t>C03831</t>
  </si>
  <si>
    <t>C04092</t>
  </si>
  <si>
    <t>user4092@example.com</t>
  </si>
  <si>
    <t>754 329 2066</t>
  </si>
  <si>
    <t>user716@example.com</t>
  </si>
  <si>
    <t>759 310 9919</t>
  </si>
  <si>
    <t>C04564</t>
  </si>
  <si>
    <t>user4564@example.com</t>
  </si>
  <si>
    <t>266 254 2329</t>
  </si>
  <si>
    <t>C00687</t>
  </si>
  <si>
    <t>C00704</t>
  </si>
  <si>
    <t>user704@example.com</t>
  </si>
  <si>
    <t>523 519 8516</t>
  </si>
  <si>
    <t>C03342</t>
  </si>
  <si>
    <t>user3342@example.com</t>
  </si>
  <si>
    <t>C02354</t>
  </si>
  <si>
    <t>user2354@example.com</t>
  </si>
  <si>
    <t>906 227 2697</t>
  </si>
  <si>
    <t>C02258</t>
  </si>
  <si>
    <t>user2258@example.com</t>
  </si>
  <si>
    <t>364 859 2899</t>
  </si>
  <si>
    <t>user3574@example.com</t>
  </si>
  <si>
    <t>C00474</t>
  </si>
  <si>
    <t>user474@example.com</t>
  </si>
  <si>
    <t>812-580-1364</t>
  </si>
  <si>
    <t>252-387-1510</t>
  </si>
  <si>
    <t>C02753</t>
  </si>
  <si>
    <t>user2753@example.com</t>
  </si>
  <si>
    <t>(188) 668-9158</t>
  </si>
  <si>
    <t>C00886</t>
  </si>
  <si>
    <t>C02449</t>
  </si>
  <si>
    <t>user2449@example.com</t>
  </si>
  <si>
    <t>C00918</t>
  </si>
  <si>
    <t>user918@example.com</t>
  </si>
  <si>
    <t>(844) 183-8711</t>
  </si>
  <si>
    <t>C03782</t>
  </si>
  <si>
    <t>user3782@example.com</t>
  </si>
  <si>
    <t>C04442</t>
  </si>
  <si>
    <t>user4442@example.com</t>
  </si>
  <si>
    <t>C02240</t>
  </si>
  <si>
    <t>user2240@example.com</t>
  </si>
  <si>
    <t>C03869</t>
  </si>
  <si>
    <t>user3869@example.com</t>
  </si>
  <si>
    <t>C03396</t>
  </si>
  <si>
    <t>user3396@example.com</t>
  </si>
  <si>
    <t>464-907-2507</t>
  </si>
  <si>
    <t>C01078</t>
  </si>
  <si>
    <t>user1266@example.com</t>
  </si>
  <si>
    <t>C04352</t>
  </si>
  <si>
    <t>user4352@example.com</t>
  </si>
  <si>
    <t>115 409 2288</t>
  </si>
  <si>
    <t>C02964</t>
  </si>
  <si>
    <t>user2964@example.com</t>
  </si>
  <si>
    <t>165 169 3292</t>
  </si>
  <si>
    <t>C01220</t>
  </si>
  <si>
    <t>user1220@example.com</t>
  </si>
  <si>
    <t>140-231-4378</t>
  </si>
  <si>
    <t>user278@example.com</t>
  </si>
  <si>
    <t>user989@example.com</t>
  </si>
  <si>
    <t>355 283 8079</t>
  </si>
  <si>
    <t>C02085</t>
  </si>
  <si>
    <t>user2085@example.com</t>
  </si>
  <si>
    <t>C01246</t>
  </si>
  <si>
    <t>user1246@example.com</t>
  </si>
  <si>
    <t>800-661-7664</t>
  </si>
  <si>
    <t>C02383</t>
  </si>
  <si>
    <t>user2383@example.com</t>
  </si>
  <si>
    <t>570 683 1199</t>
  </si>
  <si>
    <t>user572@example.com</t>
  </si>
  <si>
    <t>809.507.4476</t>
  </si>
  <si>
    <t>C01436</t>
  </si>
  <si>
    <t>user1436@example.com</t>
  </si>
  <si>
    <t>694-832-7911</t>
  </si>
  <si>
    <t>C00994</t>
  </si>
  <si>
    <t>user994@example.com</t>
  </si>
  <si>
    <t>782.168.4559</t>
  </si>
  <si>
    <t>C03474</t>
  </si>
  <si>
    <t>user3474@example.com</t>
  </si>
  <si>
    <t>386.281.7982</t>
  </si>
  <si>
    <t>C03956</t>
  </si>
  <si>
    <t>user3956@example.com</t>
  </si>
  <si>
    <t>225 600 8586</t>
  </si>
  <si>
    <t>C00586</t>
  </si>
  <si>
    <t>user586@example.com</t>
  </si>
  <si>
    <t>997.369.5321</t>
  </si>
  <si>
    <t>C03683</t>
  </si>
  <si>
    <t>user3683@example.com</t>
  </si>
  <si>
    <t>279-886-4581</t>
  </si>
  <si>
    <t>C02515</t>
  </si>
  <si>
    <t>user2515@example.com</t>
  </si>
  <si>
    <t>user1350@example.com</t>
  </si>
  <si>
    <t>842.585.4309</t>
  </si>
  <si>
    <t>C01008</t>
  </si>
  <si>
    <t>user1008@example.com</t>
  </si>
  <si>
    <t>C00675</t>
  </si>
  <si>
    <t>user675@example.com</t>
  </si>
  <si>
    <t>C02413</t>
  </si>
  <si>
    <t>user2413@example.com</t>
  </si>
  <si>
    <t>C02904</t>
  </si>
  <si>
    <t>user2904@example.com</t>
  </si>
  <si>
    <t>490.991.3447</t>
  </si>
  <si>
    <t>user448@example.com</t>
  </si>
  <si>
    <t>777.609.9032</t>
  </si>
  <si>
    <t>C03495</t>
  </si>
  <si>
    <t>user3495@example.com</t>
  </si>
  <si>
    <t>C03783</t>
  </si>
  <si>
    <t>user3783@example.com</t>
  </si>
  <si>
    <t>401 622 1704</t>
  </si>
  <si>
    <t>C03728</t>
  </si>
  <si>
    <t>user3728@example.com</t>
  </si>
  <si>
    <t>C00360</t>
  </si>
  <si>
    <t>user360@example.com</t>
  </si>
  <si>
    <t>954.699.5979</t>
  </si>
  <si>
    <t>user2065@example.com</t>
  </si>
  <si>
    <t>136-965-1328</t>
  </si>
  <si>
    <t>C04464</t>
  </si>
  <si>
    <t>user4464@example.com</t>
  </si>
  <si>
    <t>999-319-8019</t>
  </si>
  <si>
    <t>user3835@example.com</t>
  </si>
  <si>
    <t>C01691</t>
  </si>
  <si>
    <t>user1691@example.com</t>
  </si>
  <si>
    <t>C04341</t>
  </si>
  <si>
    <t>user4341@example.com</t>
  </si>
  <si>
    <t>user1549@example.com</t>
  </si>
  <si>
    <t>813 659 3721</t>
  </si>
  <si>
    <t>C01248</t>
  </si>
  <si>
    <t>user1248@example.com</t>
  </si>
  <si>
    <t>441.896.5476</t>
  </si>
  <si>
    <t>C01986</t>
  </si>
  <si>
    <t>user1986@example.com</t>
  </si>
  <si>
    <t>875.588.3205</t>
  </si>
  <si>
    <t>C00295</t>
  </si>
  <si>
    <t>461.373.9250</t>
  </si>
  <si>
    <t>C01548</t>
  </si>
  <si>
    <t>user1548@example.com</t>
  </si>
  <si>
    <t>323-863-4074</t>
  </si>
  <si>
    <t>C02013</t>
  </si>
  <si>
    <t>user2013@example.com</t>
  </si>
  <si>
    <t>922.180.4644</t>
  </si>
  <si>
    <t>C00589</t>
  </si>
  <si>
    <t>user589@example.com</t>
  </si>
  <si>
    <t>C03330</t>
  </si>
  <si>
    <t>user3330@example.com</t>
  </si>
  <si>
    <t>972 446 3667</t>
  </si>
  <si>
    <t>C02404</t>
  </si>
  <si>
    <t>user2404@example.com</t>
  </si>
  <si>
    <t>837-553-4191</t>
  </si>
  <si>
    <t>C02130</t>
  </si>
  <si>
    <t>user2130@example.com</t>
  </si>
  <si>
    <t>706-256-2687</t>
  </si>
  <si>
    <t>C04403</t>
  </si>
  <si>
    <t>user2411@example.com</t>
  </si>
  <si>
    <t>C02720</t>
  </si>
  <si>
    <t>C04569</t>
  </si>
  <si>
    <t>339 817 7455</t>
  </si>
  <si>
    <t>C00261</t>
  </si>
  <si>
    <t>user426@example.com</t>
  </si>
  <si>
    <t>(977) 171-8793</t>
  </si>
  <si>
    <t>C02583</t>
  </si>
  <si>
    <t>user2583@example.com</t>
  </si>
  <si>
    <t>C01055</t>
  </si>
  <si>
    <t>348.310.9836</t>
  </si>
  <si>
    <t>C03991</t>
  </si>
  <si>
    <t>690-525-8702</t>
  </si>
  <si>
    <t>C04577</t>
  </si>
  <si>
    <t>user4577@example.com</t>
  </si>
  <si>
    <t>762.719.7175</t>
  </si>
  <si>
    <t>C00557</t>
  </si>
  <si>
    <t>user557@example.com</t>
  </si>
  <si>
    <t>C04373</t>
  </si>
  <si>
    <t>user4373@example.com</t>
  </si>
  <si>
    <t>C04051</t>
  </si>
  <si>
    <t>user4051@example.com</t>
  </si>
  <si>
    <t>C04728</t>
  </si>
  <si>
    <t>C02470</t>
  </si>
  <si>
    <t>user2470@example.com</t>
  </si>
  <si>
    <t>C04726</t>
  </si>
  <si>
    <t>user4726@example.com</t>
  </si>
  <si>
    <t>(414) 175-4306</t>
  </si>
  <si>
    <t>C00102</t>
  </si>
  <si>
    <t>user356@example.com</t>
  </si>
  <si>
    <t>279 669 8571</t>
  </si>
  <si>
    <t>C01194</t>
  </si>
  <si>
    <t>user1194@example.com</t>
  </si>
  <si>
    <t>843.976.2670</t>
  </si>
  <si>
    <t>C01717</t>
  </si>
  <si>
    <t>user1717@example.com</t>
  </si>
  <si>
    <t>782-585-8011</t>
  </si>
  <si>
    <t>C03417</t>
  </si>
  <si>
    <t>user3417@example.com</t>
  </si>
  <si>
    <t>739-930-1532</t>
  </si>
  <si>
    <t>C02605</t>
  </si>
  <si>
    <t>C04669</t>
  </si>
  <si>
    <t>user4669@example.com</t>
  </si>
  <si>
    <t>394-472-8760</t>
  </si>
  <si>
    <t>C02829</t>
  </si>
  <si>
    <t>user2829@example.com</t>
  </si>
  <si>
    <t>(490) 584-7215</t>
  </si>
  <si>
    <t>C01705</t>
  </si>
  <si>
    <t>user1705@example.com</t>
  </si>
  <si>
    <t>689-372-4911</t>
  </si>
  <si>
    <t>C02676</t>
  </si>
  <si>
    <t>(696) 741-8549</t>
  </si>
  <si>
    <t>C02619</t>
  </si>
  <si>
    <t>user2619@example.com</t>
  </si>
  <si>
    <t>354.383.8307</t>
  </si>
  <si>
    <t>C02401</t>
  </si>
  <si>
    <t>user2401@example.com</t>
  </si>
  <si>
    <t>C02140</t>
  </si>
  <si>
    <t>user2140@example.com</t>
  </si>
  <si>
    <t>user3240@example.com</t>
  </si>
  <si>
    <t>239 100 5705</t>
  </si>
  <si>
    <t>C02384</t>
  </si>
  <si>
    <t>user2384@example.com</t>
  </si>
  <si>
    <t>C03219</t>
  </si>
  <si>
    <t>252 400 3320</t>
  </si>
  <si>
    <t>C03769</t>
  </si>
  <si>
    <t>user3769@example.com</t>
  </si>
  <si>
    <t>(453) 510-2781</t>
  </si>
  <si>
    <t>C01286</t>
  </si>
  <si>
    <t>215.446.5092</t>
  </si>
  <si>
    <t>C03821</t>
  </si>
  <si>
    <t>(229) 138-6421</t>
  </si>
  <si>
    <t>C03865</t>
  </si>
  <si>
    <t>user3865@example.com</t>
  </si>
  <si>
    <t>C04483</t>
  </si>
  <si>
    <t>569 486 3575</t>
  </si>
  <si>
    <t>C02088</t>
  </si>
  <si>
    <t>user2088@example.com</t>
  </si>
  <si>
    <t>C01890</t>
  </si>
  <si>
    <t>C03529</t>
  </si>
  <si>
    <t>777-560-4696</t>
  </si>
  <si>
    <t>C01592</t>
  </si>
  <si>
    <t>user1592@example.com</t>
  </si>
  <si>
    <t>749 746 6867</t>
  </si>
  <si>
    <t>C01347</t>
  </si>
  <si>
    <t>user1347@example.com</t>
  </si>
  <si>
    <t>700-770-4120</t>
  </si>
  <si>
    <t>C04446</t>
  </si>
  <si>
    <t>user4446@example.com</t>
  </si>
  <si>
    <t>(286) 548-6140</t>
  </si>
  <si>
    <t>C02163</t>
  </si>
  <si>
    <t>user2163@example.com</t>
  </si>
  <si>
    <t>C02397</t>
  </si>
  <si>
    <t>user2397@example.com</t>
  </si>
  <si>
    <t>(349) 699-8819</t>
  </si>
  <si>
    <t>C03668</t>
  </si>
  <si>
    <t>user3668@example.com</t>
  </si>
  <si>
    <t>user2272@example.com</t>
  </si>
  <si>
    <t>432 404 1583</t>
  </si>
  <si>
    <t>C04505</t>
  </si>
  <si>
    <t>user4505@example.com</t>
  </si>
  <si>
    <t>(963) 346-7866</t>
  </si>
  <si>
    <t>C03112</t>
  </si>
  <si>
    <t>C01138</t>
  </si>
  <si>
    <t>user1138@example.com</t>
  </si>
  <si>
    <t>C03920</t>
  </si>
  <si>
    <t>user3920@example.com</t>
  </si>
  <si>
    <t>C00973</t>
  </si>
  <si>
    <t>user973@example.com</t>
  </si>
  <si>
    <t>158 477 9495</t>
  </si>
  <si>
    <t>C00796</t>
  </si>
  <si>
    <t>user796@example.com</t>
  </si>
  <si>
    <t>681.516.8306</t>
  </si>
  <si>
    <t>user3021@example.com</t>
  </si>
  <si>
    <t>C01712</t>
  </si>
  <si>
    <t>user1712@example.com</t>
  </si>
  <si>
    <t>C03388</t>
  </si>
  <si>
    <t>user3388@example.com</t>
  </si>
  <si>
    <t>883-395-6070</t>
  </si>
  <si>
    <t>C00037</t>
  </si>
  <si>
    <t>user37@example.com</t>
  </si>
  <si>
    <t>(841) 137-8526</t>
  </si>
  <si>
    <t>C00454</t>
  </si>
  <si>
    <t>user454@example.com</t>
  </si>
  <si>
    <t>user914@example.com</t>
  </si>
  <si>
    <t>881-730-4098</t>
  </si>
  <si>
    <t>C04103</t>
  </si>
  <si>
    <t>user4103@example.com</t>
  </si>
  <si>
    <t>(541) 968-3286</t>
  </si>
  <si>
    <t>user1200@example.com</t>
  </si>
  <si>
    <t>(134) 221-4946</t>
  </si>
  <si>
    <t>C01275</t>
  </si>
  <si>
    <t>C02376</t>
  </si>
  <si>
    <t>user2376@example.com</t>
  </si>
  <si>
    <t>C00038</t>
  </si>
  <si>
    <t>830 985 9558</t>
  </si>
  <si>
    <t>C00975</t>
  </si>
  <si>
    <t>user975@example.com</t>
  </si>
  <si>
    <t>260 213 3115</t>
  </si>
  <si>
    <t>C03196</t>
  </si>
  <si>
    <t>user3196@example.com</t>
  </si>
  <si>
    <t>C00984</t>
  </si>
  <si>
    <t>user984@example.com</t>
  </si>
  <si>
    <t>682.602.8539</t>
  </si>
  <si>
    <t>C03929</t>
  </si>
  <si>
    <t>user3929@example.com</t>
  </si>
  <si>
    <t>856 108 2472</t>
  </si>
  <si>
    <t>C04094</t>
  </si>
  <si>
    <t>user4094@example.com</t>
  </si>
  <si>
    <t>C01419</t>
  </si>
  <si>
    <t>user1419@example.com</t>
  </si>
  <si>
    <t>(783) 803-5940</t>
  </si>
  <si>
    <t>C03333</t>
  </si>
  <si>
    <t>C01561</t>
  </si>
  <si>
    <t>925-957-2700</t>
  </si>
  <si>
    <t>C00040</t>
  </si>
  <si>
    <t>user40@example.com</t>
  </si>
  <si>
    <t>C01487</t>
  </si>
  <si>
    <t>user1487@example.com</t>
  </si>
  <si>
    <t>700 989 1612</t>
  </si>
  <si>
    <t>C03908</t>
  </si>
  <si>
    <t>user3908@example.com</t>
  </si>
  <si>
    <t>989.424.2134</t>
  </si>
  <si>
    <t>user170@example.com</t>
  </si>
  <si>
    <t>265.899.2212</t>
  </si>
  <si>
    <t>C01356</t>
  </si>
  <si>
    <t>C02786</t>
  </si>
  <si>
    <t>user2786@example.com</t>
  </si>
  <si>
    <t>329.247.5699</t>
  </si>
  <si>
    <t>C03657</t>
  </si>
  <si>
    <t>user4764@example.com</t>
  </si>
  <si>
    <t>C04029</t>
  </si>
  <si>
    <t>user4029@example.com</t>
  </si>
  <si>
    <t>336 670 9107</t>
  </si>
  <si>
    <t>C02683</t>
  </si>
  <si>
    <t>user2683@example.com</t>
  </si>
  <si>
    <t>C04720</t>
  </si>
  <si>
    <t>user4720@example.com</t>
  </si>
  <si>
    <t>660 608 6861</t>
  </si>
  <si>
    <t>C04050</t>
  </si>
  <si>
    <t>user4050@example.com</t>
  </si>
  <si>
    <t>925-854-7759</t>
  </si>
  <si>
    <t>C01641</t>
  </si>
  <si>
    <t>user1641@example.com</t>
  </si>
  <si>
    <t>C01291</t>
  </si>
  <si>
    <t>574-732-8999</t>
  </si>
  <si>
    <t>C01381</t>
  </si>
  <si>
    <t>user1381@example.com</t>
  </si>
  <si>
    <t>C01934</t>
  </si>
  <si>
    <t>C00580</t>
  </si>
  <si>
    <t>user580@example.com</t>
  </si>
  <si>
    <t>273.615.9074</t>
  </si>
  <si>
    <t>C04234</t>
  </si>
  <si>
    <t>user4234@example.com</t>
  </si>
  <si>
    <t>C03161</t>
  </si>
  <si>
    <t>user3161@example.com</t>
  </si>
  <si>
    <t>351.501.8935</t>
  </si>
  <si>
    <t>user2031@example.com</t>
  </si>
  <si>
    <t>C00893</t>
  </si>
  <si>
    <t>C03976</t>
  </si>
  <si>
    <t>user3976@example.com</t>
  </si>
  <si>
    <t>800.315.7098</t>
  </si>
  <si>
    <t>C00781</t>
  </si>
  <si>
    <t>247.287.5187</t>
  </si>
  <si>
    <t>C00160</t>
  </si>
  <si>
    <t>user160@example.com</t>
  </si>
  <si>
    <t>324.842.5641</t>
  </si>
  <si>
    <t>927 284 4812</t>
  </si>
  <si>
    <t>C02264</t>
  </si>
  <si>
    <t>user2264@example.com</t>
  </si>
  <si>
    <t>445-824-5224</t>
  </si>
  <si>
    <t>C03217</t>
  </si>
  <si>
    <t>user3217@example.com</t>
  </si>
  <si>
    <t>730-812-1820</t>
  </si>
  <si>
    <t>C02110</t>
  </si>
  <si>
    <t>user2110@example.com</t>
  </si>
  <si>
    <t>C00850</t>
  </si>
  <si>
    <t>user850@example.com</t>
  </si>
  <si>
    <t>C02738</t>
  </si>
  <si>
    <t>C02467</t>
  </si>
  <si>
    <t>687-579-4127</t>
  </si>
  <si>
    <t>user3721@example.com</t>
  </si>
  <si>
    <t>C03675</t>
  </si>
  <si>
    <t>user3675@example.com</t>
  </si>
  <si>
    <t>909 861 1759</t>
  </si>
  <si>
    <t>C01597</t>
  </si>
  <si>
    <t>247-742-1379</t>
  </si>
  <si>
    <t>C01777</t>
  </si>
  <si>
    <t>(694) 624-7113</t>
  </si>
  <si>
    <t>C01914</t>
  </si>
  <si>
    <t>user1914@example.com</t>
  </si>
  <si>
    <t>266.490.8656</t>
  </si>
  <si>
    <t>C01044</t>
  </si>
  <si>
    <t>user1044@example.com</t>
  </si>
  <si>
    <t>(121) 731-3032</t>
  </si>
  <si>
    <t>C04729</t>
  </si>
  <si>
    <t>user4729@example.com</t>
  </si>
  <si>
    <t>C01545</t>
  </si>
  <si>
    <t>user1545@example.com</t>
  </si>
  <si>
    <t>C02737</t>
  </si>
  <si>
    <t>user2737@example.com</t>
  </si>
  <si>
    <t>(245) 713-5033</t>
  </si>
  <si>
    <t>C04620</t>
  </si>
  <si>
    <t>user4620@example.com</t>
  </si>
  <si>
    <t>C04633</t>
  </si>
  <si>
    <t>user4633@example.com</t>
  </si>
  <si>
    <t>user54@example.com</t>
  </si>
  <si>
    <t>727.446.9856</t>
  </si>
  <si>
    <t>C01797</t>
  </si>
  <si>
    <t>user1797@example.com</t>
  </si>
  <si>
    <t>C03589</t>
  </si>
  <si>
    <t>user3589@example.com</t>
  </si>
  <si>
    <t>C01912</t>
  </si>
  <si>
    <t>user1912@example.com</t>
  </si>
  <si>
    <t>C02307</t>
  </si>
  <si>
    <t>user2307@example.com</t>
  </si>
  <si>
    <t>C02554</t>
  </si>
  <si>
    <t>(196) 332-8494</t>
  </si>
  <si>
    <t>C02801</t>
  </si>
  <si>
    <t>user2801@example.com</t>
  </si>
  <si>
    <t>759.414.4498</t>
  </si>
  <si>
    <t>user937@example.com</t>
  </si>
  <si>
    <t>C04141</t>
  </si>
  <si>
    <t>user4141@example.com</t>
  </si>
  <si>
    <t>(399) 755-1740</t>
  </si>
  <si>
    <t>C00825</t>
  </si>
  <si>
    <t>user825@example.com</t>
  </si>
  <si>
    <t>573-479-4161</t>
  </si>
  <si>
    <t>C04749</t>
  </si>
  <si>
    <t>user4749@example.com</t>
  </si>
  <si>
    <t>413 416 9925</t>
  </si>
  <si>
    <t>user3179@example.com</t>
  </si>
  <si>
    <t>(733) 718-5370</t>
  </si>
  <si>
    <t>C03402</t>
  </si>
  <si>
    <t>(590) 875-6757</t>
  </si>
  <si>
    <t>user1390@example.com</t>
  </si>
  <si>
    <t>266.281.7458</t>
  </si>
  <si>
    <t>C03565</t>
  </si>
  <si>
    <t>user3565@example.com</t>
  </si>
  <si>
    <t>268 797 5527</t>
  </si>
  <si>
    <t>C04892</t>
  </si>
  <si>
    <t>user4892@example.com</t>
  </si>
  <si>
    <t>C00885</t>
  </si>
  <si>
    <t>user885@example.com</t>
  </si>
  <si>
    <t>452 300 4282</t>
  </si>
  <si>
    <t>C03830</t>
  </si>
  <si>
    <t>user3830@example.com</t>
  </si>
  <si>
    <t>465-283-4854</t>
  </si>
  <si>
    <t>C01608</t>
  </si>
  <si>
    <t>C01595</t>
  </si>
  <si>
    <t>C00772</t>
  </si>
  <si>
    <t>user772@example.com</t>
  </si>
  <si>
    <t>C02612</t>
  </si>
  <si>
    <t>508-932-8074</t>
  </si>
  <si>
    <t>C03879</t>
  </si>
  <si>
    <t>user3879@example.com</t>
  </si>
  <si>
    <t>C02274</t>
  </si>
  <si>
    <t>user2274@example.com</t>
  </si>
  <si>
    <t>C01869</t>
  </si>
  <si>
    <t>user1869@example.com</t>
  </si>
  <si>
    <t>410 900 4731</t>
  </si>
  <si>
    <t>C01086</t>
  </si>
  <si>
    <t>user1086@example.com</t>
  </si>
  <si>
    <t>889.869.6711</t>
  </si>
  <si>
    <t>C00011</t>
  </si>
  <si>
    <t>user11@example.com</t>
  </si>
  <si>
    <t>618.663.6307</t>
  </si>
  <si>
    <t>C03636</t>
  </si>
  <si>
    <t>(948) 638-5222</t>
  </si>
  <si>
    <t>C01326</t>
  </si>
  <si>
    <t>user1326@example.com</t>
  </si>
  <si>
    <t>(223) 235-7574</t>
  </si>
  <si>
    <t>C03391</t>
  </si>
  <si>
    <t>345-167-5424</t>
  </si>
  <si>
    <t>C01464</t>
  </si>
  <si>
    <t>C00807</t>
  </si>
  <si>
    <t>user807@example.com</t>
  </si>
  <si>
    <t>C03760</t>
  </si>
  <si>
    <t>user3760@example.com</t>
  </si>
  <si>
    <t>C04010</t>
  </si>
  <si>
    <t>(202) 192-5660</t>
  </si>
  <si>
    <t>C03796</t>
  </si>
  <si>
    <t>user3796@example.com</t>
  </si>
  <si>
    <t>987 946 4795</t>
  </si>
  <si>
    <t>C02109</t>
  </si>
  <si>
    <t>user2109@example.com</t>
  </si>
  <si>
    <t>403-220-8134</t>
  </si>
  <si>
    <t>C04640</t>
  </si>
  <si>
    <t>user4640@example.com</t>
  </si>
  <si>
    <t>996.859.3418</t>
  </si>
  <si>
    <t>C04972</t>
  </si>
  <si>
    <t>user4972@example.com</t>
  </si>
  <si>
    <t>C02235</t>
  </si>
  <si>
    <t>C03212</t>
  </si>
  <si>
    <t>user3212@example.com</t>
  </si>
  <si>
    <t>475.366.8840</t>
  </si>
  <si>
    <t>C00964</t>
  </si>
  <si>
    <t>C03416</t>
  </si>
  <si>
    <t>606 666 6582</t>
  </si>
  <si>
    <t>user4775@example.com</t>
  </si>
  <si>
    <t>C00399</t>
  </si>
  <si>
    <t>user399@example.com</t>
  </si>
  <si>
    <t>807 881 2830</t>
  </si>
  <si>
    <t>C02633</t>
  </si>
  <si>
    <t>user2633@example.com</t>
  </si>
  <si>
    <t>C04867</t>
  </si>
  <si>
    <t>user4867@example.com</t>
  </si>
  <si>
    <t>503 876 9745</t>
  </si>
  <si>
    <t>C02997</t>
  </si>
  <si>
    <t>user2997@example.com</t>
  </si>
  <si>
    <t>C00705</t>
  </si>
  <si>
    <t>C00432</t>
  </si>
  <si>
    <t>user432@example.com</t>
  </si>
  <si>
    <t>472-303-6548</t>
  </si>
  <si>
    <t>C00293</t>
  </si>
  <si>
    <t>user293@example.com</t>
  </si>
  <si>
    <t>764-589-4437</t>
  </si>
  <si>
    <t>C04883</t>
  </si>
  <si>
    <t>user4883@example.com</t>
  </si>
  <si>
    <t>204 276 3875</t>
  </si>
  <si>
    <t>C00146</t>
  </si>
  <si>
    <t>user146@example.com</t>
  </si>
  <si>
    <t>368 248 9690</t>
  </si>
  <si>
    <t>user4160@example.com</t>
  </si>
  <si>
    <t>700-874-5067</t>
  </si>
  <si>
    <t>C02034</t>
  </si>
  <si>
    <t>user2034@example.com</t>
  </si>
  <si>
    <t>(996) 399-8947</t>
  </si>
  <si>
    <t>C04220</t>
  </si>
  <si>
    <t>211-506-6472</t>
  </si>
  <si>
    <t>C01166</t>
  </si>
  <si>
    <t>user1166@example.com</t>
  </si>
  <si>
    <t>C03501</t>
  </si>
  <si>
    <t>C02051</t>
  </si>
  <si>
    <t>C02625</t>
  </si>
  <si>
    <t>user2625@example.com</t>
  </si>
  <si>
    <t>948.413.2659</t>
  </si>
  <si>
    <t>C04393</t>
  </si>
  <si>
    <t>user4393@example.com</t>
  </si>
  <si>
    <t>C00340</t>
  </si>
  <si>
    <t>user340@example.com</t>
  </si>
  <si>
    <t>(123) 185-9821</t>
  </si>
  <si>
    <t>C03904</t>
  </si>
  <si>
    <t>user3904@example.com</t>
  </si>
  <si>
    <t>126.239.1102</t>
  </si>
  <si>
    <t>C04855</t>
  </si>
  <si>
    <t>933 999 7776</t>
  </si>
  <si>
    <t>C02974</t>
  </si>
  <si>
    <t>user2974@example.com</t>
  </si>
  <si>
    <t>user266@example.com</t>
  </si>
  <si>
    <t>385 114 8014</t>
  </si>
  <si>
    <t>C02425</t>
  </si>
  <si>
    <t>user2425@example.com</t>
  </si>
  <si>
    <t>C01263</t>
  </si>
  <si>
    <t>user1263@example.com</t>
  </si>
  <si>
    <t>842-754-7064</t>
  </si>
  <si>
    <t>C01772</t>
  </si>
  <si>
    <t>user1772@example.com</t>
  </si>
  <si>
    <t>C03512</t>
  </si>
  <si>
    <t>user3512@example.com</t>
  </si>
  <si>
    <t>758.702.8370</t>
  </si>
  <si>
    <t>user272@example.com</t>
  </si>
  <si>
    <t>C00697</t>
  </si>
  <si>
    <t>user697@example.com</t>
  </si>
  <si>
    <t>525 887 1107</t>
  </si>
  <si>
    <t>C00748</t>
  </si>
  <si>
    <t>user748@example.com</t>
  </si>
  <si>
    <t>133 864 3569</t>
  </si>
  <si>
    <t>C00245</t>
  </si>
  <si>
    <t>206-858-1859</t>
  </si>
  <si>
    <t>C00318</t>
  </si>
  <si>
    <t>user318@example.com</t>
  </si>
  <si>
    <t>480 395 1775</t>
  </si>
  <si>
    <t>C00477</t>
  </si>
  <si>
    <t>user477@example.com</t>
  </si>
  <si>
    <t>807-791-4373</t>
  </si>
  <si>
    <t>C02033</t>
  </si>
  <si>
    <t>user2033@example.com</t>
  </si>
  <si>
    <t>C00958</t>
  </si>
  <si>
    <t>user958@example.com</t>
  </si>
  <si>
    <t>C04910</t>
  </si>
  <si>
    <t>user4910@example.com</t>
  </si>
  <si>
    <t>C00814</t>
  </si>
  <si>
    <t>user814@example.com</t>
  </si>
  <si>
    <t>(778) 429-6597</t>
  </si>
  <si>
    <t>C04185</t>
  </si>
  <si>
    <t>user4185@example.com</t>
  </si>
  <si>
    <t>C00521</t>
  </si>
  <si>
    <t>C04618</t>
  </si>
  <si>
    <t>285.494.3007</t>
  </si>
  <si>
    <t>C03488</t>
  </si>
  <si>
    <t>user3488@example.com</t>
  </si>
  <si>
    <t>680-209-4952</t>
  </si>
  <si>
    <t>599-107-3549</t>
  </si>
  <si>
    <t>C04055</t>
  </si>
  <si>
    <t>931-844-7000</t>
  </si>
  <si>
    <t>C01805</t>
  </si>
  <si>
    <t>783.381.7409</t>
  </si>
  <si>
    <t>C00759</t>
  </si>
  <si>
    <t>686 417 8411</t>
  </si>
  <si>
    <t>C00251</t>
  </si>
  <si>
    <t>C02462</t>
  </si>
  <si>
    <t>user2462@example.com</t>
  </si>
  <si>
    <t>user546@example.com</t>
  </si>
  <si>
    <t>(355) 628-3131</t>
  </si>
  <si>
    <t>C03242</t>
  </si>
  <si>
    <t>user3242@example.com</t>
  </si>
  <si>
    <t>user739@example.com</t>
  </si>
  <si>
    <t>319 556 2279</t>
  </si>
  <si>
    <t>C00311</t>
  </si>
  <si>
    <t>user311@example.com</t>
  </si>
  <si>
    <t>293.164.1361</t>
  </si>
  <si>
    <t>C03805</t>
  </si>
  <si>
    <t>341 514 9491</t>
  </si>
  <si>
    <t>C02942</t>
  </si>
  <si>
    <t>user2942@example.com</t>
  </si>
  <si>
    <t>C01132</t>
  </si>
  <si>
    <t>user1132@example.com</t>
  </si>
  <si>
    <t>816.869.5072</t>
  </si>
  <si>
    <t>C01450</t>
  </si>
  <si>
    <t>user1450@example.com</t>
  </si>
  <si>
    <t>250-474-3314</t>
  </si>
  <si>
    <t>C04935</t>
  </si>
  <si>
    <t>913-497-3910</t>
  </si>
  <si>
    <t>user16@example.com</t>
  </si>
  <si>
    <t>(593) 259-8546</t>
  </si>
  <si>
    <t>C03233</t>
  </si>
  <si>
    <t>user3233@example.com</t>
  </si>
  <si>
    <t>C02770</t>
  </si>
  <si>
    <t>user2770@example.com</t>
  </si>
  <si>
    <t>(716) 641-5715</t>
  </si>
  <si>
    <t>C03469</t>
  </si>
  <si>
    <t>user3469@example.com</t>
  </si>
  <si>
    <t>C03030</t>
  </si>
  <si>
    <t>user3030@example.com</t>
  </si>
  <si>
    <t>C01373</t>
  </si>
  <si>
    <t>user1373@example.com</t>
  </si>
  <si>
    <t>(647) 218-1022</t>
  </si>
  <si>
    <t>C03588</t>
  </si>
  <si>
    <t>user3588@example.com</t>
  </si>
  <si>
    <t>C02545</t>
  </si>
  <si>
    <t>(743) 990-7646</t>
  </si>
  <si>
    <t>C03599</t>
  </si>
  <si>
    <t>user3599@example.com</t>
  </si>
  <si>
    <t>(228) 166-1994</t>
  </si>
  <si>
    <t>104-418-1721</t>
  </si>
  <si>
    <t>C00364</t>
  </si>
  <si>
    <t>user364@example.com</t>
  </si>
  <si>
    <t>769-781-5713</t>
  </si>
  <si>
    <t>C04115</t>
  </si>
  <si>
    <t>user4115@example.com</t>
  </si>
  <si>
    <t>C00183</t>
  </si>
  <si>
    <t>user183@example.com</t>
  </si>
  <si>
    <t>(816) 437-7411</t>
  </si>
  <si>
    <t>C03034</t>
  </si>
  <si>
    <t>user3034@example.com</t>
  </si>
  <si>
    <t>C02984</t>
  </si>
  <si>
    <t>user2984@example.com</t>
  </si>
  <si>
    <t>C01195</t>
  </si>
  <si>
    <t>user1195@example.com</t>
  </si>
  <si>
    <t>C02853</t>
  </si>
  <si>
    <t>user2853@example.com</t>
  </si>
  <si>
    <t>922.624.7955</t>
  </si>
  <si>
    <t>C03791</t>
  </si>
  <si>
    <t>user3791@example.com</t>
  </si>
  <si>
    <t>C01122</t>
  </si>
  <si>
    <t>user1122@example.com</t>
  </si>
  <si>
    <t>717 632 5355</t>
  </si>
  <si>
    <t>C02236</t>
  </si>
  <si>
    <t>user2236@example.com</t>
  </si>
  <si>
    <t>231 425 3187</t>
  </si>
  <si>
    <t>C02668</t>
  </si>
  <si>
    <t>651.813.5991</t>
  </si>
  <si>
    <t>C04801</t>
  </si>
  <si>
    <t>user4801@example.com</t>
  </si>
  <si>
    <t>C03224</t>
  </si>
  <si>
    <t>661.581.7934</t>
  </si>
  <si>
    <t>C01183</t>
  </si>
  <si>
    <t>user1183@example.com</t>
  </si>
  <si>
    <t>794 584 6706</t>
  </si>
  <si>
    <t>user4198@example.com</t>
  </si>
  <si>
    <t>C04308</t>
  </si>
  <si>
    <t>user4308@example.com</t>
  </si>
  <si>
    <t>544 488 2877</t>
  </si>
  <si>
    <t>C00615</t>
  </si>
  <si>
    <t>user615@example.com</t>
  </si>
  <si>
    <t>762.870.3525</t>
  </si>
  <si>
    <t>C04924</t>
  </si>
  <si>
    <t>379-687-9756</t>
  </si>
  <si>
    <t>C01467</t>
  </si>
  <si>
    <t>user1467@example.com</t>
  </si>
  <si>
    <t>C00402</t>
  </si>
  <si>
    <t>912-775-9412</t>
  </si>
  <si>
    <t>C03043</t>
  </si>
  <si>
    <t>user3043@example.com</t>
  </si>
  <si>
    <t>C00935</t>
  </si>
  <si>
    <t>user935@example.com</t>
  </si>
  <si>
    <t>379.491.1404</t>
  </si>
  <si>
    <t>C02420</t>
  </si>
  <si>
    <t>user2420@example.com</t>
  </si>
  <si>
    <t>205 801 5916</t>
  </si>
  <si>
    <t>C04054</t>
  </si>
  <si>
    <t>user4054@example.com</t>
  </si>
  <si>
    <t>657-113-9468</t>
  </si>
  <si>
    <t>C04529</t>
  </si>
  <si>
    <t>user4529@example.com</t>
  </si>
  <si>
    <t>C02642</t>
  </si>
  <si>
    <t>user2642@example.com</t>
  </si>
  <si>
    <t>(661) 258-5485</t>
  </si>
  <si>
    <t>C04042</t>
  </si>
  <si>
    <t>C00727</t>
  </si>
  <si>
    <t>user727@example.com</t>
  </si>
  <si>
    <t>C00827</t>
  </si>
  <si>
    <t>user827@example.com</t>
  </si>
  <si>
    <t>796.826.6862</t>
  </si>
  <si>
    <t>C01522</t>
  </si>
  <si>
    <t>user1522@example.com</t>
  </si>
  <si>
    <t>C04760</t>
  </si>
  <si>
    <t>user4760@example.com</t>
  </si>
  <si>
    <t>551 180 2800</t>
  </si>
  <si>
    <t>C02931</t>
  </si>
  <si>
    <t>user2931@example.com</t>
  </si>
  <si>
    <t>623.197.7293</t>
  </si>
  <si>
    <t>C00137</t>
  </si>
  <si>
    <t>user137@example.com</t>
  </si>
  <si>
    <t>451-186-3376</t>
  </si>
  <si>
    <t>C03591</t>
  </si>
  <si>
    <t>user3591@example.com</t>
  </si>
  <si>
    <t>(429) 478-1802</t>
  </si>
  <si>
    <t>C00629</t>
  </si>
  <si>
    <t>user629@example.com</t>
  </si>
  <si>
    <t>C00335</t>
  </si>
  <si>
    <t>user335@example.com</t>
  </si>
  <si>
    <t>C00391</t>
  </si>
  <si>
    <t>user391@example.com</t>
  </si>
  <si>
    <t>(117) 591-6705</t>
  </si>
  <si>
    <t>C04402</t>
  </si>
  <si>
    <t>user4402@example.com</t>
  </si>
  <si>
    <t>C04891</t>
  </si>
  <si>
    <t>user4891@example.com</t>
  </si>
  <si>
    <t>(857) 853-1024</t>
  </si>
  <si>
    <t>C03857</t>
  </si>
  <si>
    <t>user3857@example.com</t>
  </si>
  <si>
    <t>(645) 879-6535</t>
  </si>
  <si>
    <t>C01818</t>
  </si>
  <si>
    <t>user401@example.com</t>
  </si>
  <si>
    <t>143 301 2766</t>
  </si>
  <si>
    <t>C00711</t>
  </si>
  <si>
    <t>user711@example.com</t>
  </si>
  <si>
    <t>C00563</t>
  </si>
  <si>
    <t>C04014</t>
  </si>
  <si>
    <t>user4014@example.com</t>
  </si>
  <si>
    <t>(253) 710-5697</t>
  </si>
  <si>
    <t>C03360</t>
  </si>
  <si>
    <t>user3360@example.com</t>
  </si>
  <si>
    <t>C00047</t>
  </si>
  <si>
    <t>user47@example.com</t>
  </si>
  <si>
    <t>C01562</t>
  </si>
  <si>
    <t>user1562@example.com</t>
  </si>
  <si>
    <t>765-116-7738</t>
  </si>
  <si>
    <t>C04815</t>
  </si>
  <si>
    <t>user4815@example.com</t>
  </si>
  <si>
    <t>516.312.2765</t>
  </si>
  <si>
    <t>C03643</t>
  </si>
  <si>
    <t>321 237 7635</t>
  </si>
  <si>
    <t>C01982</t>
  </si>
  <si>
    <t>user3727@example.com</t>
  </si>
  <si>
    <t>704 881 6877</t>
  </si>
  <si>
    <t>C04859</t>
  </si>
  <si>
    <t>user4859@example.com</t>
  </si>
  <si>
    <t>523.208.3996</t>
  </si>
  <si>
    <t>C01113</t>
  </si>
  <si>
    <t>user1113@example.com</t>
  </si>
  <si>
    <t>741 739 2789</t>
  </si>
  <si>
    <t>user2514@example.com</t>
  </si>
  <si>
    <t>(859) 928-3975</t>
  </si>
  <si>
    <t>C03609</t>
  </si>
  <si>
    <t>user3609@example.com</t>
  </si>
  <si>
    <t>(813) 509-5835</t>
  </si>
  <si>
    <t>C01224</t>
  </si>
  <si>
    <t>user1224@example.com</t>
  </si>
  <si>
    <t>657.275.7931</t>
  </si>
  <si>
    <t>C04085</t>
  </si>
  <si>
    <t>user4085@example.com</t>
  </si>
  <si>
    <t>C03024</t>
  </si>
  <si>
    <t>user3024@example.com</t>
  </si>
  <si>
    <t>(166) 507-7183</t>
  </si>
  <si>
    <t>C02422</t>
  </si>
  <si>
    <t>user2422@example.com</t>
  </si>
  <si>
    <t>260.296.7491</t>
  </si>
  <si>
    <t>C01509</t>
  </si>
  <si>
    <t>user1509@example.com</t>
  </si>
  <si>
    <t>185.798.7769</t>
  </si>
  <si>
    <t>C01751</t>
  </si>
  <si>
    <t>C04853</t>
  </si>
  <si>
    <t>user4853@example.com</t>
  </si>
  <si>
    <t>(777) 916-3169</t>
  </si>
  <si>
    <t>C04110</t>
  </si>
  <si>
    <t>(478) 800-9404</t>
  </si>
  <si>
    <t>C01800</t>
  </si>
  <si>
    <t>249 751 1354</t>
  </si>
  <si>
    <t>C00339</t>
  </si>
  <si>
    <t>user339@example.com</t>
  </si>
  <si>
    <t>C00216</t>
  </si>
  <si>
    <t>user216@example.com</t>
  </si>
  <si>
    <t>930.955.7586</t>
  </si>
  <si>
    <t>C03664</t>
  </si>
  <si>
    <t>user3664@example.com</t>
  </si>
  <si>
    <t>(506) 642-8820</t>
  </si>
  <si>
    <t>C01342</t>
  </si>
  <si>
    <t>469.859.6920</t>
  </si>
  <si>
    <t>C00012</t>
  </si>
  <si>
    <t>user12@example.com</t>
  </si>
  <si>
    <t>216-802-6460</t>
  </si>
  <si>
    <t>C01521</t>
  </si>
  <si>
    <t>718.597.4483</t>
  </si>
  <si>
    <t>user3641@example.com</t>
  </si>
  <si>
    <t>C03962</t>
  </si>
  <si>
    <t>(557) 718-8189</t>
  </si>
  <si>
    <t>C03800</t>
  </si>
  <si>
    <t>user3800@example.com</t>
  </si>
  <si>
    <t>C03005</t>
  </si>
  <si>
    <t>C02865</t>
  </si>
  <si>
    <t>user2865@example.com</t>
  </si>
  <si>
    <t>C03116</t>
  </si>
  <si>
    <t>user3116@example.com</t>
  </si>
  <si>
    <t>480-161-9359</t>
  </si>
  <si>
    <t>C04856</t>
  </si>
  <si>
    <t>user4856@example.com</t>
  </si>
  <si>
    <t>776.659.8578</t>
  </si>
  <si>
    <t>C02323</t>
  </si>
  <si>
    <t>user2323@example.com</t>
  </si>
  <si>
    <t>C02572</t>
  </si>
  <si>
    <t>user2572@example.com</t>
  </si>
  <si>
    <t>176-357-6105</t>
  </si>
  <si>
    <t>user2914@example.com</t>
  </si>
  <si>
    <t>781 161 6789</t>
  </si>
  <si>
    <t>(292) 668-7301</t>
  </si>
  <si>
    <t>C03550</t>
  </si>
  <si>
    <t>user3550@example.com</t>
  </si>
  <si>
    <t>C01459</t>
  </si>
  <si>
    <t>user1459@example.com</t>
  </si>
  <si>
    <t>(615) 264-1178</t>
  </si>
  <si>
    <t>C00172</t>
  </si>
  <si>
    <t>user172@example.com</t>
  </si>
  <si>
    <t>440 161 5230</t>
  </si>
  <si>
    <t>C00108</t>
  </si>
  <si>
    <t>user108@example.com</t>
  </si>
  <si>
    <t>907 812 7974</t>
  </si>
  <si>
    <t>C04210</t>
  </si>
  <si>
    <t>user4210@example.com</t>
  </si>
  <si>
    <t>(114) 939-6091</t>
  </si>
  <si>
    <t>C03570</t>
  </si>
  <si>
    <t>user3570@example.com</t>
  </si>
  <si>
    <t>804-294-8877</t>
  </si>
  <si>
    <t>C04310</t>
  </si>
  <si>
    <t>user4310@example.com</t>
  </si>
  <si>
    <t>C04088</t>
  </si>
  <si>
    <t>user4088@example.com</t>
  </si>
  <si>
    <t>(143) 361-9222</t>
  </si>
  <si>
    <t>C03886</t>
  </si>
  <si>
    <t>user3886@example.com</t>
  </si>
  <si>
    <t>492 730 9670</t>
  </si>
  <si>
    <t>C04136</t>
  </si>
  <si>
    <t>user4136@example.com</t>
  </si>
  <si>
    <t>463-537-1721</t>
  </si>
  <si>
    <t>C04095</t>
  </si>
  <si>
    <t>user4095@example.com</t>
  </si>
  <si>
    <t>C00061</t>
  </si>
  <si>
    <t>user61@example.com</t>
  </si>
  <si>
    <t>873-882-8629</t>
  </si>
  <si>
    <t>C01241</t>
  </si>
  <si>
    <t>user1241@example.com</t>
  </si>
  <si>
    <t>C04653</t>
  </si>
  <si>
    <t>user4653@example.com</t>
  </si>
  <si>
    <t>C01041</t>
  </si>
  <si>
    <t>user1041@example.com</t>
  </si>
  <si>
    <t>118.723.8354</t>
  </si>
  <si>
    <t>C04201</t>
  </si>
  <si>
    <t>user4201@example.com</t>
  </si>
  <si>
    <t>481.713.1914</t>
  </si>
  <si>
    <t>C02761</t>
  </si>
  <si>
    <t>user2761@example.com</t>
  </si>
  <si>
    <t>(886) 315-6208</t>
  </si>
  <si>
    <t>C02121</t>
  </si>
  <si>
    <t>user2121@example.com</t>
  </si>
  <si>
    <t>C01525</t>
  </si>
  <si>
    <t>user1525@example.com</t>
  </si>
  <si>
    <t>C03522</t>
  </si>
  <si>
    <t>user3522@example.com</t>
  </si>
  <si>
    <t>871.563.3691</t>
  </si>
  <si>
    <t>C00154</t>
  </si>
  <si>
    <t>user154@example.com</t>
  </si>
  <si>
    <t>891 791 4961</t>
  </si>
  <si>
    <t>C02249</t>
  </si>
  <si>
    <t>user2249@example.com</t>
  </si>
  <si>
    <t>367-531-3941</t>
  </si>
  <si>
    <t>C00482</t>
  </si>
  <si>
    <t>user482@example.com</t>
  </si>
  <si>
    <t>404-687-7586</t>
  </si>
  <si>
    <t>C04247</t>
  </si>
  <si>
    <t>C04320</t>
  </si>
  <si>
    <t>user4320@example.com</t>
  </si>
  <si>
    <t>103-303-1276</t>
  </si>
  <si>
    <t>C03579</t>
  </si>
  <si>
    <t>394 602 9556</t>
  </si>
  <si>
    <t>C04363</t>
  </si>
  <si>
    <t>user4363@example.com</t>
  </si>
  <si>
    <t>C03563</t>
  </si>
  <si>
    <t>user3563@example.com</t>
  </si>
  <si>
    <t>532-838-9957</t>
  </si>
  <si>
    <t>C03316</t>
  </si>
  <si>
    <t>user3316@example.com</t>
  </si>
  <si>
    <t>102-582-3909</t>
  </si>
  <si>
    <t>user1763@example.com</t>
  </si>
  <si>
    <t>508 200 5280</t>
  </si>
  <si>
    <t>C03539</t>
  </si>
  <si>
    <t>user3539@example.com</t>
  </si>
  <si>
    <t>257-525-2776</t>
  </si>
  <si>
    <t>C04819</t>
  </si>
  <si>
    <t>user4819@example.com</t>
  </si>
  <si>
    <t>C03620</t>
  </si>
  <si>
    <t>user3620@example.com</t>
  </si>
  <si>
    <t>user1786@example.com</t>
  </si>
  <si>
    <t>224-858-9369</t>
  </si>
  <si>
    <t>C04285</t>
  </si>
  <si>
    <t>user4285@example.com</t>
  </si>
  <si>
    <t>(759) 710-3020</t>
  </si>
  <si>
    <t>C03384</t>
  </si>
  <si>
    <t>user3384@example.com</t>
  </si>
  <si>
    <t>201-232-5230</t>
  </si>
  <si>
    <t>C04152</t>
  </si>
  <si>
    <t>user4152@example.com</t>
  </si>
  <si>
    <t>C00406</t>
  </si>
  <si>
    <t>user406@example.com</t>
  </si>
  <si>
    <t>user758@example.com</t>
  </si>
  <si>
    <t>991-145-7841</t>
  </si>
  <si>
    <t>C02712</t>
  </si>
  <si>
    <t>user2712@example.com</t>
  </si>
  <si>
    <t>C02671</t>
  </si>
  <si>
    <t>user2671@example.com</t>
  </si>
  <si>
    <t>C04296</t>
  </si>
  <si>
    <t>user98@example.com</t>
  </si>
  <si>
    <t>(542) 819-7459</t>
  </si>
  <si>
    <t>C01334</t>
  </si>
  <si>
    <t>user1334@example.com</t>
  </si>
  <si>
    <t>459.828.7849</t>
  </si>
  <si>
    <t>C04667</t>
  </si>
  <si>
    <t>user4667@example.com</t>
  </si>
  <si>
    <t>(816) 730-4114</t>
  </si>
  <si>
    <t>C02792</t>
  </si>
  <si>
    <t>228 960 6782</t>
  </si>
  <si>
    <t>C02855</t>
  </si>
  <si>
    <t>836.367.4160</t>
  </si>
  <si>
    <t>C00187</t>
  </si>
  <si>
    <t>user187@example.com</t>
  </si>
  <si>
    <t>C04224</t>
  </si>
  <si>
    <t>user4224@example.com</t>
  </si>
  <si>
    <t>(255) 401-3966</t>
  </si>
  <si>
    <t>C02724</t>
  </si>
  <si>
    <t>user2724@example.com</t>
  </si>
  <si>
    <t>C03584</t>
  </si>
  <si>
    <t>713-150-1045</t>
  </si>
  <si>
    <t>C02059</t>
  </si>
  <si>
    <t>user2059@example.com</t>
  </si>
  <si>
    <t>C01320</t>
  </si>
  <si>
    <t>user1320@example.com</t>
  </si>
  <si>
    <t>(732) 256-9376</t>
  </si>
  <si>
    <t>C00149</t>
  </si>
  <si>
    <t>user149@example.com</t>
  </si>
  <si>
    <t>C00029</t>
  </si>
  <si>
    <t>user29@example.com</t>
  </si>
  <si>
    <t>562.949.5958</t>
  </si>
  <si>
    <t>C04154</t>
  </si>
  <si>
    <t>user4154@example.com</t>
  </si>
  <si>
    <t>C04190</t>
  </si>
  <si>
    <t>user4190@example.com</t>
  </si>
  <si>
    <t>728-238-3958</t>
  </si>
  <si>
    <t>C03364</t>
  </si>
  <si>
    <t>user3364@example.com</t>
  </si>
  <si>
    <t>391-440-1293</t>
  </si>
  <si>
    <t>C00693</t>
  </si>
  <si>
    <t>user693@example.com</t>
  </si>
  <si>
    <t>C02867</t>
  </si>
  <si>
    <t>user2867@example.com</t>
  </si>
  <si>
    <t>C03777</t>
  </si>
  <si>
    <t>user3777@example.com</t>
  </si>
  <si>
    <t>C01387</t>
  </si>
  <si>
    <t>285 570 4031</t>
  </si>
  <si>
    <t>C01846</t>
  </si>
  <si>
    <t>user1846@example.com</t>
  </si>
  <si>
    <t>465.733.3258</t>
  </si>
  <si>
    <t>C04746</t>
  </si>
  <si>
    <t>user4746@example.com</t>
  </si>
  <si>
    <t>676.755.8472</t>
  </si>
  <si>
    <t>C00130</t>
  </si>
  <si>
    <t>C01600</t>
  </si>
  <si>
    <t>user1600@example.com</t>
  </si>
  <si>
    <t>245-389-5292</t>
  </si>
  <si>
    <t>C03630</t>
  </si>
  <si>
    <t>842.237.8629</t>
  </si>
  <si>
    <t>C04518</t>
  </si>
  <si>
    <t>user4518@example.com</t>
  </si>
  <si>
    <t>891-214-9243</t>
  </si>
  <si>
    <t>C00702</t>
  </si>
  <si>
    <t>user702@example.com</t>
  </si>
  <si>
    <t>(871) 871-9677</t>
  </si>
  <si>
    <t>C04007</t>
  </si>
  <si>
    <t>C03029</t>
  </si>
  <si>
    <t>user3029@example.com</t>
  </si>
  <si>
    <t>(921) 373-1399</t>
  </si>
  <si>
    <t>C02970</t>
  </si>
  <si>
    <t>user2970@example.com</t>
  </si>
  <si>
    <t>C04371</t>
  </si>
  <si>
    <t>user4371@example.com</t>
  </si>
  <si>
    <t>(964) 990-7015</t>
  </si>
  <si>
    <t>C01709</t>
  </si>
  <si>
    <t>user1709@example.com</t>
  </si>
  <si>
    <t>C02954</t>
  </si>
  <si>
    <t>user2954@example.com</t>
  </si>
  <si>
    <t>266.700.3105</t>
  </si>
  <si>
    <t>C00455</t>
  </si>
  <si>
    <t>user455@example.com</t>
  </si>
  <si>
    <t>(193) 835-2500</t>
  </si>
  <si>
    <t>C02041</t>
  </si>
  <si>
    <t>user2041@example.com</t>
  </si>
  <si>
    <t>813.507.3098</t>
  </si>
  <si>
    <t>C01773</t>
  </si>
  <si>
    <t>user1773@example.com</t>
  </si>
  <si>
    <t>462 537 8643</t>
  </si>
  <si>
    <t>C02316</t>
  </si>
  <si>
    <t>user2316@example.com</t>
  </si>
  <si>
    <t>C00610</t>
  </si>
  <si>
    <t>user610@example.com</t>
  </si>
  <si>
    <t>C00168</t>
  </si>
  <si>
    <t>user168@example.com</t>
  </si>
  <si>
    <t>C00731</t>
  </si>
  <si>
    <t>user731@example.com</t>
  </si>
  <si>
    <t>447 341 9737</t>
  </si>
  <si>
    <t>C04263</t>
  </si>
  <si>
    <t>user4263@example.com</t>
  </si>
  <si>
    <t>C03359</t>
  </si>
  <si>
    <t>643.500.9662</t>
  </si>
  <si>
    <t>C02075</t>
  </si>
  <si>
    <t>user2075@example.com</t>
  </si>
  <si>
    <t>C04064</t>
  </si>
  <si>
    <t>C03701</t>
  </si>
  <si>
    <t>user3701@example.com</t>
  </si>
  <si>
    <t>392.687.3978</t>
  </si>
  <si>
    <t>C01623</t>
  </si>
  <si>
    <t>user1623@example.com</t>
  </si>
  <si>
    <t>556 533 5451</t>
  </si>
  <si>
    <t>C00588</t>
  </si>
  <si>
    <t>user588@example.com</t>
  </si>
  <si>
    <t>854.603.3478</t>
  </si>
  <si>
    <t>C01402</t>
  </si>
  <si>
    <t>user1402@example.com</t>
  </si>
  <si>
    <t>C03046</t>
  </si>
  <si>
    <t>user3046@example.com</t>
  </si>
  <si>
    <t>871 652 3691</t>
  </si>
  <si>
    <t>C03225</t>
  </si>
  <si>
    <t>user3225@example.com</t>
  </si>
  <si>
    <t>(341) 117-4201</t>
  </si>
  <si>
    <t>C01701</t>
  </si>
  <si>
    <t>user1701@example.com</t>
  </si>
  <si>
    <t>(708) 382-9676</t>
  </si>
  <si>
    <t>C03089</t>
  </si>
  <si>
    <t>user3089@example.com</t>
  </si>
  <si>
    <t>C04405</t>
  </si>
  <si>
    <t>user4405@example.com</t>
  </si>
  <si>
    <t>583.884.2893</t>
  </si>
  <si>
    <t>C02982</t>
  </si>
  <si>
    <t>user2982@example.com</t>
  </si>
  <si>
    <t>C00041</t>
  </si>
  <si>
    <t>user41@example.com</t>
  </si>
  <si>
    <t>578.147.2689</t>
  </si>
  <si>
    <t>C01380</t>
  </si>
  <si>
    <t>(362) 116-9804</t>
  </si>
  <si>
    <t>C02090</t>
  </si>
  <si>
    <t>user2090@example.com</t>
  </si>
  <si>
    <t>674-273-4402</t>
  </si>
  <si>
    <t>C02176</t>
  </si>
  <si>
    <t>user2176@example.com</t>
  </si>
  <si>
    <t>(846) 373-2375</t>
  </si>
  <si>
    <t>C03218</t>
  </si>
  <si>
    <t>181.637.5180</t>
  </si>
  <si>
    <t>C02886</t>
  </si>
  <si>
    <t>user2886@example.com</t>
  </si>
  <si>
    <t>C00075</t>
  </si>
  <si>
    <t>user75@example.com</t>
  </si>
  <si>
    <t>C03934</t>
  </si>
  <si>
    <t>user3934@example.com</t>
  </si>
  <si>
    <t>C03915</t>
  </si>
  <si>
    <t>user3915@example.com</t>
  </si>
  <si>
    <t>C02658</t>
  </si>
  <si>
    <t>user2658@example.com</t>
  </si>
  <si>
    <t>user3181@example.com</t>
  </si>
  <si>
    <t>(123) 666-6189</t>
  </si>
  <si>
    <t>C02077</t>
  </si>
  <si>
    <t>user2077@example.com</t>
  </si>
  <si>
    <t>535.624.1383</t>
  </si>
  <si>
    <t>C00442</t>
  </si>
  <si>
    <t>user442@example.com</t>
  </si>
  <si>
    <t>201-855-1865</t>
  </si>
  <si>
    <t>user4076@example.com</t>
  </si>
  <si>
    <t>(950) 241-8782</t>
  </si>
  <si>
    <t>C02052</t>
  </si>
  <si>
    <t>user2052@example.com</t>
  </si>
  <si>
    <t>558.519.4625</t>
  </si>
  <si>
    <t>C02542</t>
  </si>
  <si>
    <t>user2542@example.com</t>
  </si>
  <si>
    <t>(749) 134-4896</t>
  </si>
  <si>
    <t>C03307</t>
  </si>
  <si>
    <t>479.221.6046</t>
  </si>
  <si>
    <t>C01302</t>
  </si>
  <si>
    <t>user1302@example.com</t>
  </si>
  <si>
    <t>211.549.8198</t>
  </si>
  <si>
    <t>user1782@example.com</t>
  </si>
  <si>
    <t>959 155 2387</t>
  </si>
  <si>
    <t>C04830</t>
  </si>
  <si>
    <t>user4830@example.com</t>
  </si>
  <si>
    <t>500 446 3968</t>
  </si>
  <si>
    <t>C03431</t>
  </si>
  <si>
    <t>C01305</t>
  </si>
  <si>
    <t>user1305@example.com</t>
  </si>
  <si>
    <t>C00237</t>
  </si>
  <si>
    <t>user237@example.com</t>
  </si>
  <si>
    <t>C02600</t>
  </si>
  <si>
    <t>user2600@example.com</t>
  </si>
  <si>
    <t>(319) 381-8200</t>
  </si>
  <si>
    <t>C02574</t>
  </si>
  <si>
    <t>user2574@example.com</t>
  </si>
  <si>
    <t>873-520-3298</t>
  </si>
  <si>
    <t>C03281</t>
  </si>
  <si>
    <t>user3281@example.com</t>
  </si>
  <si>
    <t>236-299-7854</t>
  </si>
  <si>
    <t>C03187</t>
  </si>
  <si>
    <t>C02769</t>
  </si>
  <si>
    <t>user2769@example.com</t>
  </si>
  <si>
    <t>992-551-2136</t>
  </si>
  <si>
    <t>C00736</t>
  </si>
  <si>
    <t>user736@example.com</t>
  </si>
  <si>
    <t>565.200.3401</t>
  </si>
  <si>
    <t>C04719</t>
  </si>
  <si>
    <t>user4719@example.com</t>
  </si>
  <si>
    <t>C04945</t>
  </si>
  <si>
    <t>user4945@example.com</t>
  </si>
  <si>
    <t>(283) 176-4167</t>
  </si>
  <si>
    <t>C02107</t>
  </si>
  <si>
    <t>user2107@example.com</t>
  </si>
  <si>
    <t>C02680</t>
  </si>
  <si>
    <t>user2680@example.com</t>
  </si>
  <si>
    <t>490 813 8772</t>
  </si>
  <si>
    <t>C03230</t>
  </si>
  <si>
    <t>(646) 291-5024</t>
  </si>
  <si>
    <t>C02762</t>
  </si>
  <si>
    <t>user2762@example.com</t>
  </si>
  <si>
    <t>682-114-3502</t>
  </si>
  <si>
    <t>C00593</t>
  </si>
  <si>
    <t>user593@example.com</t>
  </si>
  <si>
    <t>218 606 1668</t>
  </si>
  <si>
    <t>C01304</t>
  </si>
  <si>
    <t>user1304@example.com</t>
  </si>
  <si>
    <t>467-991-4251</t>
  </si>
  <si>
    <t>user1388@example.com</t>
  </si>
  <si>
    <t>(293) 683-9036</t>
  </si>
  <si>
    <t>C04711</t>
  </si>
  <si>
    <t>user4711@example.com</t>
  </si>
  <si>
    <t>421-848-5535</t>
  </si>
  <si>
    <t>C04541</t>
  </si>
  <si>
    <t>(853) 742-1213</t>
  </si>
  <si>
    <t>C03972</t>
  </si>
  <si>
    <t>user3972@example.com</t>
  </si>
  <si>
    <t>C01891</t>
  </si>
  <si>
    <t>user1891@example.com</t>
  </si>
  <si>
    <t>C02988</t>
  </si>
  <si>
    <t>user2988@example.com</t>
  </si>
  <si>
    <t>669.483.9370</t>
  </si>
  <si>
    <t>C04940</t>
  </si>
  <si>
    <t>C03298</t>
  </si>
  <si>
    <t>user3298@example.com</t>
  </si>
  <si>
    <t>943-251-4663</t>
  </si>
  <si>
    <t>C00905</t>
  </si>
  <si>
    <t>user905@example.com</t>
  </si>
  <si>
    <t>280-963-5289</t>
  </si>
  <si>
    <t>C01280</t>
  </si>
  <si>
    <t>user1280@example.com</t>
  </si>
  <si>
    <t>C00934</t>
  </si>
  <si>
    <t>user934@example.com</t>
  </si>
  <si>
    <t>476 923 9151</t>
  </si>
  <si>
    <t>C04915</t>
  </si>
  <si>
    <t>user4915@example.com</t>
  </si>
  <si>
    <t>875.780.7590</t>
  </si>
  <si>
    <t>C02309</t>
  </si>
  <si>
    <t>411.398.6166</t>
  </si>
  <si>
    <t>C01556</t>
  </si>
  <si>
    <t>user1556@example.com</t>
  </si>
  <si>
    <t>C04548</t>
  </si>
  <si>
    <t>user4548@example.com</t>
  </si>
  <si>
    <t>895-877-3140</t>
  </si>
  <si>
    <t>C03191</t>
  </si>
  <si>
    <t>user3191@example.com</t>
  </si>
  <si>
    <t>318 337 2644</t>
  </si>
  <si>
    <t>C04456</t>
  </si>
  <si>
    <t>user4456@example.com</t>
  </si>
  <si>
    <t>C00707</t>
  </si>
  <si>
    <t>user707@example.com</t>
  </si>
  <si>
    <t>C04706</t>
  </si>
  <si>
    <t>(893) 494-3859</t>
  </si>
  <si>
    <t>C03071</t>
  </si>
  <si>
    <t>user3071@example.com</t>
  </si>
  <si>
    <t>497.483.4415</t>
  </si>
  <si>
    <t>C00746</t>
  </si>
  <si>
    <t>user746@example.com</t>
  </si>
  <si>
    <t>C03595</t>
  </si>
  <si>
    <t>user3595@example.com</t>
  </si>
  <si>
    <t>516-312-4938</t>
  </si>
  <si>
    <t>C01940</t>
  </si>
  <si>
    <t>user1940@example.com</t>
  </si>
  <si>
    <t>(308) 433-7084</t>
  </si>
  <si>
    <t>C04415</t>
  </si>
  <si>
    <t>user4415@example.com</t>
  </si>
  <si>
    <t>992.255.7892</t>
  </si>
  <si>
    <t>C02863</t>
  </si>
  <si>
    <t>user2863@example.com</t>
  </si>
  <si>
    <t>991.732.2153</t>
  </si>
  <si>
    <t>C04021</t>
  </si>
  <si>
    <t>894-199-4749</t>
  </si>
  <si>
    <t>C00514</t>
  </si>
  <si>
    <t>user514@example.com</t>
  </si>
  <si>
    <t>(214) 684-9196</t>
  </si>
  <si>
    <t>user82@example.com</t>
  </si>
  <si>
    <t>C04992</t>
  </si>
  <si>
    <t>721 555 7713</t>
  </si>
  <si>
    <t>C01309</t>
  </si>
  <si>
    <t>user1309@example.com</t>
  </si>
  <si>
    <t>600 663 9119</t>
  </si>
  <si>
    <t>C04563</t>
  </si>
  <si>
    <t>168.734.7342</t>
  </si>
  <si>
    <t>C00915</t>
  </si>
  <si>
    <t>C03453</t>
  </si>
  <si>
    <t>user3453@example.com</t>
  </si>
  <si>
    <t>user3696@example.com</t>
  </si>
  <si>
    <t>C04820</t>
  </si>
  <si>
    <t>user4820@example.com</t>
  </si>
  <si>
    <t>C03157</t>
  </si>
  <si>
    <t>841-840-5775</t>
  </si>
  <si>
    <t>user2199@example.com</t>
  </si>
  <si>
    <t>(650) 682-4451</t>
  </si>
  <si>
    <t>user4246@example.com</t>
  </si>
  <si>
    <t>C00775</t>
  </si>
  <si>
    <t>user775@example.com</t>
  </si>
  <si>
    <t>926-646-6249</t>
  </si>
  <si>
    <t>user330@example.com</t>
  </si>
  <si>
    <t>856-659-9313</t>
  </si>
  <si>
    <t>C02055</t>
  </si>
  <si>
    <t>user2055@example.com</t>
  </si>
  <si>
    <t>C02002</t>
  </si>
  <si>
    <t>user2002@example.com</t>
  </si>
  <si>
    <t>(782) 385-3310</t>
  </si>
  <si>
    <t>C00944</t>
  </si>
  <si>
    <t>user944@example.com</t>
  </si>
  <si>
    <t>(822) 718-3258</t>
  </si>
  <si>
    <t>user823@example.com</t>
  </si>
  <si>
    <t>947 715 6864</t>
  </si>
  <si>
    <t>C04542</t>
  </si>
  <si>
    <t>user4542@example.com</t>
  </si>
  <si>
    <t>(136) 749-4405</t>
  </si>
  <si>
    <t>C00910</t>
  </si>
  <si>
    <t>user910@example.com</t>
  </si>
  <si>
    <t>C02517</t>
  </si>
  <si>
    <t>user2517@example.com</t>
  </si>
  <si>
    <t>740 482 5344</t>
  </si>
  <si>
    <t>C00182</t>
  </si>
  <si>
    <t>user182@example.com</t>
  </si>
  <si>
    <t>780-499-5365</t>
  </si>
  <si>
    <t>C00165</t>
  </si>
  <si>
    <t>user165@example.com</t>
  </si>
  <si>
    <t>772 882 4027</t>
  </si>
  <si>
    <t>user1524@example.com</t>
  </si>
  <si>
    <t>C00452</t>
  </si>
  <si>
    <t>user452@example.com</t>
  </si>
  <si>
    <t>973.485.8250</t>
  </si>
  <si>
    <t>C02539</t>
  </si>
  <si>
    <t>532.483.3379</t>
  </si>
  <si>
    <t>C04120</t>
  </si>
  <si>
    <t>user4120@example.com</t>
  </si>
  <si>
    <t>C04791</t>
  </si>
  <si>
    <t>444.583.3161</t>
  </si>
  <si>
    <t>C01312</t>
  </si>
  <si>
    <t>user1312@example.com</t>
  </si>
  <si>
    <t>C03150</t>
  </si>
  <si>
    <t>413.296.6488</t>
  </si>
  <si>
    <t>C01112</t>
  </si>
  <si>
    <t>(365) 992-7697</t>
  </si>
  <si>
    <t>C04562</t>
  </si>
  <si>
    <t>user4562@example.com</t>
  </si>
  <si>
    <t>353.962.9867</t>
  </si>
  <si>
    <t>C03875</t>
  </si>
  <si>
    <t>user3875@example.com</t>
  </si>
  <si>
    <t>C03490</t>
  </si>
  <si>
    <t>user3490@example.com</t>
  </si>
  <si>
    <t>C01288</t>
  </si>
  <si>
    <t>user1288@example.com</t>
  </si>
  <si>
    <t>406.594.5809</t>
  </si>
  <si>
    <t>C04191</t>
  </si>
  <si>
    <t>user4191@example.com</t>
  </si>
  <si>
    <t>965-803-8827</t>
  </si>
  <si>
    <t>C04661</t>
  </si>
  <si>
    <t>user4661@example.com</t>
  </si>
  <si>
    <t>280 838 1438</t>
  </si>
  <si>
    <t>C03681</t>
  </si>
  <si>
    <t>257 801 8465</t>
  </si>
  <si>
    <t>C04378</t>
  </si>
  <si>
    <t>user4378@example.com</t>
  </si>
  <si>
    <t>967.985.8700</t>
  </si>
  <si>
    <t>C04182</t>
  </si>
  <si>
    <t>user4182@example.com</t>
  </si>
  <si>
    <t>741 485 5342</t>
  </si>
  <si>
    <t>user3301@example.com</t>
  </si>
  <si>
    <t>522.860.7551</t>
  </si>
  <si>
    <t>C01849</t>
  </si>
  <si>
    <t>user3311@example.com</t>
  </si>
  <si>
    <t>263.712.6359</t>
  </si>
  <si>
    <t>C04571</t>
  </si>
  <si>
    <t>470 470 1990</t>
  </si>
  <si>
    <t>user3126@example.com</t>
  </si>
  <si>
    <t>(741) 871-7774</t>
  </si>
  <si>
    <t>C00328</t>
  </si>
  <si>
    <t>user328@example.com</t>
  </si>
  <si>
    <t>125-514-9182</t>
  </si>
  <si>
    <t>user1791@example.com</t>
  </si>
  <si>
    <t>738 804 4288</t>
  </si>
  <si>
    <t>C02491</t>
  </si>
  <si>
    <t>150 557 8185</t>
  </si>
  <si>
    <t>C02007</t>
  </si>
  <si>
    <t>308.388.7987</t>
  </si>
  <si>
    <t>C02008</t>
  </si>
  <si>
    <t>user2008@example.com</t>
  </si>
  <si>
    <t>C01859</t>
  </si>
  <si>
    <t>user1859@example.com</t>
  </si>
  <si>
    <t>446-531-5274</t>
  </si>
  <si>
    <t>C04701</t>
  </si>
  <si>
    <t>user4701@example.com</t>
  </si>
  <si>
    <t>207.947.4871</t>
  </si>
  <si>
    <t>C00313</t>
  </si>
  <si>
    <t>user313@example.com</t>
  </si>
  <si>
    <t>692 451 6346</t>
  </si>
  <si>
    <t>user833@example.com</t>
  </si>
  <si>
    <t>990-384-9197</t>
  </si>
  <si>
    <t>C03080</t>
  </si>
  <si>
    <t>358 656 2508</t>
  </si>
  <si>
    <t>C04733</t>
  </si>
  <si>
    <t>user4733@example.com</t>
  </si>
  <si>
    <t>C03463</t>
  </si>
  <si>
    <t>user3463@example.com</t>
  </si>
  <si>
    <t>247 250 3019</t>
  </si>
  <si>
    <t>C01202</t>
  </si>
  <si>
    <t>user1202@example.com</t>
  </si>
  <si>
    <t>C04406</t>
  </si>
  <si>
    <t>user4406@example.com</t>
  </si>
  <si>
    <t>956 850 2443</t>
  </si>
  <si>
    <t>C03548</t>
  </si>
  <si>
    <t>user3548@example.com</t>
  </si>
  <si>
    <t>(515) 402-7152</t>
  </si>
  <si>
    <t>C04018</t>
  </si>
  <si>
    <t>user4018@example.com</t>
  </si>
  <si>
    <t>C02135</t>
  </si>
  <si>
    <t>user2135@example.com</t>
  </si>
  <si>
    <t>C03452</t>
  </si>
  <si>
    <t>C02210</t>
  </si>
  <si>
    <t>user2210@example.com</t>
  </si>
  <si>
    <t>262-531-8790</t>
  </si>
  <si>
    <t>C01902</t>
  </si>
  <si>
    <t>975.724.7290</t>
  </si>
  <si>
    <t>C01482</t>
  </si>
  <si>
    <t>user1482@example.com</t>
  </si>
  <si>
    <t>843 464 3122</t>
  </si>
  <si>
    <t>C00778</t>
  </si>
  <si>
    <t>user778@example.com</t>
  </si>
  <si>
    <t>124 980 9649</t>
  </si>
  <si>
    <t>C00456</t>
  </si>
  <si>
    <t>user800@example.com</t>
  </si>
  <si>
    <t>user3715@example.com</t>
  </si>
  <si>
    <t>737 816 1376</t>
  </si>
  <si>
    <t>C03943</t>
  </si>
  <si>
    <t>user3943@example.com</t>
  </si>
  <si>
    <t>662-989-3976</t>
  </si>
  <si>
    <t>C00055</t>
  </si>
  <si>
    <t>user55@example.com</t>
  </si>
  <si>
    <t>151 233 1475</t>
  </si>
  <si>
    <t>C02973</t>
  </si>
  <si>
    <t>user2973@example.com</t>
  </si>
  <si>
    <t>332.345.1925</t>
  </si>
  <si>
    <t>C03336</t>
  </si>
  <si>
    <t>user3336@example.com</t>
  </si>
  <si>
    <t>181-160-2928</t>
  </si>
  <si>
    <t>C01921</t>
  </si>
  <si>
    <t>user1921@example.com</t>
  </si>
  <si>
    <t>414-682-6259</t>
  </si>
  <si>
    <t>C03716</t>
  </si>
  <si>
    <t>user3716@example.com</t>
  </si>
  <si>
    <t>C04662</t>
  </si>
  <si>
    <t>user4662@example.com</t>
  </si>
  <si>
    <t>C00947</t>
  </si>
  <si>
    <t>user947@example.com</t>
  </si>
  <si>
    <t>901.513.7647</t>
  </si>
  <si>
    <t>C01702</t>
  </si>
  <si>
    <t>user1702@example.com</t>
  </si>
  <si>
    <t>C03294</t>
  </si>
  <si>
    <t>user3294@example.com</t>
  </si>
  <si>
    <t>(934) 122-8108</t>
  </si>
  <si>
    <t>C02162</t>
  </si>
  <si>
    <t>740.158.1498</t>
  </si>
  <si>
    <t>C01137</t>
  </si>
  <si>
    <t>user1137@example.com</t>
  </si>
  <si>
    <t>C00988</t>
  </si>
  <si>
    <t>user988@example.com</t>
  </si>
  <si>
    <t>727 943 3869</t>
  </si>
  <si>
    <t>C02550</t>
  </si>
  <si>
    <t>user2550@example.com</t>
  </si>
  <si>
    <t>890 662 8476</t>
  </si>
  <si>
    <t>C00194</t>
  </si>
  <si>
    <t>user194@example.com</t>
  </si>
  <si>
    <t>C03058</t>
  </si>
  <si>
    <t>user3058@example.com</t>
  </si>
  <si>
    <t>C03247</t>
  </si>
  <si>
    <t>C01395</t>
  </si>
  <si>
    <t>user1395@example.com</t>
  </si>
  <si>
    <t>C02638</t>
  </si>
  <si>
    <t>C00769</t>
  </si>
  <si>
    <t>user769@example.com</t>
  </si>
  <si>
    <t>C04718</t>
  </si>
  <si>
    <t>user4718@example.com</t>
  </si>
  <si>
    <t>C03091</t>
  </si>
  <si>
    <t>user3091@example.com</t>
  </si>
  <si>
    <t>278 562 5806</t>
  </si>
  <si>
    <t>C03496</t>
  </si>
  <si>
    <t>user3496@example.com</t>
  </si>
  <si>
    <t>812.923.5455</t>
  </si>
  <si>
    <t>C03216</t>
  </si>
  <si>
    <t>user3216@example.com</t>
  </si>
  <si>
    <t>(192) 824-3601</t>
  </si>
  <si>
    <t>C00286</t>
  </si>
  <si>
    <t>user286@example.com</t>
  </si>
  <si>
    <t>C04954</t>
  </si>
  <si>
    <t>user4954@example.com</t>
  </si>
  <si>
    <t>C00429</t>
  </si>
  <si>
    <t>user429@example.com</t>
  </si>
  <si>
    <t>548 635 2392</t>
  </si>
  <si>
    <t>C04463</t>
  </si>
  <si>
    <t>384-456-3065</t>
  </si>
  <si>
    <t>user2333@example.com</t>
  </si>
  <si>
    <t>432-724-5095</t>
  </si>
  <si>
    <t>C02718</t>
  </si>
  <si>
    <t>C02080</t>
  </si>
  <si>
    <t>user2080@example.com</t>
  </si>
  <si>
    <t>398 539 2524</t>
  </si>
  <si>
    <t>C03390</t>
  </si>
  <si>
    <t>user3390@example.com</t>
  </si>
  <si>
    <t>259-994-2989</t>
  </si>
  <si>
    <t>C00723</t>
  </si>
  <si>
    <t>user723@example.com</t>
  </si>
  <si>
    <t>C00952</t>
  </si>
  <si>
    <t>user952@example.com</t>
  </si>
  <si>
    <t>C04398</t>
  </si>
  <si>
    <t>user4398@example.com</t>
  </si>
  <si>
    <t>362 817 2419</t>
  </si>
  <si>
    <t>user4596@example.com</t>
  </si>
  <si>
    <t>C02263</t>
  </si>
  <si>
    <t>user2263@example.com</t>
  </si>
  <si>
    <t>C00990</t>
  </si>
  <si>
    <t>user990@example.com</t>
  </si>
  <si>
    <t>493 774 4005</t>
  </si>
  <si>
    <t>C03213</t>
  </si>
  <si>
    <t>(272) 324-9473</t>
  </si>
  <si>
    <t>C01760</t>
  </si>
  <si>
    <t>user1760@example.com</t>
  </si>
  <si>
    <t>C04121</t>
  </si>
  <si>
    <t>user4121@example.com</t>
  </si>
  <si>
    <t>C02609</t>
  </si>
  <si>
    <t>user2609@example.com</t>
  </si>
  <si>
    <t>835 862 1653</t>
  </si>
  <si>
    <t>C01384</t>
  </si>
  <si>
    <t>user1384@example.com</t>
  </si>
  <si>
    <t>(695) 744-7479</t>
  </si>
  <si>
    <t>C01725</t>
  </si>
  <si>
    <t>202-411-6499</t>
  </si>
  <si>
    <t>C01087</t>
  </si>
  <si>
    <t>user1087@example.com</t>
  </si>
  <si>
    <t>C02524</t>
  </si>
  <si>
    <t>user2524@example.com</t>
  </si>
  <si>
    <t>(194) 529-2086</t>
  </si>
  <si>
    <t>C00342</t>
  </si>
  <si>
    <t>C03702</t>
  </si>
  <si>
    <t>831-563-5181</t>
  </si>
  <si>
    <t>C00148</t>
  </si>
  <si>
    <t>user148@example.com</t>
  </si>
  <si>
    <t>794 423 9687</t>
  </si>
  <si>
    <t>C00689</t>
  </si>
  <si>
    <t>user689@example.com</t>
  </si>
  <si>
    <t>C03433</t>
  </si>
  <si>
    <t>user1108@example.com</t>
  </si>
  <si>
    <t>(483) 290-3200</t>
  </si>
  <si>
    <t>C00849</t>
  </si>
  <si>
    <t>user849@example.com</t>
  </si>
  <si>
    <t>183.685.1415</t>
  </si>
  <si>
    <t>C00967</t>
  </si>
  <si>
    <t>user967@example.com</t>
  </si>
  <si>
    <t>C04743</t>
  </si>
  <si>
    <t>user4743@example.com</t>
  </si>
  <si>
    <t>262-223-2134</t>
  </si>
  <si>
    <t>C01493</t>
  </si>
  <si>
    <t>user1493@example.com</t>
  </si>
  <si>
    <t>C03954</t>
  </si>
  <si>
    <t>user3954@example.com</t>
  </si>
  <si>
    <t>C02204</t>
  </si>
  <si>
    <t>user2204@example.com</t>
  </si>
  <si>
    <t>625-891-4452</t>
  </si>
  <si>
    <t>C02714</t>
  </si>
  <si>
    <t>user2714@example.com</t>
  </si>
  <si>
    <t>238.558.4244</t>
  </si>
  <si>
    <t>C00662</t>
  </si>
  <si>
    <t>user662@example.com</t>
  </si>
  <si>
    <t>(831) 162-9655</t>
  </si>
  <si>
    <t>C01003</t>
  </si>
  <si>
    <t>user1003@example.com</t>
  </si>
  <si>
    <t>217.826.3236</t>
  </si>
  <si>
    <t>C00063</t>
  </si>
  <si>
    <t>user63@example.com</t>
  </si>
  <si>
    <t>566-417-8625</t>
  </si>
  <si>
    <t>C02225</t>
  </si>
  <si>
    <t>user2225@example.com</t>
  </si>
  <si>
    <t>user4722@example.com</t>
  </si>
  <si>
    <t>(118) 359-3764</t>
  </si>
  <si>
    <t>C01880</t>
  </si>
  <si>
    <t>user1880@example.com</t>
  </si>
  <si>
    <t>C03573</t>
  </si>
  <si>
    <t>user3573@example.com</t>
  </si>
  <si>
    <t>C04873</t>
  </si>
  <si>
    <t>user4873@example.com</t>
  </si>
  <si>
    <t>148-222-9698</t>
  </si>
  <si>
    <t>C01204</t>
  </si>
  <si>
    <t>user1204@example.com</t>
  </si>
  <si>
    <t>user1991@example.com</t>
  </si>
  <si>
    <t>user25@example.com</t>
  </si>
  <si>
    <t>(709) 219-6050</t>
  </si>
  <si>
    <t>C04868</t>
  </si>
  <si>
    <t>829.360.9308</t>
  </si>
  <si>
    <t>C04694</t>
  </si>
  <si>
    <t>user4694@example.com</t>
  </si>
  <si>
    <t>158 486 3998</t>
  </si>
  <si>
    <t>C04181</t>
  </si>
  <si>
    <t>user4181@example.com</t>
  </si>
  <si>
    <t>(959) 434-4026</t>
  </si>
  <si>
    <t>C00763</t>
  </si>
  <si>
    <t>user763@example.com</t>
  </si>
  <si>
    <t>user876@example.com</t>
  </si>
  <si>
    <t>C04758</t>
  </si>
  <si>
    <t>user4758@example.com</t>
  </si>
  <si>
    <t>(138) 702-7326</t>
  </si>
  <si>
    <t>C00939</t>
  </si>
  <si>
    <t>user939@example.com</t>
  </si>
  <si>
    <t>C02688</t>
  </si>
  <si>
    <t>user2688@example.com</t>
  </si>
  <si>
    <t>user3601@example.com</t>
  </si>
  <si>
    <t>358 954 9660</t>
  </si>
  <si>
    <t>C04582</t>
  </si>
  <si>
    <t>user4582@example.com</t>
  </si>
  <si>
    <t>C04996</t>
  </si>
  <si>
    <t>776.609.3919</t>
  </si>
  <si>
    <t>C04138</t>
  </si>
  <si>
    <t>(599) 390-4672</t>
  </si>
  <si>
    <t>user386@example.com</t>
  </si>
  <si>
    <t>448 266 2678</t>
  </si>
  <si>
    <t>C04385</t>
  </si>
  <si>
    <t>user4385@example.com</t>
  </si>
  <si>
    <t>655 913 7113</t>
  </si>
  <si>
    <t>C04647</t>
  </si>
  <si>
    <t>user4647@example.com</t>
  </si>
  <si>
    <t>(933) 549-9798</t>
  </si>
  <si>
    <t>C00537</t>
  </si>
  <si>
    <t>582 854 7765</t>
  </si>
  <si>
    <t>C04681</t>
  </si>
  <si>
    <t>user4681@example.com</t>
  </si>
  <si>
    <t>C03508</t>
  </si>
  <si>
    <t>user3508@example.com</t>
  </si>
  <si>
    <t>C00202</t>
  </si>
  <si>
    <t>user202@example.com</t>
  </si>
  <si>
    <t>C01333</t>
  </si>
  <si>
    <t>user1333@example.com</t>
  </si>
  <si>
    <t>212.375.6956</t>
  </si>
  <si>
    <t>C03503</t>
  </si>
  <si>
    <t>user3503@example.com</t>
  </si>
  <si>
    <t>675 116 2249</t>
  </si>
  <si>
    <t>user2709@example.com</t>
  </si>
  <si>
    <t>930 963 2618</t>
  </si>
  <si>
    <t>C04022</t>
  </si>
  <si>
    <t>user4022@example.com</t>
  </si>
  <si>
    <t>221 245 5513</t>
  </si>
  <si>
    <t>C01855</t>
  </si>
  <si>
    <t>user1855@example.com</t>
  </si>
  <si>
    <t>C04484</t>
  </si>
  <si>
    <t>user4484@example.com</t>
  </si>
  <si>
    <t>435.108.4571</t>
  </si>
  <si>
    <t>C02873</t>
  </si>
  <si>
    <t>user2873@example.com</t>
  </si>
  <si>
    <t>(587) 937-4232</t>
  </si>
  <si>
    <t>C03031</t>
  </si>
  <si>
    <t>user3031@example.com</t>
  </si>
  <si>
    <t>(806) 558-1031</t>
  </si>
  <si>
    <t>C00920</t>
  </si>
  <si>
    <t>user1206@example.com</t>
  </si>
  <si>
    <t>224-600-9351</t>
  </si>
  <si>
    <t>C01646</t>
  </si>
  <si>
    <t>user1646@example.com</t>
  </si>
  <si>
    <t>227-563-3803</t>
  </si>
  <si>
    <t>C03418</t>
  </si>
  <si>
    <t>C03477</t>
  </si>
  <si>
    <t>user3477@example.com</t>
  </si>
  <si>
    <t>759.329.8362</t>
  </si>
  <si>
    <t>user2862@example.com</t>
  </si>
  <si>
    <t>C01793</t>
  </si>
  <si>
    <t>user1793@example.com</t>
  </si>
  <si>
    <t>C03798</t>
  </si>
  <si>
    <t>C03369</t>
  </si>
  <si>
    <t>user3369@example.com</t>
  </si>
  <si>
    <t>371 407 1634</t>
  </si>
  <si>
    <t>C03368</t>
  </si>
  <si>
    <t>user3368@example.com</t>
  </si>
  <si>
    <t>954.705.4651</t>
  </si>
  <si>
    <t>C03534</t>
  </si>
  <si>
    <t>C03450</t>
  </si>
  <si>
    <t>user3450@example.com</t>
  </si>
  <si>
    <t>(944) 640-5795</t>
  </si>
  <si>
    <t>C00604</t>
  </si>
  <si>
    <t>user604@example.com</t>
  </si>
  <si>
    <t>257.129.2328</t>
  </si>
  <si>
    <t>user3057@example.com</t>
  </si>
  <si>
    <t>(690) 459-7684</t>
  </si>
  <si>
    <t>C04375</t>
  </si>
  <si>
    <t>user127@example.com</t>
  </si>
  <si>
    <t>C03877</t>
  </si>
  <si>
    <t>user3877@example.com</t>
  </si>
  <si>
    <t>C02936</t>
  </si>
  <si>
    <t>585-352-4659</t>
  </si>
  <si>
    <t>user3532@example.com</t>
  </si>
  <si>
    <t>C02731</t>
  </si>
  <si>
    <t>user2731@example.com</t>
  </si>
  <si>
    <t>C00828</t>
  </si>
  <si>
    <t>user828@example.com</t>
  </si>
  <si>
    <t>(192) 935-5967</t>
  </si>
  <si>
    <t>C01640</t>
  </si>
  <si>
    <t>user1640@example.com</t>
  </si>
  <si>
    <t>(205) 674-5555</t>
  </si>
  <si>
    <t>C00985</t>
  </si>
  <si>
    <t>689 140 2492</t>
  </si>
  <si>
    <t>C03282</t>
  </si>
  <si>
    <t>C04987</t>
  </si>
  <si>
    <t>766-144-7922</t>
  </si>
  <si>
    <t>C02189</t>
  </si>
  <si>
    <t>user2189@example.com</t>
  </si>
  <si>
    <t>C04628</t>
  </si>
  <si>
    <t>user4628@example.com</t>
  </si>
  <si>
    <t>643 941 6837</t>
  </si>
  <si>
    <t>C02444</t>
  </si>
  <si>
    <t>user2444@example.com</t>
  </si>
  <si>
    <t>(386) 721-7144</t>
  </si>
  <si>
    <t>C00363</t>
  </si>
  <si>
    <t>user363@example.com</t>
  </si>
  <si>
    <t>(368) 407-8742</t>
  </si>
  <si>
    <t>user2350@example.com</t>
  </si>
  <si>
    <t>947 843 1979</t>
  </si>
  <si>
    <t>user346@example.com</t>
  </si>
  <si>
    <t>495.481.1199</t>
  </si>
  <si>
    <t>C00815</t>
  </si>
  <si>
    <t>user815@example.com</t>
  </si>
  <si>
    <t>(570) 713-6381</t>
  </si>
  <si>
    <t>C03206</t>
  </si>
  <si>
    <t>user3206@example.com</t>
  </si>
  <si>
    <t>C04174</t>
  </si>
  <si>
    <t>C04811</t>
  </si>
  <si>
    <t>user4811@example.com</t>
  </si>
  <si>
    <t>(948) 517-3581</t>
  </si>
  <si>
    <t>C03326</t>
  </si>
  <si>
    <t>user3326@example.com</t>
  </si>
  <si>
    <t>720 972 5259</t>
  </si>
  <si>
    <t>C04107</t>
  </si>
  <si>
    <t>user4107@example.com</t>
  </si>
  <si>
    <t>961-262-1449</t>
  </si>
  <si>
    <t>(636) 832-8763</t>
  </si>
  <si>
    <t>C01835</t>
  </si>
  <si>
    <t>user1835@example.com</t>
  </si>
  <si>
    <t>(358) 602-8168</t>
  </si>
  <si>
    <t>C00794</t>
  </si>
  <si>
    <t>user794@example.com</t>
  </si>
  <si>
    <t>375-667-2663</t>
  </si>
  <si>
    <t>C04962</t>
  </si>
  <si>
    <t>user4962@example.com</t>
  </si>
  <si>
    <t>293 993 2578</t>
  </si>
  <si>
    <t>C00095</t>
  </si>
  <si>
    <t>user95@example.com</t>
  </si>
  <si>
    <t>478-662-1870</t>
  </si>
  <si>
    <t>C03757</t>
  </si>
  <si>
    <t>user3757@example.com</t>
  </si>
  <si>
    <t>C02892</t>
  </si>
  <si>
    <t>702.889.6922</t>
  </si>
  <si>
    <t>C02372</t>
  </si>
  <si>
    <t>user2372@example.com</t>
  </si>
  <si>
    <t>C04163</t>
  </si>
  <si>
    <t>user4163@example.com</t>
  </si>
  <si>
    <t>(318) 586-7678</t>
  </si>
  <si>
    <t>C04447</t>
  </si>
  <si>
    <t>C03229</t>
  </si>
  <si>
    <t>user3229@example.com</t>
  </si>
  <si>
    <t>user2854@example.com</t>
  </si>
  <si>
    <t>824 450 3168</t>
  </si>
  <si>
    <t>C02913</t>
  </si>
  <si>
    <t>user2913@example.com</t>
  </si>
  <si>
    <t>545 972 3618</t>
  </si>
  <si>
    <t>C01866</t>
  </si>
  <si>
    <t>user1866@example.com</t>
  </si>
  <si>
    <t>C01858</t>
  </si>
  <si>
    <t>user1858@example.com</t>
  </si>
  <si>
    <t>C02646</t>
  </si>
  <si>
    <t>user2646@example.com</t>
  </si>
  <si>
    <t>(112) 403-4992</t>
  </si>
  <si>
    <t>C02244</t>
  </si>
  <si>
    <t>user2244@example.com</t>
  </si>
  <si>
    <t>292 145 4460</t>
  </si>
  <si>
    <t>C02337</t>
  </si>
  <si>
    <t>user2337@example.com</t>
  </si>
  <si>
    <t>477 840 4920</t>
  </si>
  <si>
    <t>339 628 8679</t>
  </si>
  <si>
    <t>user3069@example.com</t>
  </si>
  <si>
    <t>777.512.1173</t>
  </si>
  <si>
    <t>C01121</t>
  </si>
  <si>
    <t>user1121@example.com</t>
  </si>
  <si>
    <t>316-634-1118</t>
  </si>
  <si>
    <t>C02598</t>
  </si>
  <si>
    <t>782 956 5116</t>
  </si>
  <si>
    <t>user2205@example.com</t>
  </si>
  <si>
    <t>323.578.5273</t>
  </si>
  <si>
    <t>user420@example.com</t>
  </si>
  <si>
    <t>user923@example.com</t>
  </si>
  <si>
    <t>C01255</t>
  </si>
  <si>
    <t>user1255@example.com</t>
  </si>
  <si>
    <t>C00478</t>
  </si>
  <si>
    <t>user478@example.com</t>
  </si>
  <si>
    <t>608.614.6563</t>
  </si>
  <si>
    <t>C02036</t>
  </si>
  <si>
    <t>user2036@example.com</t>
  </si>
  <si>
    <t>C01203</t>
  </si>
  <si>
    <t>user1203@example.com</t>
  </si>
  <si>
    <t>C02627</t>
  </si>
  <si>
    <t>user2627@example.com</t>
  </si>
  <si>
    <t>420 736 9146</t>
  </si>
  <si>
    <t>C04834</t>
  </si>
  <si>
    <t>user4834@example.com</t>
  </si>
  <si>
    <t>239-116-3202</t>
  </si>
  <si>
    <t>C01971</t>
  </si>
  <si>
    <t>user1971@example.com</t>
  </si>
  <si>
    <t>617 251 9096</t>
  </si>
  <si>
    <t>C03111</t>
  </si>
  <si>
    <t>775 659 7116</t>
  </si>
  <si>
    <t>C04019</t>
  </si>
  <si>
    <t>user4019@example.com</t>
  </si>
  <si>
    <t>C02152</t>
  </si>
  <si>
    <t>user2152@example.com</t>
  </si>
  <si>
    <t>986-474-8636</t>
  </si>
  <si>
    <t>C03688</t>
  </si>
  <si>
    <t>user3688@example.com</t>
  </si>
  <si>
    <t>881 674 3336</t>
  </si>
  <si>
    <t>C01998</t>
  </si>
  <si>
    <t>user1998@example.com</t>
  </si>
  <si>
    <t>455-391-3713</t>
  </si>
  <si>
    <t>C04034</t>
  </si>
  <si>
    <t>user4034@example.com</t>
  </si>
  <si>
    <t>643.765.2753</t>
  </si>
  <si>
    <t>C03055</t>
  </si>
  <si>
    <t>user3055@example.com</t>
  </si>
  <si>
    <t>433-849-7116</t>
  </si>
  <si>
    <t>C01249</t>
  </si>
  <si>
    <t>user1249@example.com</t>
  </si>
  <si>
    <t>(989) 917-4698</t>
  </si>
  <si>
    <t>C02193</t>
  </si>
  <si>
    <t>user2193@example.com</t>
  </si>
  <si>
    <t>304.281.5832</t>
  </si>
  <si>
    <t>C02713</t>
  </si>
  <si>
    <t>user2713@example.com</t>
  </si>
  <si>
    <t>user993@example.com</t>
  </si>
  <si>
    <t>(380) 743-9810</t>
  </si>
  <si>
    <t>C02191</t>
  </si>
  <si>
    <t>user2191@example.com</t>
  </si>
  <si>
    <t>(385) 243-6169</t>
  </si>
  <si>
    <t>C03763</t>
  </si>
  <si>
    <t>user3763@example.com</t>
  </si>
  <si>
    <t>user3598@example.com</t>
  </si>
  <si>
    <t>184 879 8027</t>
  </si>
  <si>
    <t>C01864</t>
  </si>
  <si>
    <t>user1864@example.com</t>
  </si>
  <si>
    <t>172.526.2320</t>
  </si>
  <si>
    <t>C02344</t>
  </si>
  <si>
    <t>user2344@example.com</t>
  </si>
  <si>
    <t>(350) 573-2144</t>
  </si>
  <si>
    <t>C02450</t>
  </si>
  <si>
    <t>user2450@example.com</t>
  </si>
  <si>
    <t>(435) 686-9955</t>
  </si>
  <si>
    <t>C02137</t>
  </si>
  <si>
    <t>user2137@example.com</t>
  </si>
  <si>
    <t>(193) 922-3400</t>
  </si>
  <si>
    <t>C01066</t>
  </si>
  <si>
    <t>280 720 5079</t>
  </si>
  <si>
    <t>C04976</t>
  </si>
  <si>
    <t>user4976@example.com</t>
  </si>
  <si>
    <t>750.216.9885</t>
  </si>
  <si>
    <t>C02622</t>
  </si>
  <si>
    <t>user2622@example.com</t>
  </si>
  <si>
    <t>C00078</t>
  </si>
  <si>
    <t>user78@example.com</t>
  </si>
  <si>
    <t>C01315</t>
  </si>
  <si>
    <t>user1315@example.com</t>
  </si>
  <si>
    <t>885-800-4874</t>
  </si>
  <si>
    <t>C04387</t>
  </si>
  <si>
    <t>675.756.1966</t>
  </si>
  <si>
    <t>C00873</t>
  </si>
  <si>
    <t>user873@example.com</t>
  </si>
  <si>
    <t>C03851</t>
  </si>
  <si>
    <t>user3851@example.com</t>
  </si>
  <si>
    <t>(243) 461-5819</t>
  </si>
  <si>
    <t>C04803</t>
  </si>
  <si>
    <t>user4803@example.com</t>
  </si>
  <si>
    <t>user2966@example.com</t>
  </si>
  <si>
    <t>C03392</t>
  </si>
  <si>
    <t>(216) 883-8393</t>
  </si>
  <si>
    <t>C02561</t>
  </si>
  <si>
    <t>user2561@example.com</t>
  </si>
  <si>
    <t>C04948</t>
  </si>
  <si>
    <t>user4948@example.com</t>
  </si>
  <si>
    <t>C02636</t>
  </si>
  <si>
    <t>user2636@example.com</t>
  </si>
  <si>
    <t>192-828-7629</t>
  </si>
  <si>
    <t>C03531</t>
  </si>
  <si>
    <t>user3531@example.com</t>
  </si>
  <si>
    <t>C00376</t>
  </si>
  <si>
    <t>user376@example.com</t>
  </si>
  <si>
    <t>396-398-9677</t>
  </si>
  <si>
    <t>C01909</t>
  </si>
  <si>
    <t>user1909@example.com</t>
  </si>
  <si>
    <t>929.871.4547</t>
  </si>
  <si>
    <t>C04347</t>
  </si>
  <si>
    <t>C04394</t>
  </si>
  <si>
    <t>user4394@example.com</t>
  </si>
  <si>
    <t>154 940 3230</t>
  </si>
  <si>
    <t>C04028</t>
  </si>
  <si>
    <t>user4028@example.com</t>
  </si>
  <si>
    <t>226 470 3653</t>
  </si>
  <si>
    <t>C01605</t>
  </si>
  <si>
    <t>user1605@example.com</t>
  </si>
  <si>
    <t>(803) 529-7148</t>
  </si>
  <si>
    <t>162-372-1118</t>
  </si>
  <si>
    <t>C03678</t>
  </si>
  <si>
    <t>user3678@example.com</t>
  </si>
  <si>
    <t>143-297-1907</t>
  </si>
  <si>
    <t>C03491</t>
  </si>
  <si>
    <t>user3491@example.com</t>
  </si>
  <si>
    <t>C04880</t>
  </si>
  <si>
    <t>C02959</t>
  </si>
  <si>
    <t>user2959@example.com</t>
  </si>
  <si>
    <t>C01995</t>
  </si>
  <si>
    <t>430.493.6219</t>
  </si>
  <si>
    <t>C04971</t>
  </si>
  <si>
    <t>user4971@example.com</t>
  </si>
  <si>
    <t>(978) 332-3905</t>
  </si>
  <si>
    <t>C04370</t>
  </si>
  <si>
    <t>user4370@example.com</t>
  </si>
  <si>
    <t>(102) 965-3318</t>
  </si>
  <si>
    <t>C02377</t>
  </si>
  <si>
    <t>user2377@example.com</t>
  </si>
  <si>
    <t>763 273 9605</t>
  </si>
  <si>
    <t>C01343</t>
  </si>
  <si>
    <t>user1343@example.com</t>
  </si>
  <si>
    <t>C00321</t>
  </si>
  <si>
    <t>user321@example.com</t>
  </si>
  <si>
    <t>286.279.3514</t>
  </si>
  <si>
    <t>C01620</t>
  </si>
  <si>
    <t>user1620@example.com</t>
  </si>
  <si>
    <t>277.302.5605</t>
  </si>
  <si>
    <t>C03714</t>
  </si>
  <si>
    <t>user3714@example.com</t>
  </si>
  <si>
    <t>513 677 1897</t>
  </si>
  <si>
    <t>C02061</t>
  </si>
  <si>
    <t>user2061@example.com</t>
  </si>
  <si>
    <t>(958) 648-7480</t>
  </si>
  <si>
    <t>C02220</t>
  </si>
  <si>
    <t>user2220@example.com</t>
  </si>
  <si>
    <t>C01674</t>
  </si>
  <si>
    <t>user1674@example.com</t>
  </si>
  <si>
    <t>(194) 370-5853</t>
  </si>
  <si>
    <t>user261@example.com</t>
  </si>
  <si>
    <t>(402) 718-3568</t>
  </si>
  <si>
    <t>C04432</t>
  </si>
  <si>
    <t>user4432@example.com</t>
  </si>
  <si>
    <t>user2040@example.com</t>
  </si>
  <si>
    <t>(575) 426-2860</t>
  </si>
  <si>
    <t>C00902</t>
  </si>
  <si>
    <t>user902@example.com</t>
  </si>
  <si>
    <t>278.324.5292</t>
  </si>
  <si>
    <t>C03745</t>
  </si>
  <si>
    <t>user3745@example.com</t>
  </si>
  <si>
    <t>C02027</t>
  </si>
  <si>
    <t>C04235</t>
  </si>
  <si>
    <t>C01918</t>
  </si>
  <si>
    <t>user1918@example.com</t>
  </si>
  <si>
    <t>445.684.7465</t>
  </si>
  <si>
    <t>C01829</t>
  </si>
  <si>
    <t>user1829@example.com</t>
  </si>
  <si>
    <t>C01574</t>
  </si>
  <si>
    <t>user1574@example.com</t>
  </si>
  <si>
    <t>133 115 1430</t>
  </si>
  <si>
    <t>C04409</t>
  </si>
  <si>
    <t>user4409@example.com</t>
  </si>
  <si>
    <t>C04209</t>
  </si>
  <si>
    <t>user4209@example.com</t>
  </si>
  <si>
    <t>908.546.5294</t>
  </si>
  <si>
    <t>C00225</t>
  </si>
  <si>
    <t>user225@example.com</t>
  </si>
  <si>
    <t>(116) 598-2322</t>
  </si>
  <si>
    <t>user724@example.com</t>
  </si>
  <si>
    <t>128-915-9846</t>
  </si>
  <si>
    <t>C04792</t>
  </si>
  <si>
    <t>user4792@example.com</t>
  </si>
  <si>
    <t>(138) 350-1166</t>
  </si>
  <si>
    <t>C01142</t>
  </si>
  <si>
    <t>C02763</t>
  </si>
  <si>
    <t>980.356.3875</t>
  </si>
  <si>
    <t>user847@example.com</t>
  </si>
  <si>
    <t>530.645.8354</t>
  </si>
  <si>
    <t>C02552</t>
  </si>
  <si>
    <t>user2552@example.com</t>
  </si>
  <si>
    <t>user2929@example.com</t>
  </si>
  <si>
    <t>C00118</t>
  </si>
  <si>
    <t>(847) 848-9624</t>
  </si>
  <si>
    <t>user646@example.com</t>
  </si>
  <si>
    <t>C00004</t>
  </si>
  <si>
    <t>user4@example.com</t>
  </si>
  <si>
    <t>C04171</t>
  </si>
  <si>
    <t>user4171@example.com</t>
  </si>
  <si>
    <t>906-680-7822</t>
  </si>
  <si>
    <t>C00468</t>
  </si>
  <si>
    <t>(340) 763-6113</t>
  </si>
  <si>
    <t>C00006</t>
  </si>
  <si>
    <t>user6@example.com</t>
  </si>
  <si>
    <t>user920@example.com</t>
  </si>
  <si>
    <t>(620) 497-9342</t>
  </si>
  <si>
    <t>C02596</t>
  </si>
  <si>
    <t>user2596@example.com</t>
  </si>
  <si>
    <t>C01064</t>
  </si>
  <si>
    <t>user1064@example.com</t>
  </si>
  <si>
    <t>C02591</t>
  </si>
  <si>
    <t>330.635.2688</t>
  </si>
  <si>
    <t>C00243</t>
  </si>
  <si>
    <t>user243@example.com</t>
  </si>
  <si>
    <t>(545) 357-6477</t>
  </si>
  <si>
    <t>C01161</t>
  </si>
  <si>
    <t>user1161@example.com</t>
  </si>
  <si>
    <t>C02871</t>
  </si>
  <si>
    <t>user2871@example.com</t>
  </si>
  <si>
    <t>(151) 834-2301</t>
  </si>
  <si>
    <t>C03736</t>
  </si>
  <si>
    <t>user3736@example.com</t>
  </si>
  <si>
    <t>963.296.5375</t>
  </si>
  <si>
    <t>C02398</t>
  </si>
  <si>
    <t>user2398@example.com</t>
  </si>
  <si>
    <t>200 649 1836</t>
  </si>
  <si>
    <t>C03518</t>
  </si>
  <si>
    <t>user3518@example.com</t>
  </si>
  <si>
    <t>user3422@example.com</t>
  </si>
  <si>
    <t>user2564@example.com</t>
  </si>
  <si>
    <t>C01606</t>
  </si>
  <si>
    <t>user1606@example.com</t>
  </si>
  <si>
    <t>748.561.3639</t>
  </si>
  <si>
    <t>C04998</t>
  </si>
  <si>
    <t>user4998@example.com</t>
  </si>
  <si>
    <t>C02325</t>
  </si>
  <si>
    <t>user2325@example.com</t>
  </si>
  <si>
    <t>393 945 8363</t>
  </si>
  <si>
    <t>C02710</t>
  </si>
  <si>
    <t>user2710@example.com</t>
  </si>
  <si>
    <t>C04413</t>
  </si>
  <si>
    <t>user4413@example.com</t>
  </si>
  <si>
    <t>403 318 6897</t>
  </si>
  <si>
    <t>C01313</t>
  </si>
  <si>
    <t>user1313@example.com</t>
  </si>
  <si>
    <t>(212) 210-1346</t>
  </si>
  <si>
    <t>C03449</t>
  </si>
  <si>
    <t>user3449@example.com</t>
  </si>
  <si>
    <t>C03813</t>
  </si>
  <si>
    <t>207 803 5340</t>
  </si>
  <si>
    <t>C04671</t>
  </si>
  <si>
    <t>user4671@example.com</t>
  </si>
  <si>
    <t>330.232.4713</t>
  </si>
  <si>
    <t>C02363</t>
  </si>
  <si>
    <t>user2363@example.com</t>
  </si>
  <si>
    <t>C01976</t>
  </si>
  <si>
    <t>user1976@example.com</t>
  </si>
  <si>
    <t>806-270-2196</t>
  </si>
  <si>
    <t>C03515</t>
  </si>
  <si>
    <t>user3515@example.com</t>
  </si>
  <si>
    <t>C01762</t>
  </si>
  <si>
    <t>user1762@example.com</t>
  </si>
  <si>
    <t>C02740</t>
  </si>
  <si>
    <t>user2740@example.com</t>
  </si>
  <si>
    <t>(999) 769-5466</t>
  </si>
  <si>
    <t>C04675</t>
  </si>
  <si>
    <t>user4675@example.com</t>
  </si>
  <si>
    <t>623-291-7374</t>
  </si>
  <si>
    <t>C02473</t>
  </si>
  <si>
    <t>user2473@example.com</t>
  </si>
  <si>
    <t>511-688-5813</t>
  </si>
  <si>
    <t>C04008</t>
  </si>
  <si>
    <t>766 997 5939</t>
  </si>
  <si>
    <t>C01494</t>
  </si>
  <si>
    <t>user1494@example.com</t>
  </si>
  <si>
    <t>C04207</t>
  </si>
  <si>
    <t>user4207@example.com</t>
  </si>
  <si>
    <t>C02159</t>
  </si>
  <si>
    <t>user2159@example.com</t>
  </si>
  <si>
    <t>C01170</t>
  </si>
  <si>
    <t>user1170@example.com</t>
  </si>
  <si>
    <t>(715) 390-3389</t>
  </si>
  <si>
    <t>C04531</t>
  </si>
  <si>
    <t>user4531@example.com</t>
  </si>
  <si>
    <t>(272) 839-8811</t>
  </si>
  <si>
    <t>C00233</t>
  </si>
  <si>
    <t>user233@example.com</t>
  </si>
  <si>
    <t>564.599.1495</t>
  </si>
  <si>
    <t>C01604</t>
  </si>
  <si>
    <t>user1604@example.com</t>
  </si>
  <si>
    <t>175 598 2250</t>
  </si>
  <si>
    <t>C03284</t>
  </si>
  <si>
    <t>user3284@example.com</t>
  </si>
  <si>
    <t>(100) 167-3677</t>
  </si>
  <si>
    <t>user3597@example.com</t>
  </si>
  <si>
    <t>user126@example.com</t>
  </si>
  <si>
    <t>(136) 811-5981</t>
  </si>
  <si>
    <t>C01977</t>
  </si>
  <si>
    <t>(627) 987-9672</t>
  </si>
  <si>
    <t>C04532</t>
  </si>
  <si>
    <t>user4532@example.com</t>
  </si>
  <si>
    <t>(101) 155-3910</t>
  </si>
  <si>
    <t>C04691</t>
  </si>
  <si>
    <t>user4691@example.com</t>
  </si>
  <si>
    <t>257.454.3527</t>
  </si>
  <si>
    <t>C02076</t>
  </si>
  <si>
    <t>user2076@example.com</t>
  </si>
  <si>
    <t>(951) 720-6114</t>
  </si>
  <si>
    <t>C03087</t>
  </si>
  <si>
    <t>user3087@example.com</t>
  </si>
  <si>
    <t>C04360</t>
  </si>
  <si>
    <t>194.723.7599</t>
  </si>
  <si>
    <t>C03346</t>
  </si>
  <si>
    <t>774 507 6301</t>
  </si>
  <si>
    <t>C04479</t>
  </si>
  <si>
    <t>user4479@example.com</t>
  </si>
  <si>
    <t>612 373 3053</t>
  </si>
  <si>
    <t>C02798</t>
  </si>
  <si>
    <t>user2798@example.com</t>
  </si>
  <si>
    <t>(322) 829-4128</t>
  </si>
  <si>
    <t>C00919</t>
  </si>
  <si>
    <t>C01647</t>
  </si>
  <si>
    <t>C00365</t>
  </si>
  <si>
    <t>user365@example.com</t>
  </si>
  <si>
    <t>C03288</t>
  </si>
  <si>
    <t>user3288@example.com</t>
  </si>
  <si>
    <t>785-570-6615</t>
  </si>
  <si>
    <t>C02126</t>
  </si>
  <si>
    <t>391.940.7982</t>
  </si>
  <si>
    <t>C04124</t>
  </si>
  <si>
    <t>user4124@example.com</t>
  </si>
  <si>
    <t>(962) 293-7230</t>
  </si>
  <si>
    <t>C00526</t>
  </si>
  <si>
    <t>832 476 6049</t>
  </si>
  <si>
    <t>C00056</t>
  </si>
  <si>
    <t>user56@example.com</t>
  </si>
  <si>
    <t>791 151 2735</t>
  </si>
  <si>
    <t>C00639</t>
  </si>
  <si>
    <t>user639@example.com</t>
  </si>
  <si>
    <t>992.929.4066</t>
  </si>
  <si>
    <t>user303@example.com</t>
  </si>
  <si>
    <t>283 395 2260</t>
  </si>
  <si>
    <t>C02767</t>
  </si>
  <si>
    <t>user2767@example.com</t>
  </si>
  <si>
    <t>C01277</t>
  </si>
  <si>
    <t>user1277@example.com</t>
  </si>
  <si>
    <t>609 627 9722</t>
  </si>
  <si>
    <t>C02056</t>
  </si>
  <si>
    <t>user2056@example.com</t>
  </si>
  <si>
    <t>C03645</t>
  </si>
  <si>
    <t>user3645@example.com</t>
  </si>
  <si>
    <t>C04144</t>
  </si>
  <si>
    <t>user4144@example.com</t>
  </si>
  <si>
    <t>(837) 371-8033</t>
  </si>
  <si>
    <t>C02879</t>
  </si>
  <si>
    <t>user2879@example.com</t>
  </si>
  <si>
    <t>(999) 655-4102</t>
  </si>
  <si>
    <t>C04203</t>
  </si>
  <si>
    <t>708-771-5933</t>
  </si>
  <si>
    <t>C02287</t>
  </si>
  <si>
    <t>user2287@example.com</t>
  </si>
  <si>
    <t>C02262</t>
  </si>
  <si>
    <t>(534) 644-7282</t>
  </si>
  <si>
    <t>C02297</t>
  </si>
  <si>
    <t>user2297@example.com</t>
  </si>
  <si>
    <t>326-330-1296</t>
  </si>
  <si>
    <t>C01754</t>
  </si>
  <si>
    <t>user1754@example.com</t>
  </si>
  <si>
    <t>460 776 1010</t>
  </si>
  <si>
    <t>C01969</t>
  </si>
  <si>
    <t>user1969@example.com</t>
  </si>
  <si>
    <t>C04366</t>
  </si>
  <si>
    <t>user4366@example.com</t>
  </si>
  <si>
    <t>235.207.6678</t>
  </si>
  <si>
    <t>C03118</t>
  </si>
  <si>
    <t>user3118@example.com</t>
  </si>
  <si>
    <t>C02394</t>
  </si>
  <si>
    <t>user2394@example.com</t>
  </si>
  <si>
    <t>C00524</t>
  </si>
  <si>
    <t>user524@example.com</t>
  </si>
  <si>
    <t>658.533.8780</t>
  </si>
  <si>
    <t>C03901</t>
  </si>
  <si>
    <t>user3901@example.com</t>
  </si>
  <si>
    <t>C03123</t>
  </si>
  <si>
    <t>user3123@example.com</t>
  </si>
  <si>
    <t>249-783-3080</t>
  </si>
  <si>
    <t>C04157</t>
  </si>
  <si>
    <t>user4157@example.com</t>
  </si>
  <si>
    <t>C01970</t>
  </si>
  <si>
    <t>220.183.7692</t>
  </si>
  <si>
    <t>C00672</t>
  </si>
  <si>
    <t>user672@example.com</t>
  </si>
  <si>
    <t>953 789 6902</t>
  </si>
  <si>
    <t>user4189@example.com</t>
  </si>
  <si>
    <t>C00667</t>
  </si>
  <si>
    <t>user667@example.com</t>
  </si>
  <si>
    <t>(394) 843-4149</t>
  </si>
  <si>
    <t>C04353</t>
  </si>
  <si>
    <t>user4353@example.com</t>
  </si>
  <si>
    <t>C01888</t>
  </si>
  <si>
    <t>user1888@example.com</t>
  </si>
  <si>
    <t>C03267</t>
  </si>
  <si>
    <t>203-249-5417</t>
  </si>
  <si>
    <t>C00281</t>
  </si>
  <si>
    <t>user281@example.com</t>
  </si>
  <si>
    <t>741.575.1022</t>
  </si>
  <si>
    <t>C01720</t>
  </si>
  <si>
    <t>C02948</t>
  </si>
  <si>
    <t>user2948@example.com</t>
  </si>
  <si>
    <t>C00900</t>
  </si>
  <si>
    <t>user900@example.com</t>
  </si>
  <si>
    <t>550.299.6896</t>
  </si>
  <si>
    <t>C00955</t>
  </si>
  <si>
    <t>C00761</t>
  </si>
  <si>
    <t>user761@example.com</t>
  </si>
  <si>
    <t>user1907@example.com</t>
  </si>
  <si>
    <t>654-881-6698</t>
  </si>
  <si>
    <t>C04043</t>
  </si>
  <si>
    <t>user4043@example.com</t>
  </si>
  <si>
    <t>C03824</t>
  </si>
  <si>
    <t>user3824@example.com</t>
  </si>
  <si>
    <t>C04139</t>
  </si>
  <si>
    <t>user4139@example.com</t>
  </si>
  <si>
    <t>840.486.6800</t>
  </si>
  <si>
    <t>C03819</t>
  </si>
  <si>
    <t>user3819@example.com</t>
  </si>
  <si>
    <t>(540) 738-9877</t>
  </si>
  <si>
    <t>C04301</t>
  </si>
  <si>
    <t>user4301@example.com</t>
  </si>
  <si>
    <t>501-936-3574</t>
  </si>
  <si>
    <t>C02594</t>
  </si>
  <si>
    <t>user2594@example.com</t>
  </si>
  <si>
    <t>C04165</t>
  </si>
  <si>
    <t>360-428-9372</t>
  </si>
  <si>
    <t>C03032</t>
  </si>
  <si>
    <t>user3032@example.com</t>
  </si>
  <si>
    <t>user3580@example.com</t>
  </si>
  <si>
    <t>254-279-5734</t>
  </si>
  <si>
    <t>C02833</t>
  </si>
  <si>
    <t>120 603 6633</t>
  </si>
  <si>
    <t>user3473@example.com</t>
  </si>
  <si>
    <t>213 394 3305</t>
  </si>
  <si>
    <t>C00138</t>
  </si>
  <si>
    <t>user138@example.com</t>
  </si>
  <si>
    <t>C02181</t>
  </si>
  <si>
    <t>user2181@example.com</t>
  </si>
  <si>
    <t>449-577-2410</t>
  </si>
  <si>
    <t>C02129</t>
  </si>
  <si>
    <t>user2129@example.com</t>
  </si>
  <si>
    <t>C03178</t>
  </si>
  <si>
    <t>user3178@example.com</t>
  </si>
  <si>
    <t>540.346.4776</t>
  </si>
  <si>
    <t>C04382</t>
  </si>
  <si>
    <t>user4382@example.com</t>
  </si>
  <si>
    <t>C04262</t>
  </si>
  <si>
    <t>user4262@example.com</t>
  </si>
  <si>
    <t>273 131 4139</t>
  </si>
  <si>
    <t>C04345</t>
  </si>
  <si>
    <t>user4345@example.com</t>
  </si>
  <si>
    <t>(471) 564-2270</t>
  </si>
  <si>
    <t>C01332</t>
  </si>
  <si>
    <t>user1332@example.com</t>
  </si>
  <si>
    <t>622-537-1846</t>
  </si>
  <si>
    <t>C02018</t>
  </si>
  <si>
    <t>user2018@example.com</t>
  </si>
  <si>
    <t>C02483</t>
  </si>
  <si>
    <t>user2483@example.com</t>
  </si>
  <si>
    <t>(653) 456-2134</t>
  </si>
  <si>
    <t>C01359</t>
  </si>
  <si>
    <t>user1359@example.com</t>
  </si>
  <si>
    <t>C01330</t>
  </si>
  <si>
    <t>637 413 4791</t>
  </si>
  <si>
    <t>C02151</t>
  </si>
  <si>
    <t>user2151@example.com</t>
  </si>
  <si>
    <t>C03982</t>
  </si>
  <si>
    <t>user3982@example.com</t>
  </si>
  <si>
    <t>C01253</t>
  </si>
  <si>
    <t>user1253@example.com</t>
  </si>
  <si>
    <t>C03279</t>
  </si>
  <si>
    <t>user3279@example.com</t>
  </si>
  <si>
    <t>C03375</t>
  </si>
  <si>
    <t>C02815</t>
  </si>
  <si>
    <t>user2815@example.com</t>
  </si>
  <si>
    <t>905-166-2404</t>
  </si>
  <si>
    <t>user1849@example.com</t>
  </si>
  <si>
    <t>user3038@example.com</t>
  </si>
  <si>
    <t>C00389</t>
  </si>
  <si>
    <t>user389@example.com</t>
  </si>
  <si>
    <t>C00236</t>
  </si>
  <si>
    <t>user236@example.com</t>
  </si>
  <si>
    <t>(220) 642-2567</t>
  </si>
  <si>
    <t>441-239-8688</t>
  </si>
  <si>
    <t>C01985</t>
  </si>
  <si>
    <t>user1985@example.com</t>
  </si>
  <si>
    <t>C04364</t>
  </si>
  <si>
    <t>user4364@example.com</t>
  </si>
  <si>
    <t>154 930 5330</t>
  </si>
  <si>
    <t>C03963</t>
  </si>
  <si>
    <t>user3963@example.com</t>
  </si>
  <si>
    <t>291-684-3856</t>
  </si>
  <si>
    <t>C00771</t>
  </si>
  <si>
    <t>user771@example.com</t>
  </si>
  <si>
    <t>C02166</t>
  </si>
  <si>
    <t>139-478-1472</t>
  </si>
  <si>
    <t>user674@example.com</t>
  </si>
  <si>
    <t>C00250</t>
  </si>
  <si>
    <t>user250@example.com</t>
  </si>
  <si>
    <t>(897) 212-6343</t>
  </si>
  <si>
    <t>C01575</t>
  </si>
  <si>
    <t>(909) 483-9502</t>
  </si>
  <si>
    <t>C03420</t>
  </si>
  <si>
    <t>user3420@example.com</t>
  </si>
  <si>
    <t>139.979.2746</t>
  </si>
  <si>
    <t>C02082</t>
  </si>
  <si>
    <t>user2082@example.com</t>
  </si>
  <si>
    <t>391 819 9736</t>
  </si>
  <si>
    <t>C01824</t>
  </si>
  <si>
    <t>user1824@example.com</t>
  </si>
  <si>
    <t>C00717</t>
  </si>
  <si>
    <t>user717@example.com</t>
  </si>
  <si>
    <t>C04684</t>
  </si>
  <si>
    <t>user4684@example.com</t>
  </si>
  <si>
    <t>C02049</t>
  </si>
  <si>
    <t>user2049@example.com</t>
  </si>
  <si>
    <t>366 155 5396</t>
  </si>
  <si>
    <t>C04179</t>
  </si>
  <si>
    <t>378-181-8255</t>
  </si>
  <si>
    <t>C02725</t>
  </si>
  <si>
    <t>user2725@example.com</t>
  </si>
  <si>
    <t>292 460 9810</t>
  </si>
  <si>
    <t>C04536</t>
  </si>
  <si>
    <t>user4536@example.com</t>
  </si>
  <si>
    <t>190.384.5566</t>
  </si>
  <si>
    <t>user1461@example.com</t>
  </si>
  <si>
    <t>C01669</t>
  </si>
  <si>
    <t>user1669@example.com</t>
  </si>
  <si>
    <t>C02757</t>
  </si>
  <si>
    <t>user2757@example.com</t>
  </si>
  <si>
    <t>(185) 880-2104</t>
  </si>
  <si>
    <t>C02001</t>
  </si>
  <si>
    <t>C00405</t>
  </si>
  <si>
    <t>user405@example.com</t>
  </si>
  <si>
    <t>user385@example.com</t>
  </si>
  <si>
    <t>481.897.8944</t>
  </si>
  <si>
    <t>C04507</t>
  </si>
  <si>
    <t>user4507@example.com</t>
  </si>
  <si>
    <t>478 462 9530</t>
  </si>
  <si>
    <t>C02153</t>
  </si>
  <si>
    <t>user2153@example.com</t>
  </si>
  <si>
    <t>C01634</t>
  </si>
  <si>
    <t>user1634@example.com</t>
  </si>
  <si>
    <t>(898) 421-3003</t>
  </si>
  <si>
    <t>C04601</t>
  </si>
  <si>
    <t>user4601@example.com</t>
  </si>
  <si>
    <t>C03926</t>
  </si>
  <si>
    <t>user3926@example.com</t>
  </si>
  <si>
    <t>229-304-3346</t>
  </si>
  <si>
    <t>C00224</t>
  </si>
  <si>
    <t>C02194</t>
  </si>
  <si>
    <t>user2194@example.com</t>
  </si>
  <si>
    <t>814.550.5334</t>
  </si>
  <si>
    <t>C03137</t>
  </si>
  <si>
    <t>user3137@example.com</t>
  </si>
  <si>
    <t>C01825</t>
  </si>
  <si>
    <t>user1825@example.com</t>
  </si>
  <si>
    <t>146-130-3607</t>
  </si>
  <si>
    <t>C04616</t>
  </si>
  <si>
    <t>user4616@example.com</t>
  </si>
  <si>
    <t>564-990-5524</t>
  </si>
  <si>
    <t>user798@example.com</t>
  </si>
  <si>
    <t>(901) 245-7116</t>
  </si>
  <si>
    <t>C02872</t>
  </si>
  <si>
    <t>user2872@example.com</t>
  </si>
  <si>
    <t>428 740 9672</t>
  </si>
  <si>
    <t>C00010</t>
  </si>
  <si>
    <t>user10@example.com</t>
  </si>
  <si>
    <t>909.169.6042</t>
  </si>
  <si>
    <t>C01945</t>
  </si>
  <si>
    <t>401 736 1510</t>
  </si>
  <si>
    <t>user1839@example.com</t>
  </si>
  <si>
    <t>C00256</t>
  </si>
  <si>
    <t>user256@example.com</t>
  </si>
  <si>
    <t>837 298 6875</t>
  </si>
  <si>
    <t>C04523</t>
  </si>
  <si>
    <t>user4523@example.com</t>
  </si>
  <si>
    <t>(820) 807-2543</t>
  </si>
  <si>
    <t>C01582</t>
  </si>
  <si>
    <t>629.262.8166</t>
  </si>
  <si>
    <t>C02957</t>
  </si>
  <si>
    <t>user2957@example.com</t>
  </si>
  <si>
    <t>(422) 951-7144</t>
  </si>
  <si>
    <t>C00925</t>
  </si>
  <si>
    <t>user925@example.com</t>
  </si>
  <si>
    <t>C04444</t>
  </si>
  <si>
    <t>user4444@example.com</t>
  </si>
  <si>
    <t>C02509</t>
  </si>
  <si>
    <t>user2509@example.com</t>
  </si>
  <si>
    <t>C03776</t>
  </si>
  <si>
    <t>user3776@example.com</t>
  </si>
  <si>
    <t>(578) 607-9947</t>
  </si>
  <si>
    <t>C04137</t>
  </si>
  <si>
    <t>665 757 5065</t>
  </si>
  <si>
    <t>C02780</t>
  </si>
  <si>
    <t>user2780@example.com</t>
  </si>
  <si>
    <t>C00540</t>
  </si>
  <si>
    <t>user540@example.com</t>
  </si>
  <si>
    <t>460-530-9973</t>
  </si>
  <si>
    <t>C02746</t>
  </si>
  <si>
    <t>user2746@example.com</t>
  </si>
  <si>
    <t>(778) 806-4653</t>
  </si>
  <si>
    <t>C04513</t>
  </si>
  <si>
    <t>user4513@example.com</t>
  </si>
  <si>
    <t>(541) 817-3756</t>
  </si>
  <si>
    <t>C04586</t>
  </si>
  <si>
    <t>user4586@example.com</t>
  </si>
  <si>
    <t>C01146</t>
  </si>
  <si>
    <t>user1146@example.com</t>
  </si>
  <si>
    <t>C00668</t>
  </si>
  <si>
    <t>user668@example.com</t>
  </si>
  <si>
    <t>C03020</t>
  </si>
  <si>
    <t>842-340-8458</t>
  </si>
  <si>
    <t>user358@example.com</t>
  </si>
  <si>
    <t>(290) 952-7254</t>
  </si>
  <si>
    <t>C02832</t>
  </si>
  <si>
    <t>698 685 3979</t>
  </si>
  <si>
    <t>C02784</t>
  </si>
  <si>
    <t>user2784@example.com</t>
  </si>
  <si>
    <t>user1354@example.com</t>
  </si>
  <si>
    <t>C00471</t>
  </si>
  <si>
    <t>user471@example.com</t>
  </si>
  <si>
    <t>651-433-1612</t>
  </si>
  <si>
    <t>C02704</t>
  </si>
  <si>
    <t>user2704@example.com</t>
  </si>
  <si>
    <t>902 558 2906</t>
  </si>
  <si>
    <t>C03331</t>
  </si>
  <si>
    <t>user3331@example.com</t>
  </si>
  <si>
    <t>user3638@example.com</t>
  </si>
  <si>
    <t>845 327 3316</t>
  </si>
  <si>
    <t>C01397</t>
  </si>
  <si>
    <t>user1397@example.com</t>
  </si>
  <si>
    <t>946-113-1716</t>
  </si>
  <si>
    <t>C03585</t>
  </si>
  <si>
    <t>C04501</t>
  </si>
  <si>
    <t>user4501@example.com</t>
  </si>
  <si>
    <t>872.997.9897</t>
  </si>
  <si>
    <t>C03377</t>
  </si>
  <si>
    <t>C01257</t>
  </si>
  <si>
    <t>user1257@example.com</t>
  </si>
  <si>
    <t>(453) 925-9711</t>
  </si>
  <si>
    <t>C03513</t>
  </si>
  <si>
    <t>user3513@example.com</t>
  </si>
  <si>
    <t>(195) 448-4878</t>
  </si>
  <si>
    <t>C01251</t>
  </si>
  <si>
    <t>C04823</t>
  </si>
  <si>
    <t>user4823@example.com</t>
  </si>
  <si>
    <t>(924) 769-2469</t>
  </si>
  <si>
    <t>C04299</t>
  </si>
  <si>
    <t>user4299@example.com</t>
  </si>
  <si>
    <t>(343) 681-2690</t>
  </si>
  <si>
    <t>C03285</t>
  </si>
  <si>
    <t>user3285@example.com</t>
  </si>
  <si>
    <t>371-844-8907</t>
  </si>
  <si>
    <t>C02934</t>
  </si>
  <si>
    <t>user2934@example.com</t>
  </si>
  <si>
    <t>560-498-4165</t>
  </si>
  <si>
    <t>C04176</t>
  </si>
  <si>
    <t>user4176@example.com</t>
  </si>
  <si>
    <t>C01853</t>
  </si>
  <si>
    <t>993-992-3586</t>
  </si>
  <si>
    <t>C04885</t>
  </si>
  <si>
    <t>user4885@example.com</t>
  </si>
  <si>
    <t>(325) 670-8444</t>
  </si>
  <si>
    <t>C02106</t>
  </si>
  <si>
    <t>user2106@example.com</t>
  </si>
  <si>
    <t>534-607-3797</t>
  </si>
  <si>
    <t>C00134</t>
  </si>
  <si>
    <t>user134@example.com</t>
  </si>
  <si>
    <t>C00929</t>
  </si>
  <si>
    <t>user929@example.com</t>
  </si>
  <si>
    <t>663.186.3200</t>
  </si>
  <si>
    <t>C00824</t>
  </si>
  <si>
    <t>user824@example.com</t>
  </si>
  <si>
    <t>281 959 1138</t>
  </si>
  <si>
    <t>C04558</t>
  </si>
  <si>
    <t>C01532</t>
  </si>
  <si>
    <t>user1532@example.com</t>
  </si>
  <si>
    <t>183 405 8396</t>
  </si>
  <si>
    <t>C01215</t>
  </si>
  <si>
    <t>user1215@example.com</t>
  </si>
  <si>
    <t>C00505</t>
  </si>
  <si>
    <t>user505@example.com</t>
  </si>
  <si>
    <t>762 137 4309</t>
  </si>
  <si>
    <t>C04286</t>
  </si>
  <si>
    <t>(649) 567-9230</t>
  </si>
  <si>
    <t>C01997</t>
  </si>
  <si>
    <t>user1997@example.com</t>
  </si>
  <si>
    <t>631 384 6150</t>
  </si>
  <si>
    <t>C03073</t>
  </si>
  <si>
    <t>user3073@example.com</t>
  </si>
  <si>
    <t>C01959</t>
  </si>
  <si>
    <t>user1959@example.com</t>
  </si>
  <si>
    <t>(956) 689-5801</t>
  </si>
  <si>
    <t>C01385</t>
  </si>
  <si>
    <t>user1385@example.com</t>
  </si>
  <si>
    <t>(556) 337-8109</t>
  </si>
  <si>
    <t>C00895</t>
  </si>
  <si>
    <t>user895@example.com</t>
  </si>
  <si>
    <t>237 419 7374</t>
  </si>
  <si>
    <t>C04652</t>
  </si>
  <si>
    <t>290.427.8587</t>
  </si>
  <si>
    <t>C03710</t>
  </si>
  <si>
    <t>user3710@example.com</t>
  </si>
  <si>
    <t>121.890.9199</t>
  </si>
  <si>
    <t>user4634@example.com</t>
  </si>
  <si>
    <t>617 916 8547</t>
  </si>
  <si>
    <t>C04269</t>
  </si>
  <si>
    <t>user4269@example.com</t>
  </si>
  <si>
    <t>495-723-4760</t>
  </si>
  <si>
    <t>C03523</t>
  </si>
  <si>
    <t>user3523@example.com</t>
  </si>
  <si>
    <t>856-199-1349</t>
  </si>
  <si>
    <t>C04135</t>
  </si>
  <si>
    <t>user4135@example.com</t>
  </si>
  <si>
    <t>909-694-7938</t>
  </si>
  <si>
    <t>C03603</t>
  </si>
  <si>
    <t>user3603@example.com</t>
  </si>
  <si>
    <t>740.850.5237</t>
  </si>
  <si>
    <t>C00714</t>
  </si>
  <si>
    <t>user714@example.com</t>
  </si>
  <si>
    <t>C04187</t>
  </si>
  <si>
    <t>user4187@example.com</t>
  </si>
  <si>
    <t>C02215</t>
  </si>
  <si>
    <t>user2215@example.com</t>
  </si>
  <si>
    <t>C02924</t>
  </si>
  <si>
    <t>user2924@example.com</t>
  </si>
  <si>
    <t>678.584.2034</t>
  </si>
  <si>
    <t>C01811</t>
  </si>
  <si>
    <t>user1811@example.com</t>
  </si>
  <si>
    <t>user3487@example.com</t>
  </si>
  <si>
    <t>864.513.1332</t>
  </si>
  <si>
    <t>C03142</t>
  </si>
  <si>
    <t>user3142@example.com</t>
  </si>
  <si>
    <t>956.648.6359</t>
  </si>
  <si>
    <t>C01828</t>
  </si>
  <si>
    <t>(890) 927-4876</t>
  </si>
  <si>
    <t>C01156</t>
  </si>
  <si>
    <t>user1156@example.com</t>
  </si>
  <si>
    <t>C01325</t>
  </si>
  <si>
    <t>user1325@example.com</t>
  </si>
  <si>
    <t>(975) 705-3436</t>
  </si>
  <si>
    <t>C04313</t>
  </si>
  <si>
    <t>user4313@example.com</t>
  </si>
  <si>
    <t>163.841.4854</t>
  </si>
  <si>
    <t>C00511</t>
  </si>
  <si>
    <t>user511@example.com</t>
  </si>
  <si>
    <t>421-716-5882</t>
  </si>
  <si>
    <t>292 599 2712</t>
  </si>
  <si>
    <t>C00500</t>
  </si>
  <si>
    <t>C04551</t>
  </si>
  <si>
    <t>user4551@example.com</t>
  </si>
  <si>
    <t>(102) 798-1941</t>
  </si>
  <si>
    <t>C01857</t>
  </si>
  <si>
    <t>user1857@example.com</t>
  </si>
  <si>
    <t>C01389</t>
  </si>
  <si>
    <t>user1389@example.com</t>
  </si>
  <si>
    <t>C03720</t>
  </si>
  <si>
    <t>user3720@example.com</t>
  </si>
  <si>
    <t>C02387</t>
  </si>
  <si>
    <t>user2387@example.com</t>
  </si>
  <si>
    <t>C03237</t>
  </si>
  <si>
    <t>user3237@example.com</t>
  </si>
  <si>
    <t>351 565 3869</t>
  </si>
  <si>
    <t>C01541</t>
  </si>
  <si>
    <t>user1541@example.com</t>
  </si>
  <si>
    <t>840-783-3369</t>
  </si>
  <si>
    <t>C01218</t>
  </si>
  <si>
    <t>user1218@example.com</t>
  </si>
  <si>
    <t>C02682</t>
  </si>
  <si>
    <t>user2682@example.com</t>
  </si>
  <si>
    <t>418-463-3906</t>
  </si>
  <si>
    <t>C02994</t>
  </si>
  <si>
    <t>user2994@example.com</t>
  </si>
  <si>
    <t>309 289 2846</t>
  </si>
  <si>
    <t>C01192</t>
  </si>
  <si>
    <t>user1192@example.com</t>
  </si>
  <si>
    <t>(314) 323-4205</t>
  </si>
  <si>
    <t>C01543</t>
  </si>
  <si>
    <t>user1543@example.com</t>
  </si>
  <si>
    <t>254-569-3416</t>
  </si>
  <si>
    <t>C03302</t>
  </si>
  <si>
    <t>user3302@example.com</t>
  </si>
  <si>
    <t>680 439 5900</t>
  </si>
  <si>
    <t>C03325</t>
  </si>
  <si>
    <t>user3325@example.com</t>
  </si>
  <si>
    <t>user2540@example.com</t>
  </si>
  <si>
    <t>C00954</t>
  </si>
  <si>
    <t>user954@example.com</t>
  </si>
  <si>
    <t>(539) 888-7843</t>
  </si>
  <si>
    <t>C04331</t>
  </si>
  <si>
    <t>user4331@example.com</t>
  </si>
  <si>
    <t>782.903.3293</t>
  </si>
  <si>
    <t>C01157</t>
  </si>
  <si>
    <t>(328) 365-2895</t>
  </si>
  <si>
    <t>C03295</t>
  </si>
  <si>
    <t>user3295@example.com</t>
  </si>
  <si>
    <t>378 436 9336</t>
  </si>
  <si>
    <t>C02983</t>
  </si>
  <si>
    <t>user2983@example.com</t>
  </si>
  <si>
    <t>C02157</t>
  </si>
  <si>
    <t>user2157@example.com</t>
  </si>
  <si>
    <t>(105) 700-6085</t>
  </si>
  <si>
    <t>C01063</t>
  </si>
  <si>
    <t>user1063@example.com</t>
  </si>
  <si>
    <t>(619) 180-7983</t>
  </si>
  <si>
    <t>C02617</t>
  </si>
  <si>
    <t>user2617@example.com</t>
  </si>
  <si>
    <t>C01168</t>
  </si>
  <si>
    <t>user1168@example.com</t>
  </si>
  <si>
    <t>423 248 5863</t>
  </si>
  <si>
    <t>C03223</t>
  </si>
  <si>
    <t>user3223@example.com</t>
  </si>
  <si>
    <t>C03637</t>
  </si>
  <si>
    <t>user3637@example.com</t>
  </si>
  <si>
    <t>C02939</t>
  </si>
  <si>
    <t>user2939@example.com</t>
  </si>
  <si>
    <t>C04492</t>
  </si>
  <si>
    <t>115-854-1523</t>
  </si>
  <si>
    <t>C03141</t>
  </si>
  <si>
    <t>user3141@example.com</t>
  </si>
  <si>
    <t>C00144</t>
  </si>
  <si>
    <t>user144@example.com</t>
  </si>
  <si>
    <t>408 587 9724</t>
  </si>
  <si>
    <t>user3578@example.com</t>
  </si>
  <si>
    <t>C02783</t>
  </si>
  <si>
    <t>user2783@example.com</t>
  </si>
  <si>
    <t>866 343 9037</t>
  </si>
  <si>
    <t>C00718</t>
  </si>
  <si>
    <t>user718@example.com</t>
  </si>
  <si>
    <t>C01820</t>
  </si>
  <si>
    <t>user1820@example.com</t>
  </si>
  <si>
    <t>C02503</t>
  </si>
  <si>
    <t>user2503@example.com</t>
  </si>
  <si>
    <t>417.956.2069</t>
  </si>
  <si>
    <t>C04361</t>
  </si>
  <si>
    <t>user4361@example.com</t>
  </si>
  <si>
    <t>(546) 372-3900</t>
  </si>
  <si>
    <t>C04172</t>
  </si>
  <si>
    <t>user4172@example.com</t>
  </si>
  <si>
    <t>965 164 8701</t>
  </si>
  <si>
    <t>C00396</t>
  </si>
  <si>
    <t>user396@example.com</t>
  </si>
  <si>
    <t>(231) 977-3332</t>
  </si>
  <si>
    <t>C04852</t>
  </si>
  <si>
    <t>565-834-3671</t>
  </si>
  <si>
    <t>C04493</t>
  </si>
  <si>
    <t>user4493@example.com</t>
  </si>
  <si>
    <t>C01366</t>
  </si>
  <si>
    <t>user1366@example.com</t>
  </si>
  <si>
    <t>615 824 9602</t>
  </si>
  <si>
    <t>C04573</t>
  </si>
  <si>
    <t>771.137.8224</t>
  </si>
  <si>
    <t>C00596</t>
  </si>
  <si>
    <t>user596@example.com</t>
  </si>
  <si>
    <t>457-195-4337</t>
  </si>
  <si>
    <t>C03953</t>
  </si>
  <si>
    <t>user3953@example.com</t>
  </si>
  <si>
    <t>C02915</t>
  </si>
  <si>
    <t>user2915@example.com</t>
  </si>
  <si>
    <t>168-431-8810</t>
  </si>
  <si>
    <t>C02327</t>
  </si>
  <si>
    <t>103.645.6473</t>
  </si>
  <si>
    <t>C03767</t>
  </si>
  <si>
    <t>user3767@example.com</t>
  </si>
  <si>
    <t>337 191 3173</t>
  </si>
  <si>
    <t>C03441</t>
  </si>
  <si>
    <t>user3441@example.com</t>
  </si>
  <si>
    <t>262.705.5056</t>
  </si>
  <si>
    <t>user3852@example.com</t>
  </si>
  <si>
    <t>(753) 352-3180</t>
  </si>
  <si>
    <t>C04133</t>
  </si>
  <si>
    <t>user4133@example.com</t>
  </si>
  <si>
    <t>144.702.6810</t>
  </si>
  <si>
    <t>C04606</t>
  </si>
  <si>
    <t>user4606@example.com</t>
  </si>
  <si>
    <t>926 165 8059</t>
  </si>
  <si>
    <t>C02144</t>
  </si>
  <si>
    <t>user2144@example.com</t>
  </si>
  <si>
    <t>823 585 6816</t>
  </si>
  <si>
    <t>C01572</t>
  </si>
  <si>
    <t>user1572@example.com</t>
  </si>
  <si>
    <t>958.914.7794</t>
  </si>
  <si>
    <t>C04080</t>
  </si>
  <si>
    <t>user4080@example.com</t>
  </si>
  <si>
    <t>914-219-1828</t>
  </si>
  <si>
    <t>C01123</t>
  </si>
  <si>
    <t>user1123@example.com</t>
  </si>
  <si>
    <t>584 875 6521</t>
  </si>
  <si>
    <t>user2787@example.com</t>
  </si>
  <si>
    <t>C02968</t>
  </si>
  <si>
    <t>451 868 2139</t>
  </si>
  <si>
    <t>C02505</t>
  </si>
  <si>
    <t>(818) 186-7384</t>
  </si>
  <si>
    <t>C00676</t>
  </si>
  <si>
    <t>(304) 260-9063</t>
  </si>
  <si>
    <t>C02809</t>
  </si>
  <si>
    <t>user2809@example.com</t>
  </si>
  <si>
    <t>863.796.3553</t>
  </si>
  <si>
    <t>C03349</t>
  </si>
  <si>
    <t>user3349@example.com</t>
  </si>
  <si>
    <t>990-902-3689</t>
  </si>
  <si>
    <t>C00729</t>
  </si>
  <si>
    <t>user729@example.com</t>
  </si>
  <si>
    <t>148-874-3043</t>
  </si>
  <si>
    <t>C00413</t>
  </si>
  <si>
    <t>user413@example.com</t>
  </si>
  <si>
    <t>(872) 650-1070</t>
  </si>
  <si>
    <t>user3147@example.com</t>
  </si>
  <si>
    <t>744.374.5444</t>
  </si>
  <si>
    <t>C01517</t>
  </si>
  <si>
    <t>user1517@example.com</t>
  </si>
  <si>
    <t>579 757 9767</t>
  </si>
  <si>
    <t>C00826</t>
  </si>
  <si>
    <t>109 326 1324</t>
  </si>
  <si>
    <t>C03268</t>
  </si>
  <si>
    <t>user3268@example.com</t>
  </si>
  <si>
    <t>125-621-4583</t>
  </si>
  <si>
    <t>C03975</t>
  </si>
  <si>
    <t>user3975@example.com</t>
  </si>
  <si>
    <t>C00617</t>
  </si>
  <si>
    <t>user617@example.com</t>
  </si>
  <si>
    <t>C00115</t>
  </si>
  <si>
    <t>user115@example.com</t>
  </si>
  <si>
    <t>user418@example.com</t>
  </si>
  <si>
    <t>C03070</t>
  </si>
  <si>
    <t>user3070@example.com</t>
  </si>
  <si>
    <t>C01626</t>
  </si>
  <si>
    <t>user1626@example.com</t>
  </si>
  <si>
    <t>747.939.2052</t>
  </si>
  <si>
    <t>C04966</t>
  </si>
  <si>
    <t>user4966@example.com</t>
  </si>
  <si>
    <t>666.805.3651</t>
  </si>
  <si>
    <t>C04186</t>
  </si>
  <si>
    <t>user2897@example.com</t>
  </si>
  <si>
    <t>659.862.4117</t>
  </si>
  <si>
    <t>C04687</t>
  </si>
  <si>
    <t>user4687@example.com</t>
  </si>
  <si>
    <t>234.248.4437</t>
  </si>
  <si>
    <t>C02083</t>
  </si>
  <si>
    <t>user2083@example.com</t>
  </si>
  <si>
    <t>user754@example.com</t>
  </si>
  <si>
    <t>(902) 703-7910</t>
  </si>
  <si>
    <t>C02547</t>
  </si>
  <si>
    <t>user2547@example.com</t>
  </si>
  <si>
    <t>C03970</t>
  </si>
  <si>
    <t>user3970@example.com</t>
  </si>
  <si>
    <t>user3374@example.com</t>
  </si>
  <si>
    <t>177-921-5483</t>
  </si>
  <si>
    <t>C04108</t>
  </si>
  <si>
    <t>user4108@example.com</t>
  </si>
  <si>
    <t>C02445</t>
  </si>
  <si>
    <t>user2445@example.com</t>
  </si>
  <si>
    <t>C04381</t>
  </si>
  <si>
    <t>user4381@example.com</t>
  </si>
  <si>
    <t>C01067</t>
  </si>
  <si>
    <t>user1067@example.com</t>
  </si>
  <si>
    <t>392.690.8344</t>
  </si>
  <si>
    <t>C03914</t>
  </si>
  <si>
    <t>user3914@example.com</t>
  </si>
  <si>
    <t>C03499</t>
  </si>
  <si>
    <t>user3499@example.com</t>
  </si>
  <si>
    <t>489-583-4215</t>
  </si>
  <si>
    <t>C02739</t>
  </si>
  <si>
    <t>C04001</t>
  </si>
  <si>
    <t>user4001@example.com</t>
  </si>
  <si>
    <t>732-838-1522</t>
  </si>
  <si>
    <t>C01569</t>
  </si>
  <si>
    <t>user1569@example.com</t>
  </si>
  <si>
    <t>940 760 7484</t>
  </si>
  <si>
    <t>C02428</t>
  </si>
  <si>
    <t>user2428@example.com</t>
  </si>
  <si>
    <t>C03747</t>
  </si>
  <si>
    <t>user3747@example.com</t>
  </si>
  <si>
    <t>C04655</t>
  </si>
  <si>
    <t>user4655@example.com</t>
  </si>
  <si>
    <t>(687) 808-3022</t>
  </si>
  <si>
    <t>C01688</t>
  </si>
  <si>
    <t>384-533-3690</t>
  </si>
  <si>
    <t>C00852</t>
  </si>
  <si>
    <t>418.164.2584</t>
  </si>
  <si>
    <t>C03547</t>
  </si>
  <si>
    <t>user3547@example.com</t>
  </si>
  <si>
    <t>user896@example.com</t>
  </si>
  <si>
    <t>C04593</t>
  </si>
  <si>
    <t>(366) 307-1569</t>
  </si>
  <si>
    <t>C00336</t>
  </si>
  <si>
    <t>user336@example.com</t>
  </si>
  <si>
    <t>125.511.4610</t>
  </si>
  <si>
    <t>C02840</t>
  </si>
  <si>
    <t>user2840@example.com</t>
  </si>
  <si>
    <t>736-704-7844</t>
  </si>
  <si>
    <t>C03088</t>
  </si>
  <si>
    <t>(574) 381-7359</t>
  </si>
  <si>
    <t>C04612</t>
  </si>
  <si>
    <t>user4612@example.com</t>
  </si>
  <si>
    <t>(878) 508-3336</t>
  </si>
  <si>
    <t>C01016</t>
  </si>
  <si>
    <t>user1016@example.com</t>
  </si>
  <si>
    <t>C02817</t>
  </si>
  <si>
    <t>user2817@example.com</t>
  </si>
  <si>
    <t>973.192.6133</t>
  </si>
  <si>
    <t>C01632</t>
  </si>
  <si>
    <t>(466) 351-2190</t>
  </si>
  <si>
    <t>C02490</t>
  </si>
  <si>
    <t>user2490@example.com</t>
  </si>
  <si>
    <t>988 861 4417</t>
  </si>
  <si>
    <t>C03731</t>
  </si>
  <si>
    <t>user3731@example.com</t>
  </si>
  <si>
    <t>516.745.2192</t>
  </si>
  <si>
    <t>C03252</t>
  </si>
  <si>
    <t>320-545-3411</t>
  </si>
  <si>
    <t>C04650</t>
  </si>
  <si>
    <t>user4650@example.com</t>
  </si>
  <si>
    <t>125-255-8927</t>
  </si>
  <si>
    <t>C02071</t>
  </si>
  <si>
    <t>user2071@example.com</t>
  </si>
  <si>
    <t>C04453</t>
  </si>
  <si>
    <t>user4453@example.com</t>
  </si>
  <si>
    <t>748 732 6567</t>
  </si>
  <si>
    <t>C04898</t>
  </si>
  <si>
    <t>C01636</t>
  </si>
  <si>
    <t>user1636@example.com</t>
  </si>
  <si>
    <t>C02480</t>
  </si>
  <si>
    <t>user2480@example.com</t>
  </si>
  <si>
    <t>(891) 251-4377</t>
  </si>
  <si>
    <t>C02266</t>
  </si>
  <si>
    <t>user2266@example.com</t>
  </si>
  <si>
    <t>149 575 5615</t>
  </si>
  <si>
    <t>C02960</t>
  </si>
  <si>
    <t>user2960@example.com</t>
  </si>
  <si>
    <t>(434) 727-1565</t>
  </si>
  <si>
    <t>C04747</t>
  </si>
  <si>
    <t>user4747@example.com</t>
  </si>
  <si>
    <t>C03060</t>
  </si>
  <si>
    <t>user3060@example.com</t>
  </si>
  <si>
    <t>(954) 810-4085</t>
  </si>
  <si>
    <t>C02142</t>
  </si>
  <si>
    <t>user2142@example.com</t>
  </si>
  <si>
    <t>612.878.2921</t>
  </si>
  <si>
    <t>C03119</t>
  </si>
  <si>
    <t>user3119@example.com</t>
  </si>
  <si>
    <t>(427) 349-8870</t>
  </si>
  <si>
    <t>C04741</t>
  </si>
  <si>
    <t>user4741@example.com</t>
  </si>
  <si>
    <t>C04046</t>
  </si>
  <si>
    <t>user4046@example.com</t>
  </si>
  <si>
    <t>C03357</t>
  </si>
  <si>
    <t>user3357@example.com</t>
  </si>
  <si>
    <t>C02745</t>
  </si>
  <si>
    <t>user2745@example.com</t>
  </si>
  <si>
    <t>812-885-8358</t>
  </si>
  <si>
    <t>C03507</t>
  </si>
  <si>
    <t>user3507@example.com</t>
  </si>
  <si>
    <t>797-661-8229</t>
  </si>
  <si>
    <t>user1680@example.com</t>
  </si>
  <si>
    <t>C04250</t>
  </si>
  <si>
    <t>user4250@example.com</t>
  </si>
  <si>
    <t>916.870.5396</t>
  </si>
  <si>
    <t>C03148</t>
  </si>
  <si>
    <t>708.625.4732</t>
  </si>
  <si>
    <t>C02295</t>
  </si>
  <si>
    <t>900-524-3126</t>
  </si>
  <si>
    <t>C00581</t>
  </si>
  <si>
    <t>user581@example.com</t>
  </si>
  <si>
    <t>998.579.3161</t>
  </si>
  <si>
    <t>user1471@example.com</t>
  </si>
  <si>
    <t>211.206.2274</t>
  </si>
  <si>
    <t>C04071</t>
  </si>
  <si>
    <t>user4071@example.com</t>
  </si>
  <si>
    <t>C03344</t>
  </si>
  <si>
    <t>user3344@example.com</t>
  </si>
  <si>
    <t>150-132-5131</t>
  </si>
  <si>
    <t>C04584</t>
  </si>
  <si>
    <t>user4584@example.com</t>
  </si>
  <si>
    <t>C03673</t>
  </si>
  <si>
    <t>C00560</t>
  </si>
  <si>
    <t>947 789 9096</t>
  </si>
  <si>
    <t>C02850</t>
  </si>
  <si>
    <t>C00513</t>
  </si>
  <si>
    <t>959 841 3302</t>
  </si>
  <si>
    <t>C01082</t>
  </si>
  <si>
    <t>user1082@example.com</t>
  </si>
  <si>
    <t>C01665</t>
  </si>
  <si>
    <t>user1665@example.com</t>
  </si>
  <si>
    <t>903.144.2815</t>
  </si>
  <si>
    <t>C01013</t>
  </si>
  <si>
    <t>user1013@example.com</t>
  </si>
  <si>
    <t>466 282 4549</t>
  </si>
  <si>
    <t>C01932</t>
  </si>
  <si>
    <t>user1932@example.com</t>
  </si>
  <si>
    <t>770-139-4018</t>
  </si>
  <si>
    <t>C01151</t>
  </si>
  <si>
    <t>user1151@example.com</t>
  </si>
  <si>
    <t>C02839</t>
  </si>
  <si>
    <t>user2839@example.com</t>
  </si>
  <si>
    <t>717.918.9105</t>
  </si>
  <si>
    <t>C00117</t>
  </si>
  <si>
    <t>user117@example.com</t>
  </si>
  <si>
    <t>user741@example.com</t>
  </si>
  <si>
    <t>C04822</t>
  </si>
  <si>
    <t>user4822@example.com</t>
  </si>
  <si>
    <t>871 696 1821</t>
  </si>
  <si>
    <t>C03676</t>
  </si>
  <si>
    <t>user3676@example.com</t>
  </si>
  <si>
    <t>C00831</t>
  </si>
  <si>
    <t>user831@example.com</t>
  </si>
  <si>
    <t>820 823 4425</t>
  </si>
  <si>
    <t>user120@example.com</t>
  </si>
  <si>
    <t>C04795</t>
  </si>
  <si>
    <t>C04754</t>
  </si>
  <si>
    <t>536.807.1553</t>
  </si>
  <si>
    <t>C00636</t>
  </si>
  <si>
    <t>user636@example.com</t>
  </si>
  <si>
    <t>185-526-5876</t>
  </si>
  <si>
    <t>user4466@example.com</t>
  </si>
  <si>
    <t>173-655-5913</t>
  </si>
  <si>
    <t>C04365</t>
  </si>
  <si>
    <t>user4365@example.com</t>
  </si>
  <si>
    <t>C04143</t>
  </si>
  <si>
    <t>user4143@example.com</t>
  </si>
  <si>
    <t>user992@example.com</t>
  </si>
  <si>
    <t>815 144 4927</t>
  </si>
  <si>
    <t>C00877</t>
  </si>
  <si>
    <t>user877@example.com</t>
  </si>
  <si>
    <t>(348) 240-1722</t>
  </si>
  <si>
    <t>C00005</t>
  </si>
  <si>
    <t>user5@example.com</t>
  </si>
  <si>
    <t>124-576-2932</t>
  </si>
  <si>
    <t>C03052</t>
  </si>
  <si>
    <t>user3052@example.com</t>
  </si>
  <si>
    <t>632-206-1066</t>
  </si>
  <si>
    <t>C03125</t>
  </si>
  <si>
    <t>625 174 3698</t>
  </si>
  <si>
    <t>user2661@example.com</t>
  </si>
  <si>
    <t>C02492</t>
  </si>
  <si>
    <t>user2492@example.com</t>
  </si>
  <si>
    <t>303 310 7234</t>
  </si>
  <si>
    <t>user3855@example.com</t>
  </si>
  <si>
    <t>514.268.5271</t>
  </si>
  <si>
    <t>C01716</t>
  </si>
  <si>
    <t>user1716@example.com</t>
  </si>
  <si>
    <t>(440) 566-3323</t>
  </si>
  <si>
    <t>C01149</t>
  </si>
  <si>
    <t>user1149@example.com</t>
  </si>
  <si>
    <t>(434) 492-5593</t>
  </si>
  <si>
    <t>C03262</t>
  </si>
  <si>
    <t>user3262@example.com</t>
  </si>
  <si>
    <t>495 769 8100</t>
  </si>
  <si>
    <t>user575@example.com</t>
  </si>
  <si>
    <t>C03770</t>
  </si>
  <si>
    <t>user3770@example.com</t>
  </si>
  <si>
    <t>657 181 8606</t>
  </si>
  <si>
    <t>C03737</t>
  </si>
  <si>
    <t>654 252 4942</t>
  </si>
  <si>
    <t>user4147@example.com</t>
  </si>
  <si>
    <t>256-674-6538</t>
  </si>
  <si>
    <t>C00854</t>
  </si>
  <si>
    <t>user854@example.com</t>
  </si>
  <si>
    <t>C01983</t>
  </si>
  <si>
    <t>user1983@example.com</t>
  </si>
  <si>
    <t>C02775</t>
  </si>
  <si>
    <t>user2775@example.com</t>
  </si>
  <si>
    <t>139.246.2700</t>
  </si>
  <si>
    <t>C01167</t>
  </si>
  <si>
    <t>user1167@example.com</t>
  </si>
  <si>
    <t>504-109-9819</t>
  </si>
  <si>
    <t>user972@example.com</t>
  </si>
  <si>
    <t>775.636.2146</t>
  </si>
  <si>
    <t>C02702</t>
  </si>
  <si>
    <t>user2702@example.com</t>
  </si>
  <si>
    <t>297 717 3543</t>
  </si>
  <si>
    <t>C04496</t>
  </si>
  <si>
    <t>user4496@example.com</t>
  </si>
  <si>
    <t>C03848</t>
  </si>
  <si>
    <t>654.280.6613</t>
  </si>
  <si>
    <t>C02369</t>
  </si>
  <si>
    <t>user2369@example.com</t>
  </si>
  <si>
    <t>(861) 924-3106</t>
  </si>
  <si>
    <t>C04116</t>
  </si>
  <si>
    <t>user4116@example.com</t>
  </si>
  <si>
    <t>659-508-5260</t>
  </si>
  <si>
    <t>C04132</t>
  </si>
  <si>
    <t>C02951</t>
  </si>
  <si>
    <t>user2951@example.com</t>
  </si>
  <si>
    <t>C00525</t>
  </si>
  <si>
    <t>user525@example.com</t>
  </si>
  <si>
    <t>C02456</t>
  </si>
  <si>
    <t>user2456@example.com</t>
  </si>
  <si>
    <t>C01842</t>
  </si>
  <si>
    <t>user1842@example.com</t>
  </si>
  <si>
    <t>C00538</t>
  </si>
  <si>
    <t>834.532.2644</t>
  </si>
  <si>
    <t>C02807</t>
  </si>
  <si>
    <t>(553) 124-4382</t>
  </si>
  <si>
    <t>C04342</t>
  </si>
  <si>
    <t>641 798 8951</t>
  </si>
  <si>
    <t>C03176</t>
  </si>
  <si>
    <t>user3176@example.com</t>
  </si>
  <si>
    <t>(140) 776-1981</t>
  </si>
  <si>
    <t>user785@example.com</t>
  </si>
  <si>
    <t>C04058</t>
  </si>
  <si>
    <t>user4058@example.com</t>
  </si>
  <si>
    <t>300-620-1695</t>
  </si>
  <si>
    <t>user1410@example.com</t>
  </si>
  <si>
    <t>332-537-7314</t>
  </si>
  <si>
    <t>C02538</t>
  </si>
  <si>
    <t>user2538@example.com</t>
  </si>
  <si>
    <t>C00155</t>
  </si>
  <si>
    <t>C03010</t>
  </si>
  <si>
    <t>user3010@example.com</t>
  </si>
  <si>
    <t>C01687</t>
  </si>
  <si>
    <t>(898) 509-4079</t>
  </si>
  <si>
    <t>C02902</t>
  </si>
  <si>
    <t>user2902@example.com</t>
  </si>
  <si>
    <t>(245) 855-7317</t>
  </si>
  <si>
    <t>C04965</t>
  </si>
  <si>
    <t>user4965@example.com</t>
  </si>
  <si>
    <t>(642) 340-1031</t>
  </si>
  <si>
    <t>user3864@example.com</t>
  </si>
  <si>
    <t>474.126.9022</t>
  </si>
  <si>
    <t>C02734</t>
  </si>
  <si>
    <t>user2734@example.com</t>
  </si>
  <si>
    <t>104.346.6419</t>
  </si>
  <si>
    <t>C01896</t>
  </si>
  <si>
    <t>user1896@example.com</t>
  </si>
  <si>
    <t>481-842-3325</t>
  </si>
  <si>
    <t>C00570</t>
  </si>
  <si>
    <t>user570@example.com</t>
  </si>
  <si>
    <t>C01817</t>
  </si>
  <si>
    <t>user1817@example.com</t>
  </si>
  <si>
    <t>C02066</t>
  </si>
  <si>
    <t>user2066@example.com</t>
  </si>
  <si>
    <t>C00128</t>
  </si>
  <si>
    <t>user128@example.com</t>
  </si>
  <si>
    <t>C03395</t>
  </si>
  <si>
    <t>user3395@example.com</t>
  </si>
  <si>
    <t>C03328</t>
  </si>
  <si>
    <t>user3328@example.com</t>
  </si>
  <si>
    <t>608-721-4666</t>
  </si>
  <si>
    <t>C02976</t>
  </si>
  <si>
    <t>user2976@example.com</t>
  </si>
  <si>
    <t>143-324-4811</t>
  </si>
  <si>
    <t>C00981</t>
  </si>
  <si>
    <t>user981@example.com</t>
  </si>
  <si>
    <t>306.107.3337</t>
  </si>
  <si>
    <t>C02301</t>
  </si>
  <si>
    <t>user2301@example.com</t>
  </si>
  <si>
    <t>user191@example.com</t>
  </si>
  <si>
    <t>647.973.6571</t>
  </si>
  <si>
    <t>C01140</t>
  </si>
  <si>
    <t>user1140@example.com</t>
  </si>
  <si>
    <t>C00700</t>
  </si>
  <si>
    <t>user700@example.com</t>
  </si>
  <si>
    <t>372-481-7799</t>
  </si>
  <si>
    <t>C04796</t>
  </si>
  <si>
    <t>C00607</t>
  </si>
  <si>
    <t>user607@example.com</t>
  </si>
  <si>
    <t>144.771.8423</t>
  </si>
  <si>
    <t>user4277@example.com</t>
  </si>
  <si>
    <t>276.385.5163</t>
  </si>
  <si>
    <t>C00302</t>
  </si>
  <si>
    <t>(568) 189-2313</t>
  </si>
  <si>
    <t>C03421</t>
  </si>
  <si>
    <t>user3421@example.com</t>
  </si>
  <si>
    <t>407-780-3243</t>
  </si>
  <si>
    <t>C04836</t>
  </si>
  <si>
    <t>(309) 998-1163</t>
  </si>
  <si>
    <t>C01061</t>
  </si>
  <si>
    <t>user1061@example.com</t>
  </si>
  <si>
    <t>(228) 193-3845</t>
  </si>
  <si>
    <t>C02566</t>
  </si>
  <si>
    <t>user2566@example.com</t>
  </si>
  <si>
    <t>C01070</t>
  </si>
  <si>
    <t>271 582 8231</t>
  </si>
  <si>
    <t>C02525</t>
  </si>
  <si>
    <t>user2525@example.com</t>
  </si>
  <si>
    <t>587-575-7800</t>
  </si>
  <si>
    <t>C02206</t>
  </si>
  <si>
    <t>user2206@example.com</t>
  </si>
  <si>
    <t>218-629-4054</t>
  </si>
  <si>
    <t>C01244</t>
  </si>
  <si>
    <t>user1244@example.com</t>
  </si>
  <si>
    <t>488 126 5055</t>
  </si>
  <si>
    <t>C00017</t>
  </si>
  <si>
    <t>user17@example.com</t>
  </si>
  <si>
    <t>C03121</t>
  </si>
  <si>
    <t>user3121@example.com</t>
  </si>
  <si>
    <t>590 319 2622</t>
  </si>
  <si>
    <t>C04643</t>
  </si>
  <si>
    <t>user4643@example.com</t>
  </si>
  <si>
    <t>C00816</t>
  </si>
  <si>
    <t>user816@example.com</t>
  </si>
  <si>
    <t>808-236-1033</t>
  </si>
  <si>
    <t>C03068</t>
  </si>
  <si>
    <t>user3068@example.com</t>
  </si>
  <si>
    <t>563.221.7912</t>
  </si>
  <si>
    <t>C04800</t>
  </si>
  <si>
    <t>user4800@example.com</t>
  </si>
  <si>
    <t>979.502.6836</t>
  </si>
  <si>
    <t>C00960</t>
  </si>
  <si>
    <t>user960@example.com</t>
  </si>
  <si>
    <t>C00226</t>
  </si>
  <si>
    <t>user226@example.com</t>
  </si>
  <si>
    <t>107-283-2460</t>
  </si>
  <si>
    <t>C03355</t>
  </si>
  <si>
    <t>C02486</t>
  </si>
  <si>
    <t>267.534.5441</t>
  </si>
  <si>
    <t>864.606.7259</t>
  </si>
  <si>
    <t>user3437@example.com</t>
  </si>
  <si>
    <t>858.153.3242</t>
  </si>
  <si>
    <t>C01694</t>
  </si>
  <si>
    <t>user1694@example.com</t>
  </si>
  <si>
    <t>C01046</t>
  </si>
  <si>
    <t>user1046@example.com</t>
  </si>
  <si>
    <t>(734) 181-1981</t>
  </si>
  <si>
    <t>C03447</t>
  </si>
  <si>
    <t>user3447@example.com</t>
  </si>
  <si>
    <t>690.913.4072</t>
  </si>
  <si>
    <t>C04566</t>
  </si>
  <si>
    <t>user4566@example.com</t>
  </si>
  <si>
    <t>613-157-7011</t>
  </si>
  <si>
    <t>user955@example.com</t>
  </si>
  <si>
    <t>(549) 560-1493</t>
  </si>
  <si>
    <t>C01664</t>
  </si>
  <si>
    <t>user1664@example.com</t>
  </si>
  <si>
    <t>C02736</t>
  </si>
  <si>
    <t>user2736@example.com</t>
  </si>
  <si>
    <t>957.511.1733</t>
  </si>
  <si>
    <t>C04919</t>
  </si>
  <si>
    <t>user4919@example.com</t>
  </si>
  <si>
    <t>541-486-2245</t>
  </si>
  <si>
    <t>C04736</t>
  </si>
  <si>
    <t>user4736@example.com</t>
  </si>
  <si>
    <t>C04839</t>
  </si>
  <si>
    <t>user4839@example.com</t>
  </si>
  <si>
    <t>851-808-3012</t>
  </si>
  <si>
    <t>C01219</t>
  </si>
  <si>
    <t>C01528</t>
  </si>
  <si>
    <t>318 155 4465</t>
  </si>
  <si>
    <t>C03988</t>
  </si>
  <si>
    <t>user3988@example.com</t>
  </si>
  <si>
    <t>303.589.5541</t>
  </si>
  <si>
    <t>C01301</t>
  </si>
  <si>
    <t>user1301@example.com</t>
  </si>
  <si>
    <t>538.286.9788</t>
  </si>
  <si>
    <t>C04907</t>
  </si>
  <si>
    <t>user4907@example.com</t>
  </si>
  <si>
    <t>(263) 467-3516</t>
  </si>
  <si>
    <t>C00161</t>
  </si>
  <si>
    <t>297.134.1388</t>
  </si>
  <si>
    <t>C04068</t>
  </si>
  <si>
    <t>user4068@example.com</t>
  </si>
  <si>
    <t>820 539 5157</t>
  </si>
  <si>
    <t>C00957</t>
  </si>
  <si>
    <t>user957@example.com</t>
  </si>
  <si>
    <t>855.109.9188</t>
  </si>
  <si>
    <t>C00198</t>
  </si>
  <si>
    <t>user3792@example.com</t>
  </si>
  <si>
    <t>user3235@example.com</t>
  </si>
  <si>
    <t>(966) 235-4963</t>
  </si>
  <si>
    <t>C02870</t>
  </si>
  <si>
    <t>user2870@example.com</t>
  </si>
  <si>
    <t>543-910-4818</t>
  </si>
  <si>
    <t>C03778</t>
  </si>
  <si>
    <t>user3778@example.com</t>
  </si>
  <si>
    <t>(323) 558-2217</t>
  </si>
  <si>
    <t>user4434@example.com</t>
  </si>
  <si>
    <t>C02962</t>
  </si>
  <si>
    <t>user2962@example.com</t>
  </si>
  <si>
    <t>user2201@example.com</t>
  </si>
  <si>
    <t>C00099</t>
  </si>
  <si>
    <t>user99@example.com</t>
  </si>
  <si>
    <t>C02558</t>
  </si>
  <si>
    <t>user2558@example.com</t>
  </si>
  <si>
    <t>user3184@example.com</t>
  </si>
  <si>
    <t>(193) 684-5419</t>
  </si>
  <si>
    <t>C00254</t>
  </si>
  <si>
    <t>248 321 8454</t>
  </si>
  <si>
    <t>C03924</t>
  </si>
  <si>
    <t>user3924@example.com</t>
  </si>
  <si>
    <t>C04200</t>
  </si>
  <si>
    <t>627-693-5258</t>
  </si>
  <si>
    <t>C01446</t>
  </si>
  <si>
    <t>user1446@example.com</t>
  </si>
  <si>
    <t>850 126 7958</t>
  </si>
  <si>
    <t>C01649</t>
  </si>
  <si>
    <t>user1649@example.com</t>
  </si>
  <si>
    <t>759-902-1076</t>
  </si>
  <si>
    <t>C04683</t>
  </si>
  <si>
    <t>user4683@example.com</t>
  </si>
  <si>
    <t>C04724</t>
  </si>
  <si>
    <t>user4724@example.com</t>
  </si>
  <si>
    <t>737-987-9128</t>
  </si>
  <si>
    <t>C03992</t>
  </si>
  <si>
    <t>315-803-9189</t>
  </si>
  <si>
    <t>C01697</t>
  </si>
  <si>
    <t>user1697@example.com</t>
  </si>
  <si>
    <t>620 441 1870</t>
  </si>
  <si>
    <t>C03192</t>
  </si>
  <si>
    <t>518-829-8276</t>
  </si>
  <si>
    <t>C04500</t>
  </si>
  <si>
    <t>user4500@example.com</t>
  </si>
  <si>
    <t>794.442.8479</t>
  </si>
  <si>
    <t>user2256@example.com</t>
  </si>
  <si>
    <t>597-769-7581</t>
  </si>
  <si>
    <t>C01683</t>
  </si>
  <si>
    <t>user1683@example.com</t>
  </si>
  <si>
    <t>C03171</t>
  </si>
  <si>
    <t>user3171@example.com</t>
  </si>
  <si>
    <t>C02057</t>
  </si>
  <si>
    <t>user2057@example.com</t>
  </si>
  <si>
    <t>192 899 6460</t>
  </si>
  <si>
    <t>C04091</t>
  </si>
  <si>
    <t>user4091@example.com</t>
  </si>
  <si>
    <t>C03109</t>
  </si>
  <si>
    <t>user3109@example.com</t>
  </si>
  <si>
    <t>124-265-2415</t>
  </si>
  <si>
    <t>C04549</t>
  </si>
  <si>
    <t>C03724</t>
  </si>
  <si>
    <t>C02050</t>
  </si>
  <si>
    <t>user2050@example.com</t>
  </si>
  <si>
    <t>845 324 6567</t>
  </si>
  <si>
    <t>C03644</t>
  </si>
  <si>
    <t>user3644@example.com</t>
  </si>
  <si>
    <t>C04943</t>
  </si>
  <si>
    <t>user4943@example.com</t>
  </si>
  <si>
    <t>(403) 774-3953</t>
  </si>
  <si>
    <t>C00624</t>
  </si>
  <si>
    <t>user624@example.com</t>
  </si>
  <si>
    <t>C00263</t>
  </si>
  <si>
    <t>user263@example.com</t>
  </si>
  <si>
    <t>C03370</t>
  </si>
  <si>
    <t>(784) 693-5163</t>
  </si>
  <si>
    <t>C04062</t>
  </si>
  <si>
    <t>user4062@example.com</t>
  </si>
  <si>
    <t>643.382.9061</t>
  </si>
  <si>
    <t>C01803</t>
  </si>
  <si>
    <t>user1803@example.com</t>
  </si>
  <si>
    <t>(587) 591-5751</t>
  </si>
  <si>
    <t>C04737</t>
  </si>
  <si>
    <t>user4737@example.com</t>
  </si>
  <si>
    <t>C02386</t>
  </si>
  <si>
    <t>user2386@example.com</t>
  </si>
  <si>
    <t>C01960</t>
  </si>
  <si>
    <t>(436) 348-6930</t>
  </si>
  <si>
    <t>C02977</t>
  </si>
  <si>
    <t>user2977@example.com</t>
  </si>
  <si>
    <t>(991) 240-9201</t>
  </si>
  <si>
    <t>C00489</t>
  </si>
  <si>
    <t>user489@example.com</t>
  </si>
  <si>
    <t>C01844</t>
  </si>
  <si>
    <t>294 952 4399</t>
  </si>
  <si>
    <t>C01735</t>
  </si>
  <si>
    <t>user1735@example.com</t>
  </si>
  <si>
    <t>609.131.5003</t>
  </si>
  <si>
    <t>C02912</t>
  </si>
  <si>
    <t>user2912@example.com</t>
  </si>
  <si>
    <t>(294) 598-9177</t>
  </si>
  <si>
    <t>C03220</t>
  </si>
  <si>
    <t>user3220@example.com</t>
  </si>
  <si>
    <t>385 991 4047</t>
  </si>
  <si>
    <t>C00147</t>
  </si>
  <si>
    <t>user147@example.com</t>
  </si>
  <si>
    <t>112 395 8353</t>
  </si>
  <si>
    <t>C01987</t>
  </si>
  <si>
    <t>user1987@example.com</t>
  </si>
  <si>
    <t>C01370</t>
  </si>
  <si>
    <t>user1370@example.com</t>
  </si>
  <si>
    <t>(398) 140-3427</t>
  </si>
  <si>
    <t>C02812</t>
  </si>
  <si>
    <t>user2812@example.com</t>
  </si>
  <si>
    <t>C00660</t>
  </si>
  <si>
    <t>user660@example.com</t>
  </si>
  <si>
    <t>599-509-8964</t>
  </si>
  <si>
    <t>C01795</t>
  </si>
  <si>
    <t>user1795@example.com</t>
  </si>
  <si>
    <t>952-617-8271</t>
  </si>
  <si>
    <t>C02512</t>
  </si>
  <si>
    <t>user2512@example.com</t>
  </si>
  <si>
    <t>732.524.3580</t>
  </si>
  <si>
    <t>C04283</t>
  </si>
  <si>
    <t>user4283@example.com</t>
  </si>
  <si>
    <t>user1148@example.com</t>
  </si>
  <si>
    <t>545-832-1478</t>
  </si>
  <si>
    <t>C03273</t>
  </si>
  <si>
    <t>user3273@example.com</t>
  </si>
  <si>
    <t>C00609</t>
  </si>
  <si>
    <t>user609@example.com</t>
  </si>
  <si>
    <t>(983) 149-5635</t>
  </si>
  <si>
    <t>user3583@example.com</t>
  </si>
  <si>
    <t>C01931</t>
  </si>
  <si>
    <t>user198@example.com</t>
  </si>
  <si>
    <t>C02932</t>
  </si>
  <si>
    <t>user2932@example.com</t>
  </si>
  <si>
    <t>(738) 429-2332</t>
  </si>
  <si>
    <t>C02328</t>
  </si>
  <si>
    <t>user2328@example.com</t>
  </si>
  <si>
    <t>771 276 2610</t>
  </si>
  <si>
    <t>C04390</t>
  </si>
  <si>
    <t>935-772-2411</t>
  </si>
  <si>
    <t>C00767</t>
  </si>
  <si>
    <t>C04497</t>
  </si>
  <si>
    <t>user4497@example.com</t>
  </si>
  <si>
    <t>(114) 255-2911</t>
  </si>
  <si>
    <t>C04219</t>
  </si>
  <si>
    <t>user4219@example.com</t>
  </si>
  <si>
    <t>444 817 5738</t>
  </si>
  <si>
    <t>C03256</t>
  </si>
  <si>
    <t>user3256@example.com</t>
  </si>
  <si>
    <t>(549) 358-8975</t>
  </si>
  <si>
    <t>C00203</t>
  </si>
  <si>
    <t>user203@example.com</t>
  </si>
  <si>
    <t>137-447-1918</t>
  </si>
  <si>
    <t>C03511</t>
  </si>
  <si>
    <t>user3511@example.com</t>
  </si>
  <si>
    <t>701-518-2970</t>
  </si>
  <si>
    <t>C01734</t>
  </si>
  <si>
    <t>user1734@example.com</t>
  </si>
  <si>
    <t>C02778</t>
  </si>
  <si>
    <t>user2778@example.com</t>
  </si>
  <si>
    <t>C01708</t>
  </si>
  <si>
    <t>user1708@example.com</t>
  </si>
  <si>
    <t>502 203 4602</t>
  </si>
  <si>
    <t>C03475</t>
  </si>
  <si>
    <t>user3475@example.com</t>
  </si>
  <si>
    <t>584-904-9676</t>
  </si>
  <si>
    <t>C00855</t>
  </si>
  <si>
    <t>user855@example.com</t>
  </si>
  <si>
    <t>353.210.8759</t>
  </si>
  <si>
    <t>C04738</t>
  </si>
  <si>
    <t>user4738@example.com</t>
  </si>
  <si>
    <t>C04098</t>
  </si>
  <si>
    <t>user4098@example.com</t>
  </si>
  <si>
    <t>596-591-5360</t>
  </si>
  <si>
    <t>C02161</t>
  </si>
  <si>
    <t>user2161@example.com</t>
  </si>
  <si>
    <t>144 812 5145</t>
  </si>
  <si>
    <t>C00699</t>
  </si>
  <si>
    <t>user699@example.com</t>
  </si>
  <si>
    <t>393.617.3805</t>
  </si>
  <si>
    <t>C04963</t>
  </si>
  <si>
    <t>user4963@example.com</t>
  </si>
  <si>
    <t>C03000</t>
  </si>
  <si>
    <t>user3000@example.com</t>
  </si>
  <si>
    <t>155 763 4765</t>
  </si>
  <si>
    <t>C03697</t>
  </si>
  <si>
    <t>user3697@example.com</t>
  </si>
  <si>
    <t>204-783-7071</t>
  </si>
  <si>
    <t>C01637</t>
  </si>
  <si>
    <t>user1637@example.com</t>
  </si>
  <si>
    <t>681 914 6268</t>
  </si>
  <si>
    <t>C03458</t>
  </si>
  <si>
    <t>user3458@example.com</t>
  </si>
  <si>
    <t>(862) 147-2182</t>
  </si>
  <si>
    <t>user3582@example.com</t>
  </si>
  <si>
    <t>488.580.1661</t>
  </si>
  <si>
    <t>C01292</t>
  </si>
  <si>
    <t>user1292@example.com</t>
  </si>
  <si>
    <t>464-106-8542</t>
  </si>
  <si>
    <t>C04660</t>
  </si>
  <si>
    <t>user4660@example.com</t>
  </si>
  <si>
    <t>826.257.9488</t>
  </si>
  <si>
    <t>C01854</t>
  </si>
  <si>
    <t>176.647.4955</t>
  </si>
  <si>
    <t>C03764</t>
  </si>
  <si>
    <t>user3764@example.com</t>
  </si>
  <si>
    <t>123.506.9584</t>
  </si>
  <si>
    <t>C03305</t>
  </si>
  <si>
    <t>user3305@example.com</t>
  </si>
  <si>
    <t>515 934 8080</t>
  </si>
  <si>
    <t>C04928</t>
  </si>
  <si>
    <t>user4928@example.com</t>
  </si>
  <si>
    <t>(900) 178-7096</t>
  </si>
  <si>
    <t>C03744</t>
  </si>
  <si>
    <t>user3744@example.com</t>
  </si>
  <si>
    <t>C03446</t>
  </si>
  <si>
    <t>user3446@example.com</t>
  </si>
  <si>
    <t>(517) 105-9568</t>
  </si>
  <si>
    <t>C01999</t>
  </si>
  <si>
    <t>user1999@example.com</t>
  </si>
  <si>
    <t>394-380-8973</t>
  </si>
  <si>
    <t>C00664</t>
  </si>
  <si>
    <t>C04780</t>
  </si>
  <si>
    <t>user4780@example.com</t>
  </si>
  <si>
    <t>(329) 148-6377</t>
  </si>
  <si>
    <t>C03749</t>
  </si>
  <si>
    <t>user3749@example.com</t>
  </si>
  <si>
    <t>user4414@example.com</t>
  </si>
  <si>
    <t>362 636 4964</t>
  </si>
  <si>
    <t>C04745</t>
  </si>
  <si>
    <t>user4745@example.com</t>
  </si>
  <si>
    <t>926 487 5461</t>
  </si>
  <si>
    <t>C00710</t>
  </si>
  <si>
    <t>user710@example.com</t>
  </si>
  <si>
    <t>776-756-3473</t>
  </si>
  <si>
    <t>C01283</t>
  </si>
  <si>
    <t>user1283@example.com</t>
  </si>
  <si>
    <t>(279) 176-7013</t>
  </si>
  <si>
    <t>user2676@example.com</t>
  </si>
  <si>
    <t>C04030</t>
  </si>
  <si>
    <t>161.270.2007</t>
  </si>
  <si>
    <t>C01307</t>
  </si>
  <si>
    <t>user1307@example.com</t>
  </si>
  <si>
    <t>264-782-4260</t>
  </si>
  <si>
    <t>user2238@example.com</t>
  </si>
  <si>
    <t>C03303</t>
  </si>
  <si>
    <t>user3303@example.com</t>
  </si>
  <si>
    <t>348-266-8883</t>
  </si>
  <si>
    <t>C02039</t>
  </si>
  <si>
    <t>(778) 535-2897</t>
  </si>
  <si>
    <t>C01530</t>
  </si>
  <si>
    <t>358.750.3885</t>
  </si>
  <si>
    <t>user4950@example.com</t>
  </si>
  <si>
    <t>C04969</t>
  </si>
  <si>
    <t>user4969@example.com</t>
  </si>
  <si>
    <t>507 646 8081</t>
  </si>
  <si>
    <t>C03628</t>
  </si>
  <si>
    <t>user3628@example.com</t>
  </si>
  <si>
    <t>(669) 814-9207</t>
  </si>
  <si>
    <t>C02694</t>
  </si>
  <si>
    <t>user2694@example.com</t>
  </si>
  <si>
    <t>993-799-3534</t>
  </si>
  <si>
    <t>C01598</t>
  </si>
  <si>
    <t>user1598@example.com</t>
  </si>
  <si>
    <t>C02730</t>
  </si>
  <si>
    <t>user2730@example.com</t>
  </si>
  <si>
    <t>(829) 427-2195</t>
  </si>
  <si>
    <t>C02626</t>
  </si>
  <si>
    <t>user2626@example.com</t>
  </si>
  <si>
    <t>user3158@example.com</t>
  </si>
  <si>
    <t>C03315</t>
  </si>
  <si>
    <t>user3315@example.com</t>
  </si>
  <si>
    <t>912-927-3488</t>
  </si>
  <si>
    <t>C01723</t>
  </si>
  <si>
    <t>(153) 749-3318</t>
  </si>
  <si>
    <t>user4637@example.com</t>
  </si>
  <si>
    <t>C03243</t>
  </si>
  <si>
    <t>user3243@example.com</t>
  </si>
  <si>
    <t>C01679</t>
  </si>
  <si>
    <t>user1679@example.com</t>
  </si>
  <si>
    <t>161 317 1215</t>
  </si>
  <si>
    <t>user1758@example.com</t>
  </si>
  <si>
    <t>830-377-3337</t>
  </si>
  <si>
    <t>C04192</t>
  </si>
  <si>
    <t>user4192@example.com</t>
  </si>
  <si>
    <t>352.813.7250</t>
  </si>
  <si>
    <t>C00564</t>
  </si>
  <si>
    <t>user564@example.com</t>
  </si>
  <si>
    <t>(541) 976-4385</t>
  </si>
  <si>
    <t>user2791@example.com</t>
  </si>
  <si>
    <t>827 654 4718</t>
  </si>
  <si>
    <t>C00864</t>
  </si>
  <si>
    <t>user864@example.com</t>
  </si>
  <si>
    <t>204-793-1914</t>
  </si>
  <si>
    <t>C01485</t>
  </si>
  <si>
    <t>user1485@example.com</t>
  </si>
  <si>
    <t>614-926-3460</t>
  </si>
  <si>
    <t>C00207</t>
  </si>
  <si>
    <t>(858) 693-4817</t>
  </si>
  <si>
    <t>C04489</t>
  </si>
  <si>
    <t>user871@example.com</t>
  </si>
  <si>
    <t>629 436 4153</t>
  </si>
  <si>
    <t>C04494</t>
  </si>
  <si>
    <t>user4494@example.com</t>
  </si>
  <si>
    <t>C00503</t>
  </si>
  <si>
    <t>user503@example.com</t>
  </si>
  <si>
    <t>(128) 351-6087</t>
  </si>
  <si>
    <t>C01029</t>
  </si>
  <si>
    <t>user1029@example.com</t>
  </si>
  <si>
    <t>511-769-6181</t>
  </si>
  <si>
    <t>C03841</t>
  </si>
  <si>
    <t>user3841@example.com</t>
  </si>
  <si>
    <t>C02691</t>
  </si>
  <si>
    <t>128.919.7141</t>
  </si>
  <si>
    <t>C01571</t>
  </si>
  <si>
    <t>C02774</t>
  </si>
  <si>
    <t>user2774@example.com</t>
  </si>
  <si>
    <t>C02732</t>
  </si>
  <si>
    <t>user2732@example.com</t>
  </si>
  <si>
    <t>(684) 755-1255</t>
  </si>
  <si>
    <t>C00805</t>
  </si>
  <si>
    <t>user805@example.com</t>
  </si>
  <si>
    <t>962.747.4485</t>
  </si>
  <si>
    <t>C03646</t>
  </si>
  <si>
    <t>user3646@example.com</t>
  </si>
  <si>
    <t>868-726-9272</t>
  </si>
  <si>
    <t>user2455@example.com</t>
  </si>
  <si>
    <t>470 441 4260</t>
  </si>
  <si>
    <t>C04599</t>
  </si>
  <si>
    <t>user4599@example.com</t>
  </si>
  <si>
    <t>C03105</t>
  </si>
  <si>
    <t>user3105@example.com</t>
  </si>
  <si>
    <t>670 818 7918</t>
  </si>
  <si>
    <t>C04876</t>
  </si>
  <si>
    <t>user4876@example.com</t>
  </si>
  <si>
    <t>C00201</t>
  </si>
  <si>
    <t>user201@example.com</t>
  </si>
  <si>
    <t>C03100</t>
  </si>
  <si>
    <t>user3100@example.com</t>
  </si>
  <si>
    <t>C02279</t>
  </si>
  <si>
    <t>user2279@example.com</t>
  </si>
  <si>
    <t>C03562</t>
  </si>
  <si>
    <t>user3562@example.com</t>
  </si>
  <si>
    <t>C04475</t>
  </si>
  <si>
    <t>user4475@example.com</t>
  </si>
  <si>
    <t>C04515</t>
  </si>
  <si>
    <t>user4515@example.com</t>
  </si>
  <si>
    <t>461-637-3039</t>
  </si>
  <si>
    <t>C00392</t>
  </si>
  <si>
    <t>807.471.3277</t>
  </si>
  <si>
    <t>C01496</t>
  </si>
  <si>
    <t>user1496@example.com</t>
  </si>
  <si>
    <t>(680) 742-9151</t>
  </si>
  <si>
    <t>C02696</t>
  </si>
  <si>
    <t>user2696@example.com</t>
  </si>
  <si>
    <t>823 966 3908</t>
  </si>
  <si>
    <t>C02028</t>
  </si>
  <si>
    <t>user2028@example.com</t>
  </si>
  <si>
    <t>544-168-9039</t>
  </si>
  <si>
    <t>C02569</t>
  </si>
  <si>
    <t>user2569@example.com</t>
  </si>
  <si>
    <t>user65@example.com</t>
  </si>
  <si>
    <t>C03885</t>
  </si>
  <si>
    <t>894-462-3905</t>
  </si>
  <si>
    <t>C02063</t>
  </si>
  <si>
    <t>user2063@example.com</t>
  </si>
  <si>
    <t>(482) 439-7773</t>
  </si>
  <si>
    <t>C00493</t>
  </si>
  <si>
    <t>(690) 611-4489</t>
  </si>
  <si>
    <t>user380@example.com</t>
  </si>
  <si>
    <t>C04860</t>
  </si>
  <si>
    <t>151.495.6894</t>
  </si>
  <si>
    <t>C03994</t>
  </si>
  <si>
    <t>user3994@example.com</t>
  </si>
  <si>
    <t>149 748 3472</t>
  </si>
  <si>
    <t>C04888</t>
  </si>
  <si>
    <t>user4888@example.com</t>
  </si>
  <si>
    <t>280 485 6251</t>
  </si>
  <si>
    <t>C01077</t>
  </si>
  <si>
    <t>user1077@example.com</t>
  </si>
  <si>
    <t>390 484 8878</t>
  </si>
  <si>
    <t>user879@example.com</t>
  </si>
  <si>
    <t>C00338</t>
  </si>
  <si>
    <t>user338@example.com</t>
  </si>
  <si>
    <t>722-756-4197</t>
  </si>
  <si>
    <t>C01017</t>
  </si>
  <si>
    <t>user1017@example.com</t>
  </si>
  <si>
    <t>712-104-1797</t>
  </si>
  <si>
    <t>C01276</t>
  </si>
  <si>
    <t>user1276@example.com</t>
  </si>
  <si>
    <t>793 620 3235</t>
  </si>
  <si>
    <t>C03799</t>
  </si>
  <si>
    <t>user3799@example.com</t>
  </si>
  <si>
    <t>129 446 4750</t>
  </si>
  <si>
    <t>C04552</t>
  </si>
  <si>
    <t>user4552@example.com</t>
  </si>
  <si>
    <t>832.912.4781</t>
  </si>
  <si>
    <t>C03343</t>
  </si>
  <si>
    <t>(500) 296-6653</t>
  </si>
  <si>
    <t>C04912</t>
  </si>
  <si>
    <t>user4912@example.com</t>
  </si>
  <si>
    <t>C00996</t>
  </si>
  <si>
    <t>user996@example.com</t>
  </si>
  <si>
    <t>178.873.2723</t>
  </si>
  <si>
    <t>user1982@example.com</t>
  </si>
  <si>
    <t>C04298</t>
  </si>
  <si>
    <t>user4298@example.com</t>
  </si>
  <si>
    <t>C00162</t>
  </si>
  <si>
    <t>user162@example.com</t>
  </si>
  <si>
    <t>C04799</t>
  </si>
  <si>
    <t>(851) 984-8560</t>
  </si>
  <si>
    <t>C03844</t>
  </si>
  <si>
    <t>user3844@example.com</t>
  </si>
  <si>
    <t>779-988-6904</t>
  </si>
  <si>
    <t>C02614</t>
  </si>
  <si>
    <t>user2614@example.com</t>
  </si>
  <si>
    <t>(680) 285-1395</t>
  </si>
  <si>
    <t>C03462</t>
  </si>
  <si>
    <t>209 449 4380</t>
  </si>
  <si>
    <t>C01022</t>
  </si>
  <si>
    <t>(198) 916-3750</t>
  </si>
  <si>
    <t>C03074</t>
  </si>
  <si>
    <t>132 611 6236</t>
  </si>
  <si>
    <t>C03944</t>
  </si>
  <si>
    <t>user3944@example.com</t>
  </si>
  <si>
    <t>C01586</t>
  </si>
  <si>
    <t>user1586@example.com</t>
  </si>
  <si>
    <t>C01956</t>
  </si>
  <si>
    <t>user1956@example.com</t>
  </si>
  <si>
    <t>C03153</t>
  </si>
  <si>
    <t>C00035</t>
  </si>
  <si>
    <t>user35@example.com</t>
  </si>
  <si>
    <t>C04015</t>
  </si>
  <si>
    <t>user4015@example.com</t>
  </si>
  <si>
    <t>231 117 4172</t>
  </si>
  <si>
    <t>C00776</t>
  </si>
  <si>
    <t>703 146 9052</t>
  </si>
  <si>
    <t>C02557</t>
  </si>
  <si>
    <t>user2557@example.com</t>
  </si>
  <si>
    <t>546 666 2359</t>
  </si>
  <si>
    <t>C01479</t>
  </si>
  <si>
    <t>user1479@example.com</t>
  </si>
  <si>
    <t>422-195-6056</t>
  </si>
  <si>
    <t>C01364</t>
  </si>
  <si>
    <t>user1364@example.com</t>
  </si>
  <si>
    <t>(103) 263-4568</t>
  </si>
  <si>
    <t>C02613</t>
  </si>
  <si>
    <t>user2613@example.com</t>
  </si>
  <si>
    <t>C02825</t>
  </si>
  <si>
    <t>user2825@example.com</t>
  </si>
  <si>
    <t>C02042</t>
  </si>
  <si>
    <t>user2042@example.com</t>
  </si>
  <si>
    <t>960 924 9014</t>
  </si>
  <si>
    <t>C00242</t>
  </si>
  <si>
    <t>user242@example.com</t>
  </si>
  <si>
    <t>760-472-5670</t>
  </si>
  <si>
    <t>C02062</t>
  </si>
  <si>
    <t>user2062@example.com</t>
  </si>
  <si>
    <t>C02364</t>
  </si>
  <si>
    <t>user2364@example.com</t>
  </si>
  <si>
    <t>(251) 634-5725</t>
  </si>
  <si>
    <t>user601@example.com</t>
  </si>
  <si>
    <t>C02889</t>
  </si>
  <si>
    <t>user2889@example.com</t>
  </si>
  <si>
    <t>C00647</t>
  </si>
  <si>
    <t>user647@example.com</t>
  </si>
  <si>
    <t>(238) 114-4126</t>
  </si>
  <si>
    <t>C03891</t>
  </si>
  <si>
    <t>user3891@example.com</t>
  </si>
  <si>
    <t>C03557</t>
  </si>
  <si>
    <t>user3557@example.com</t>
  </si>
  <si>
    <t>C03203</t>
  </si>
  <si>
    <t>user3203@example.com</t>
  </si>
  <si>
    <t>354.832.5762</t>
  </si>
  <si>
    <t>C01529</t>
  </si>
  <si>
    <t>user1529@example.com</t>
  </si>
  <si>
    <t>876-800-7929</t>
  </si>
  <si>
    <t>C01268</t>
  </si>
  <si>
    <t>user1268@example.com</t>
  </si>
  <si>
    <t>C01900</t>
  </si>
  <si>
    <t>user1900@example.com</t>
  </si>
  <si>
    <t>384.702.7294</t>
  </si>
  <si>
    <t>C04659</t>
  </si>
  <si>
    <t>user4659@example.com</t>
  </si>
  <si>
    <t>302-487-6666</t>
  </si>
  <si>
    <t>C03006</t>
  </si>
  <si>
    <t>user3006@example.com</t>
  </si>
  <si>
    <t>716 871 3707</t>
  </si>
  <si>
    <t>C02735</t>
  </si>
  <si>
    <t>user2735@example.com</t>
  </si>
  <si>
    <t>(499) 946-4741</t>
  </si>
  <si>
    <t>C00190</t>
  </si>
  <si>
    <t>user190@example.com</t>
  </si>
  <si>
    <t>747-762-2485</t>
  </si>
  <si>
    <t>C01807</t>
  </si>
  <si>
    <t>526 933 7960</t>
  </si>
  <si>
    <t>C02748</t>
  </si>
  <si>
    <t>user2748@example.com</t>
  </si>
  <si>
    <t>(910) 600-2089</t>
  </si>
  <si>
    <t>user2048@example.com</t>
  </si>
  <si>
    <t>928 552 7966</t>
  </si>
  <si>
    <t>C02559</t>
  </si>
  <si>
    <t>user2559@example.com</t>
  </si>
  <si>
    <t>(245) 960-4634</t>
  </si>
  <si>
    <t>C01083</t>
  </si>
  <si>
    <t>user1083@example.com</t>
  </si>
  <si>
    <t>415 756 2167</t>
  </si>
  <si>
    <t>C00475</t>
  </si>
  <si>
    <t>486.684.7394</t>
  </si>
  <si>
    <t>user2905@example.com</t>
  </si>
  <si>
    <t>474 114 8116</t>
  </si>
  <si>
    <t>C04844</t>
  </si>
  <si>
    <t>user4844@example.com</t>
  </si>
  <si>
    <t>355.866.1928</t>
  </si>
  <si>
    <t>C04118</t>
  </si>
  <si>
    <t>user4118@example.com</t>
  </si>
  <si>
    <t>562-464-9551</t>
  </si>
  <si>
    <t>C03386</t>
  </si>
  <si>
    <t>user3386@example.com</t>
  </si>
  <si>
    <t>265 536 4343</t>
  </si>
  <si>
    <t>C04556</t>
  </si>
  <si>
    <t>user4556@example.com</t>
  </si>
  <si>
    <t>C01185</t>
  </si>
  <si>
    <t>user1185@example.com</t>
  </si>
  <si>
    <t>C02434</t>
  </si>
  <si>
    <t>user2434@example.com</t>
  </si>
  <si>
    <t>C02392</t>
  </si>
  <si>
    <t>user2392@example.com</t>
  </si>
  <si>
    <t>(806) 834-8472</t>
  </si>
  <si>
    <t>C00770</t>
  </si>
  <si>
    <t>user770@example.com</t>
  </si>
  <si>
    <t>(733) 654-1866</t>
  </si>
  <si>
    <t>C01686</t>
  </si>
  <si>
    <t>user1686@example.com</t>
  </si>
  <si>
    <t>988 735 9412</t>
  </si>
  <si>
    <t>user131@example.com</t>
  </si>
  <si>
    <t>C02920</t>
  </si>
  <si>
    <t>user2920@example.com</t>
  </si>
  <si>
    <t>user3172@example.com</t>
  </si>
  <si>
    <t>(225) 470-1892</t>
  </si>
  <si>
    <t>C03445</t>
  </si>
  <si>
    <t>C04427</t>
  </si>
  <si>
    <t>user4427@example.com</t>
  </si>
  <si>
    <t>181.472.7505</t>
  </si>
  <si>
    <t>C00467</t>
  </si>
  <si>
    <t>user467@example.com</t>
  </si>
  <si>
    <t>459 157 5001</t>
  </si>
  <si>
    <t>C03093</t>
  </si>
  <si>
    <t>user3093@example.com</t>
  </si>
  <si>
    <t>212 803 3536</t>
  </si>
  <si>
    <t>C03773</t>
  </si>
  <si>
    <t>user3773@example.com</t>
  </si>
  <si>
    <t>C00861</t>
  </si>
  <si>
    <t>user861@example.com</t>
  </si>
  <si>
    <t>968.810.2065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</si>
</sst>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8EA9-B7DF-428E-89C3-7FA194422358}">
  <dimension ref="A1:G50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999</v>
      </c>
      <c r="C2" t="s">
        <v>8</v>
      </c>
      <c r="D2">
        <v>41017</v>
      </c>
      <c r="E2" t="s">
        <v>9</v>
      </c>
      <c r="F2">
        <v>3637929158</v>
      </c>
      <c r="G2" s="1">
        <v>45191</v>
      </c>
    </row>
    <row r="3" spans="1:7">
      <c r="A3" t="s">
        <v>10</v>
      </c>
      <c r="B3">
        <v>70</v>
      </c>
      <c r="C3" t="s">
        <v>11</v>
      </c>
      <c r="D3">
        <v>-1000</v>
      </c>
      <c r="E3" t="s">
        <v>12</v>
      </c>
      <c r="F3">
        <f>1-312-654-7472</f>
        <v>-8437</v>
      </c>
      <c r="G3" s="1">
        <v>44982</v>
      </c>
    </row>
    <row r="4" spans="1:7">
      <c r="A4" t="s">
        <v>13</v>
      </c>
      <c r="B4">
        <v>79</v>
      </c>
      <c r="C4" t="s">
        <v>14</v>
      </c>
      <c r="D4">
        <v>82797</v>
      </c>
      <c r="E4" t="s">
        <v>9</v>
      </c>
      <c r="F4" t="s">
        <v>15</v>
      </c>
      <c r="G4" s="1">
        <v>45184</v>
      </c>
    </row>
    <row r="5" spans="1:7">
      <c r="A5" t="s">
        <v>16</v>
      </c>
      <c r="B5">
        <v>20</v>
      </c>
      <c r="C5" t="s">
        <v>17</v>
      </c>
      <c r="D5">
        <v>54624</v>
      </c>
      <c r="E5" t="s">
        <v>18</v>
      </c>
      <c r="F5" t="s">
        <v>19</v>
      </c>
      <c r="G5" s="1">
        <v>45144</v>
      </c>
    </row>
    <row r="6" spans="1:7">
      <c r="A6" t="s">
        <v>20</v>
      </c>
      <c r="B6">
        <v>68</v>
      </c>
      <c r="C6" t="s">
        <v>21</v>
      </c>
      <c r="D6">
        <v>155942</v>
      </c>
      <c r="E6" t="s">
        <v>9</v>
      </c>
      <c r="G6" s="1">
        <v>45074</v>
      </c>
    </row>
    <row r="7" spans="1:7">
      <c r="A7" t="s">
        <v>22</v>
      </c>
      <c r="B7">
        <v>70</v>
      </c>
      <c r="C7" t="s">
        <v>23</v>
      </c>
      <c r="D7">
        <v>99521</v>
      </c>
      <c r="E7" t="s">
        <v>9</v>
      </c>
      <c r="F7" t="s">
        <v>24</v>
      </c>
      <c r="G7" s="1">
        <v>45206</v>
      </c>
    </row>
    <row r="8" spans="1:7">
      <c r="A8" t="s">
        <v>25</v>
      </c>
      <c r="B8">
        <v>77</v>
      </c>
      <c r="C8" t="s">
        <v>26</v>
      </c>
      <c r="D8">
        <v>59709</v>
      </c>
      <c r="E8" t="s">
        <v>27</v>
      </c>
      <c r="F8" t="s">
        <v>28</v>
      </c>
      <c r="G8" s="1">
        <v>45136</v>
      </c>
    </row>
    <row r="9" spans="1:7">
      <c r="A9" t="s">
        <v>29</v>
      </c>
      <c r="B9">
        <v>74</v>
      </c>
      <c r="C9" t="s">
        <v>30</v>
      </c>
      <c r="E9" t="s">
        <v>27</v>
      </c>
      <c r="F9">
        <v>6945728232</v>
      </c>
      <c r="G9" s="1">
        <v>45201</v>
      </c>
    </row>
    <row r="10" spans="1:7">
      <c r="A10" t="s">
        <v>31</v>
      </c>
      <c r="B10">
        <v>-25</v>
      </c>
      <c r="C10" t="s">
        <v>32</v>
      </c>
      <c r="D10">
        <v>49252</v>
      </c>
      <c r="E10" t="s">
        <v>9</v>
      </c>
      <c r="F10" t="s">
        <v>33</v>
      </c>
      <c r="G10" s="1">
        <v>45030</v>
      </c>
    </row>
    <row r="11" spans="1:7">
      <c r="A11" t="s">
        <v>34</v>
      </c>
      <c r="B11">
        <v>61</v>
      </c>
      <c r="C11" t="s">
        <v>35</v>
      </c>
      <c r="D11">
        <v>142935</v>
      </c>
      <c r="E11" t="s">
        <v>36</v>
      </c>
      <c r="F11" t="s">
        <v>37</v>
      </c>
      <c r="G11" s="1">
        <v>45047</v>
      </c>
    </row>
    <row r="12" spans="1:7">
      <c r="A12" t="s">
        <v>38</v>
      </c>
      <c r="B12">
        <v>37</v>
      </c>
      <c r="C12" t="s">
        <v>39</v>
      </c>
      <c r="D12">
        <v>188744</v>
      </c>
      <c r="E12" t="s">
        <v>36</v>
      </c>
      <c r="F12" t="s">
        <v>40</v>
      </c>
      <c r="G12" s="1">
        <v>45222</v>
      </c>
    </row>
    <row r="13" spans="1:7">
      <c r="A13" t="s">
        <v>41</v>
      </c>
      <c r="B13">
        <v>37</v>
      </c>
      <c r="C13" t="s">
        <v>42</v>
      </c>
      <c r="D13">
        <v>143903</v>
      </c>
      <c r="E13" t="s">
        <v>9</v>
      </c>
      <c r="F13">
        <v>4723534498</v>
      </c>
      <c r="G13" s="1">
        <v>45050</v>
      </c>
    </row>
    <row r="14" spans="1:7">
      <c r="A14" t="s">
        <v>43</v>
      </c>
      <c r="B14">
        <v>29</v>
      </c>
      <c r="D14">
        <v>187561</v>
      </c>
      <c r="E14" t="s">
        <v>36</v>
      </c>
      <c r="F14" t="s">
        <v>44</v>
      </c>
      <c r="G14" s="1">
        <v>45094</v>
      </c>
    </row>
    <row r="15" spans="1:7">
      <c r="A15" t="s">
        <v>45</v>
      </c>
      <c r="B15">
        <v>19</v>
      </c>
      <c r="C15" t="s">
        <v>46</v>
      </c>
      <c r="D15">
        <v>80248</v>
      </c>
      <c r="E15" t="s">
        <v>27</v>
      </c>
      <c r="F15">
        <v>6310010573</v>
      </c>
      <c r="G15" s="1">
        <v>45066</v>
      </c>
    </row>
    <row r="16" spans="1:7">
      <c r="A16" t="s">
        <v>47</v>
      </c>
      <c r="B16">
        <v>64</v>
      </c>
      <c r="C16" t="s">
        <v>48</v>
      </c>
      <c r="D16">
        <v>-50000</v>
      </c>
      <c r="E16" t="s">
        <v>49</v>
      </c>
      <c r="F16" t="s">
        <v>50</v>
      </c>
      <c r="G16" s="1">
        <v>45102</v>
      </c>
    </row>
    <row r="17" spans="1:7">
      <c r="A17" t="s">
        <v>51</v>
      </c>
      <c r="B17">
        <v>29</v>
      </c>
      <c r="C17" t="s">
        <v>52</v>
      </c>
      <c r="E17" t="s">
        <v>9</v>
      </c>
      <c r="F17" t="s">
        <v>53</v>
      </c>
      <c r="G17" s="1">
        <v>45261</v>
      </c>
    </row>
    <row r="18" spans="1:7">
      <c r="A18" t="s">
        <v>54</v>
      </c>
      <c r="B18">
        <v>40</v>
      </c>
      <c r="C18" t="s">
        <v>55</v>
      </c>
      <c r="E18" t="s">
        <v>12</v>
      </c>
      <c r="F18" t="s">
        <v>56</v>
      </c>
      <c r="G18" s="1">
        <v>45003</v>
      </c>
    </row>
    <row r="19" spans="1:7">
      <c r="A19" t="s">
        <v>57</v>
      </c>
      <c r="B19">
        <v>500</v>
      </c>
      <c r="C19" t="s">
        <v>58</v>
      </c>
      <c r="D19">
        <v>153745</v>
      </c>
      <c r="E19" t="s">
        <v>12</v>
      </c>
      <c r="F19" t="s">
        <v>59</v>
      </c>
      <c r="G19" s="1">
        <v>44966</v>
      </c>
    </row>
    <row r="20" spans="1:7">
      <c r="A20" t="s">
        <v>60</v>
      </c>
      <c r="B20">
        <v>19</v>
      </c>
      <c r="C20" t="s">
        <v>61</v>
      </c>
      <c r="D20">
        <v>121319</v>
      </c>
      <c r="E20" t="s">
        <v>27</v>
      </c>
      <c r="F20" t="s">
        <v>62</v>
      </c>
      <c r="G20" s="1">
        <v>44937</v>
      </c>
    </row>
    <row r="21" spans="1:7">
      <c r="A21" t="s">
        <v>63</v>
      </c>
      <c r="B21">
        <v>43</v>
      </c>
      <c r="C21" t="s">
        <v>64</v>
      </c>
      <c r="D21">
        <v>35583</v>
      </c>
      <c r="E21" t="s">
        <v>36</v>
      </c>
      <c r="F21" t="s">
        <v>65</v>
      </c>
      <c r="G21" s="1">
        <v>44934</v>
      </c>
    </row>
    <row r="22" spans="1:7">
      <c r="B22">
        <v>31</v>
      </c>
      <c r="C22" t="s">
        <v>66</v>
      </c>
      <c r="D22">
        <v>128826</v>
      </c>
      <c r="E22" t="s">
        <v>12</v>
      </c>
      <c r="F22" t="s">
        <v>67</v>
      </c>
      <c r="G22" s="1">
        <v>45228</v>
      </c>
    </row>
    <row r="23" spans="1:7">
      <c r="A23" t="s">
        <v>68</v>
      </c>
      <c r="B23">
        <v>29</v>
      </c>
      <c r="C23" t="s">
        <v>69</v>
      </c>
      <c r="D23">
        <v>111029</v>
      </c>
      <c r="E23" t="s">
        <v>27</v>
      </c>
      <c r="F23" t="s">
        <v>70</v>
      </c>
      <c r="G23" s="1">
        <v>45207</v>
      </c>
    </row>
    <row r="24" spans="1:7">
      <c r="A24" t="s">
        <v>71</v>
      </c>
      <c r="B24">
        <v>66</v>
      </c>
      <c r="C24" t="s">
        <v>72</v>
      </c>
      <c r="D24">
        <v>162341</v>
      </c>
      <c r="E24" t="s">
        <v>12</v>
      </c>
      <c r="F24" t="s">
        <v>73</v>
      </c>
      <c r="G24" s="1">
        <v>44940</v>
      </c>
    </row>
    <row r="25" spans="1:7">
      <c r="A25" t="s">
        <v>74</v>
      </c>
      <c r="B25">
        <v>-5</v>
      </c>
      <c r="C25" t="s">
        <v>75</v>
      </c>
      <c r="D25">
        <v>-5000</v>
      </c>
      <c r="E25" t="s">
        <v>9</v>
      </c>
      <c r="F25" t="s">
        <v>76</v>
      </c>
      <c r="G25" s="1">
        <v>45222</v>
      </c>
    </row>
    <row r="26" spans="1:7">
      <c r="A26" t="s">
        <v>77</v>
      </c>
      <c r="B26">
        <v>72</v>
      </c>
      <c r="C26" t="s">
        <v>78</v>
      </c>
      <c r="D26">
        <v>56990</v>
      </c>
      <c r="E26" t="s">
        <v>9</v>
      </c>
      <c r="G26" s="1">
        <v>44964</v>
      </c>
    </row>
    <row r="27" spans="1:7">
      <c r="A27" t="s">
        <v>79</v>
      </c>
      <c r="B27">
        <v>38</v>
      </c>
      <c r="C27" t="s">
        <v>80</v>
      </c>
      <c r="D27">
        <v>81033</v>
      </c>
      <c r="E27" t="s">
        <v>27</v>
      </c>
      <c r="F27">
        <f>1-335-559-7862</f>
        <v>-8755</v>
      </c>
      <c r="G27" t="s">
        <v>81</v>
      </c>
    </row>
    <row r="28" spans="1:7">
      <c r="A28" t="s">
        <v>82</v>
      </c>
      <c r="C28" t="s">
        <v>83</v>
      </c>
      <c r="D28">
        <v>121198</v>
      </c>
      <c r="E28" t="s">
        <v>27</v>
      </c>
      <c r="G28" s="1">
        <v>45041</v>
      </c>
    </row>
    <row r="29" spans="1:7">
      <c r="A29" t="s">
        <v>84</v>
      </c>
      <c r="B29">
        <v>22</v>
      </c>
      <c r="C29" t="s">
        <v>85</v>
      </c>
      <c r="D29">
        <v>149873</v>
      </c>
      <c r="E29" t="s">
        <v>12</v>
      </c>
      <c r="F29" t="s">
        <v>86</v>
      </c>
      <c r="G29" t="s">
        <v>87</v>
      </c>
    </row>
    <row r="30" spans="1:7">
      <c r="A30" t="s">
        <v>88</v>
      </c>
      <c r="B30">
        <v>45</v>
      </c>
      <c r="C30" t="s">
        <v>89</v>
      </c>
      <c r="D30">
        <v>75156</v>
      </c>
      <c r="E30" t="s">
        <v>90</v>
      </c>
      <c r="F30">
        <v>9059268380</v>
      </c>
      <c r="G30" s="1">
        <v>45158</v>
      </c>
    </row>
    <row r="31" spans="1:7">
      <c r="A31" t="s">
        <v>91</v>
      </c>
      <c r="B31">
        <v>75</v>
      </c>
      <c r="C31" t="s">
        <v>92</v>
      </c>
      <c r="D31">
        <v>161301</v>
      </c>
      <c r="E31" t="s">
        <v>9</v>
      </c>
      <c r="F31" t="s">
        <v>93</v>
      </c>
      <c r="G31" s="1">
        <v>45205</v>
      </c>
    </row>
    <row r="32" spans="1:7">
      <c r="A32" t="s">
        <v>94</v>
      </c>
      <c r="B32">
        <v>25</v>
      </c>
      <c r="C32" t="s">
        <v>95</v>
      </c>
      <c r="D32">
        <v>110691</v>
      </c>
      <c r="E32" t="s">
        <v>9</v>
      </c>
      <c r="F32" t="s">
        <v>96</v>
      </c>
      <c r="G32" s="1">
        <v>45019</v>
      </c>
    </row>
    <row r="33" spans="1:7">
      <c r="A33" t="s">
        <v>97</v>
      </c>
      <c r="B33">
        <v>63</v>
      </c>
      <c r="C33" t="s">
        <v>98</v>
      </c>
      <c r="D33">
        <v>59084</v>
      </c>
      <c r="E33" t="s">
        <v>27</v>
      </c>
      <c r="F33" t="s">
        <v>99</v>
      </c>
      <c r="G33" s="1">
        <v>44973</v>
      </c>
    </row>
    <row r="34" spans="1:7">
      <c r="A34" t="s">
        <v>100</v>
      </c>
      <c r="B34">
        <v>34</v>
      </c>
      <c r="C34" t="s">
        <v>101</v>
      </c>
      <c r="D34">
        <v>76250</v>
      </c>
      <c r="E34" t="s">
        <v>12</v>
      </c>
      <c r="F34">
        <f>1-664-421-2049</f>
        <v>-3133</v>
      </c>
      <c r="G34" s="1">
        <v>44972</v>
      </c>
    </row>
    <row r="35" spans="1:7">
      <c r="A35" t="s">
        <v>102</v>
      </c>
      <c r="B35">
        <v>300</v>
      </c>
      <c r="C35" t="s">
        <v>103</v>
      </c>
      <c r="D35">
        <v>41350</v>
      </c>
      <c r="E35" t="s">
        <v>12</v>
      </c>
      <c r="F35" t="s">
        <v>104</v>
      </c>
      <c r="G35" s="1">
        <v>45080</v>
      </c>
    </row>
    <row r="36" spans="1:7">
      <c r="A36" t="s">
        <v>105</v>
      </c>
      <c r="C36" t="s">
        <v>106</v>
      </c>
      <c r="D36">
        <v>120009</v>
      </c>
      <c r="E36" t="s">
        <v>9</v>
      </c>
      <c r="F36" t="s">
        <v>107</v>
      </c>
      <c r="G36" s="1">
        <v>45109</v>
      </c>
    </row>
    <row r="37" spans="1:7">
      <c r="A37" t="s">
        <v>108</v>
      </c>
      <c r="B37">
        <v>21</v>
      </c>
      <c r="C37" t="s">
        <v>109</v>
      </c>
      <c r="D37">
        <v>108513</v>
      </c>
      <c r="E37" t="s">
        <v>27</v>
      </c>
      <c r="F37" t="s">
        <v>110</v>
      </c>
      <c r="G37" s="1">
        <v>45170</v>
      </c>
    </row>
    <row r="38" spans="1:7">
      <c r="A38" t="s">
        <v>111</v>
      </c>
      <c r="B38">
        <v>-25</v>
      </c>
      <c r="C38" t="s">
        <v>112</v>
      </c>
      <c r="D38">
        <v>158180</v>
      </c>
      <c r="E38" t="s">
        <v>36</v>
      </c>
      <c r="F38" t="s">
        <v>113</v>
      </c>
      <c r="G38" s="1">
        <v>45173</v>
      </c>
    </row>
    <row r="39" spans="1:7">
      <c r="A39" t="s">
        <v>114</v>
      </c>
      <c r="C39" t="s">
        <v>115</v>
      </c>
      <c r="D39">
        <v>89222</v>
      </c>
      <c r="E39" t="s">
        <v>27</v>
      </c>
      <c r="F39" t="s">
        <v>116</v>
      </c>
      <c r="G39" s="1">
        <v>45205</v>
      </c>
    </row>
    <row r="40" spans="1:7">
      <c r="A40" t="s">
        <v>117</v>
      </c>
      <c r="B40">
        <v>71</v>
      </c>
      <c r="C40" t="s">
        <v>118</v>
      </c>
      <c r="D40">
        <v>115679</v>
      </c>
      <c r="E40" t="s">
        <v>36</v>
      </c>
      <c r="F40" t="s">
        <v>119</v>
      </c>
      <c r="G40" s="1">
        <v>45143</v>
      </c>
    </row>
    <row r="41" spans="1:7">
      <c r="A41" t="s">
        <v>120</v>
      </c>
      <c r="B41">
        <v>62</v>
      </c>
      <c r="C41" t="s">
        <v>121</v>
      </c>
      <c r="D41">
        <v>197973</v>
      </c>
      <c r="E41" t="s">
        <v>36</v>
      </c>
      <c r="F41" t="s">
        <v>122</v>
      </c>
      <c r="G41" s="1">
        <v>44955</v>
      </c>
    </row>
    <row r="42" spans="1:7">
      <c r="A42" t="s">
        <v>123</v>
      </c>
      <c r="B42">
        <v>78</v>
      </c>
      <c r="C42" t="s">
        <v>124</v>
      </c>
      <c r="D42">
        <v>199176</v>
      </c>
      <c r="E42" t="s">
        <v>9</v>
      </c>
      <c r="F42" t="s">
        <v>125</v>
      </c>
      <c r="G42" s="1">
        <v>45263</v>
      </c>
    </row>
    <row r="43" spans="1:7">
      <c r="A43" t="s">
        <v>126</v>
      </c>
      <c r="B43">
        <v>999</v>
      </c>
      <c r="C43" t="s">
        <v>127</v>
      </c>
      <c r="D43">
        <v>156457</v>
      </c>
      <c r="E43" t="s">
        <v>90</v>
      </c>
      <c r="F43">
        <v>1642037497</v>
      </c>
      <c r="G43" s="1">
        <v>45213</v>
      </c>
    </row>
    <row r="44" spans="1:7">
      <c r="A44" t="s">
        <v>128</v>
      </c>
      <c r="B44">
        <v>19</v>
      </c>
      <c r="C44" t="s">
        <v>129</v>
      </c>
      <c r="E44" t="s">
        <v>12</v>
      </c>
      <c r="F44" t="s">
        <v>130</v>
      </c>
      <c r="G44" s="1">
        <v>44973</v>
      </c>
    </row>
    <row r="45" spans="1:7">
      <c r="A45" t="s">
        <v>131</v>
      </c>
      <c r="B45">
        <v>70</v>
      </c>
      <c r="C45" t="s">
        <v>132</v>
      </c>
      <c r="D45">
        <v>123783</v>
      </c>
      <c r="E45" t="s">
        <v>36</v>
      </c>
      <c r="F45" t="s">
        <v>133</v>
      </c>
      <c r="G45" s="1">
        <v>45116</v>
      </c>
    </row>
    <row r="46" spans="1:7">
      <c r="A46" t="s">
        <v>134</v>
      </c>
      <c r="B46">
        <v>69</v>
      </c>
      <c r="C46" t="s">
        <v>135</v>
      </c>
      <c r="D46">
        <v>132127</v>
      </c>
      <c r="E46" t="s">
        <v>9</v>
      </c>
      <c r="F46" t="s">
        <v>136</v>
      </c>
      <c r="G46" s="1">
        <v>45290</v>
      </c>
    </row>
    <row r="47" spans="1:7">
      <c r="A47" t="s">
        <v>137</v>
      </c>
      <c r="B47">
        <v>30</v>
      </c>
      <c r="C47" t="s">
        <v>138</v>
      </c>
      <c r="D47">
        <v>41182</v>
      </c>
      <c r="E47" t="s">
        <v>36</v>
      </c>
      <c r="F47" t="s">
        <v>139</v>
      </c>
      <c r="G47" s="1">
        <v>45150</v>
      </c>
    </row>
    <row r="48" spans="1:7">
      <c r="A48" t="s">
        <v>140</v>
      </c>
      <c r="B48">
        <v>59</v>
      </c>
      <c r="C48" t="s">
        <v>141</v>
      </c>
      <c r="D48">
        <v>168919</v>
      </c>
      <c r="E48" t="s">
        <v>12</v>
      </c>
      <c r="F48">
        <v>8700802495</v>
      </c>
      <c r="G48" s="1">
        <v>45226</v>
      </c>
    </row>
    <row r="49" spans="1:7">
      <c r="A49" t="s">
        <v>142</v>
      </c>
      <c r="B49">
        <v>33</v>
      </c>
      <c r="C49" t="s">
        <v>143</v>
      </c>
      <c r="D49">
        <v>136553</v>
      </c>
      <c r="E49" t="s">
        <v>27</v>
      </c>
      <c r="F49" t="s">
        <v>144</v>
      </c>
      <c r="G49" s="1">
        <v>45185</v>
      </c>
    </row>
    <row r="50" spans="1:7">
      <c r="A50" t="s">
        <v>145</v>
      </c>
      <c r="B50">
        <v>76</v>
      </c>
      <c r="C50" t="s">
        <v>146</v>
      </c>
      <c r="D50">
        <v>143978</v>
      </c>
      <c r="E50" t="s">
        <v>27</v>
      </c>
      <c r="F50" t="s">
        <v>147</v>
      </c>
      <c r="G50" s="1">
        <v>45086</v>
      </c>
    </row>
    <row r="51" spans="1:7">
      <c r="A51" t="s">
        <v>148</v>
      </c>
      <c r="B51">
        <v>64</v>
      </c>
      <c r="C51" t="s">
        <v>149</v>
      </c>
      <c r="D51">
        <v>171407</v>
      </c>
      <c r="E51" t="s">
        <v>36</v>
      </c>
      <c r="F51" t="s">
        <v>150</v>
      </c>
      <c r="G51" s="1">
        <v>44949</v>
      </c>
    </row>
    <row r="52" spans="1:7">
      <c r="A52" t="s">
        <v>151</v>
      </c>
      <c r="B52">
        <v>57</v>
      </c>
      <c r="C52" t="s">
        <v>152</v>
      </c>
      <c r="D52">
        <v>181165</v>
      </c>
      <c r="E52" t="s">
        <v>9</v>
      </c>
      <c r="F52" t="s">
        <v>153</v>
      </c>
      <c r="G52" s="1">
        <v>45008</v>
      </c>
    </row>
    <row r="53" spans="1:7">
      <c r="A53" t="s">
        <v>154</v>
      </c>
      <c r="B53">
        <v>22</v>
      </c>
      <c r="C53" t="s">
        <v>155</v>
      </c>
      <c r="D53">
        <v>92532</v>
      </c>
      <c r="E53" t="s">
        <v>27</v>
      </c>
      <c r="F53" t="s">
        <v>156</v>
      </c>
      <c r="G53" s="1">
        <v>45043</v>
      </c>
    </row>
    <row r="54" spans="1:7">
      <c r="A54" t="s">
        <v>157</v>
      </c>
      <c r="B54">
        <v>200</v>
      </c>
      <c r="C54" t="s">
        <v>158</v>
      </c>
      <c r="D54">
        <v>88608</v>
      </c>
      <c r="E54" t="s">
        <v>27</v>
      </c>
      <c r="F54" t="s">
        <v>159</v>
      </c>
      <c r="G54" s="1">
        <v>45068</v>
      </c>
    </row>
    <row r="55" spans="1:7">
      <c r="A55" t="s">
        <v>160</v>
      </c>
      <c r="B55">
        <v>19</v>
      </c>
      <c r="C55" t="s">
        <v>161</v>
      </c>
      <c r="D55">
        <v>143710</v>
      </c>
      <c r="E55" t="s">
        <v>9</v>
      </c>
      <c r="F55">
        <v>9446789654</v>
      </c>
      <c r="G55" s="1">
        <v>45165</v>
      </c>
    </row>
    <row r="56" spans="1:7">
      <c r="A56" t="s">
        <v>162</v>
      </c>
      <c r="B56">
        <v>56</v>
      </c>
      <c r="C56" t="s">
        <v>163</v>
      </c>
      <c r="D56">
        <v>117421</v>
      </c>
      <c r="E56" t="s">
        <v>27</v>
      </c>
      <c r="F56" t="s">
        <v>164</v>
      </c>
      <c r="G56" s="1">
        <v>45152</v>
      </c>
    </row>
    <row r="57" spans="1:7">
      <c r="A57" t="s">
        <v>165</v>
      </c>
      <c r="B57">
        <v>200</v>
      </c>
      <c r="C57" t="s">
        <v>166</v>
      </c>
      <c r="D57">
        <v>141904</v>
      </c>
      <c r="E57" t="s">
        <v>9</v>
      </c>
      <c r="F57" t="s">
        <v>167</v>
      </c>
      <c r="G57" s="1">
        <v>45017</v>
      </c>
    </row>
    <row r="58" spans="1:7">
      <c r="A58" t="s">
        <v>168</v>
      </c>
      <c r="B58">
        <v>0</v>
      </c>
      <c r="C58" t="s">
        <v>169</v>
      </c>
      <c r="E58" t="s">
        <v>27</v>
      </c>
      <c r="F58">
        <f>1-765-269-3318</f>
        <v>-4351</v>
      </c>
      <c r="G58" s="1">
        <v>45235</v>
      </c>
    </row>
    <row r="59" spans="1:7">
      <c r="B59">
        <v>43</v>
      </c>
      <c r="C59" t="s">
        <v>170</v>
      </c>
      <c r="D59">
        <v>173250</v>
      </c>
      <c r="E59" t="s">
        <v>12</v>
      </c>
      <c r="G59" s="1">
        <v>45185</v>
      </c>
    </row>
    <row r="60" spans="1:7">
      <c r="A60" t="s">
        <v>171</v>
      </c>
      <c r="B60">
        <v>35</v>
      </c>
      <c r="C60" t="s">
        <v>172</v>
      </c>
      <c r="D60">
        <v>58899</v>
      </c>
      <c r="E60" t="s">
        <v>9</v>
      </c>
      <c r="F60" t="s">
        <v>173</v>
      </c>
      <c r="G60" s="1">
        <v>45044</v>
      </c>
    </row>
    <row r="61" spans="1:7">
      <c r="A61" t="s">
        <v>174</v>
      </c>
      <c r="B61">
        <v>30</v>
      </c>
      <c r="C61" t="s">
        <v>175</v>
      </c>
      <c r="D61">
        <v>115959</v>
      </c>
      <c r="E61" t="s">
        <v>27</v>
      </c>
      <c r="F61" t="s">
        <v>176</v>
      </c>
      <c r="G61" s="1">
        <v>45219</v>
      </c>
    </row>
    <row r="62" spans="1:7">
      <c r="A62" t="s">
        <v>177</v>
      </c>
      <c r="B62">
        <v>51</v>
      </c>
      <c r="C62" t="s">
        <v>178</v>
      </c>
      <c r="D62">
        <v>36859</v>
      </c>
      <c r="E62" t="s">
        <v>27</v>
      </c>
      <c r="F62" t="s">
        <v>179</v>
      </c>
      <c r="G62" t="s">
        <v>180</v>
      </c>
    </row>
    <row r="63" spans="1:7">
      <c r="A63" t="s">
        <v>181</v>
      </c>
      <c r="B63">
        <v>50</v>
      </c>
      <c r="C63" t="s">
        <v>182</v>
      </c>
      <c r="D63">
        <v>38314</v>
      </c>
      <c r="E63" t="s">
        <v>27</v>
      </c>
      <c r="F63" t="s">
        <v>183</v>
      </c>
      <c r="G63" s="1">
        <v>45205</v>
      </c>
    </row>
    <row r="64" spans="1:7">
      <c r="A64" t="s">
        <v>184</v>
      </c>
      <c r="B64">
        <v>40</v>
      </c>
      <c r="C64" t="s">
        <v>185</v>
      </c>
      <c r="D64">
        <v>94887</v>
      </c>
      <c r="E64" t="s">
        <v>36</v>
      </c>
      <c r="F64" t="s">
        <v>186</v>
      </c>
      <c r="G64" s="1">
        <v>45258</v>
      </c>
    </row>
    <row r="65" spans="1:7">
      <c r="A65" t="s">
        <v>187</v>
      </c>
      <c r="B65">
        <v>78</v>
      </c>
      <c r="C65" t="s">
        <v>188</v>
      </c>
      <c r="E65" t="s">
        <v>27</v>
      </c>
      <c r="F65" t="s">
        <v>189</v>
      </c>
      <c r="G65" s="1">
        <v>45178</v>
      </c>
    </row>
    <row r="66" spans="1:7">
      <c r="A66" t="s">
        <v>190</v>
      </c>
      <c r="B66">
        <v>55</v>
      </c>
      <c r="C66" t="s">
        <v>191</v>
      </c>
      <c r="D66">
        <v>58481</v>
      </c>
      <c r="E66" t="s">
        <v>9</v>
      </c>
      <c r="F66" t="s">
        <v>192</v>
      </c>
      <c r="G66" s="1">
        <v>45096</v>
      </c>
    </row>
    <row r="67" spans="1:7">
      <c r="A67" t="s">
        <v>193</v>
      </c>
      <c r="B67">
        <v>65</v>
      </c>
      <c r="C67" t="s">
        <v>194</v>
      </c>
      <c r="D67">
        <v>181007</v>
      </c>
      <c r="E67" t="s">
        <v>9</v>
      </c>
      <c r="F67">
        <v>7783667060</v>
      </c>
      <c r="G67" s="1">
        <v>45043</v>
      </c>
    </row>
    <row r="68" spans="1:7">
      <c r="A68" t="s">
        <v>195</v>
      </c>
      <c r="B68">
        <v>31</v>
      </c>
      <c r="C68" t="s">
        <v>196</v>
      </c>
      <c r="D68">
        <v>100442</v>
      </c>
      <c r="E68" t="s">
        <v>27</v>
      </c>
      <c r="G68" t="s">
        <v>81</v>
      </c>
    </row>
    <row r="69" spans="1:7">
      <c r="A69" t="s">
        <v>197</v>
      </c>
      <c r="B69">
        <v>71</v>
      </c>
      <c r="C69" t="s">
        <v>198</v>
      </c>
      <c r="D69">
        <v>47374</v>
      </c>
      <c r="E69" t="s">
        <v>12</v>
      </c>
      <c r="F69" t="s">
        <v>199</v>
      </c>
      <c r="G69" s="1">
        <v>45038</v>
      </c>
    </row>
    <row r="70" spans="1:7">
      <c r="A70" t="s">
        <v>200</v>
      </c>
      <c r="B70">
        <v>36</v>
      </c>
      <c r="C70" t="s">
        <v>201</v>
      </c>
      <c r="D70">
        <v>166213</v>
      </c>
      <c r="E70" t="s">
        <v>12</v>
      </c>
      <c r="F70" t="s">
        <v>202</v>
      </c>
      <c r="G70" s="1">
        <v>45267</v>
      </c>
    </row>
    <row r="71" spans="1:7">
      <c r="A71" t="s">
        <v>203</v>
      </c>
      <c r="B71">
        <v>0</v>
      </c>
      <c r="C71" t="s">
        <v>204</v>
      </c>
      <c r="D71">
        <v>59670</v>
      </c>
      <c r="E71" t="s">
        <v>9</v>
      </c>
      <c r="F71">
        <v>2003570520</v>
      </c>
      <c r="G71" s="1">
        <v>45003</v>
      </c>
    </row>
    <row r="72" spans="1:7">
      <c r="A72" t="s">
        <v>205</v>
      </c>
      <c r="B72">
        <v>27</v>
      </c>
      <c r="D72">
        <v>117908</v>
      </c>
      <c r="E72" t="s">
        <v>27</v>
      </c>
      <c r="F72" t="s">
        <v>206</v>
      </c>
      <c r="G72" s="1">
        <v>45123</v>
      </c>
    </row>
    <row r="73" spans="1:7">
      <c r="A73" t="s">
        <v>207</v>
      </c>
      <c r="B73">
        <v>41</v>
      </c>
      <c r="C73" t="s">
        <v>208</v>
      </c>
      <c r="D73">
        <v>198785</v>
      </c>
      <c r="E73" t="s">
        <v>9</v>
      </c>
      <c r="F73" t="s">
        <v>209</v>
      </c>
      <c r="G73" s="1">
        <v>45157</v>
      </c>
    </row>
    <row r="74" spans="1:7">
      <c r="A74" t="s">
        <v>210</v>
      </c>
      <c r="B74">
        <v>75</v>
      </c>
      <c r="C74" t="s">
        <v>211</v>
      </c>
      <c r="E74" t="s">
        <v>12</v>
      </c>
      <c r="F74" t="s">
        <v>212</v>
      </c>
      <c r="G74" s="1">
        <v>44936</v>
      </c>
    </row>
    <row r="75" spans="1:7">
      <c r="A75" t="s">
        <v>213</v>
      </c>
      <c r="B75">
        <v>44</v>
      </c>
      <c r="C75" t="s">
        <v>214</v>
      </c>
      <c r="D75">
        <v>61433</v>
      </c>
      <c r="E75" t="s">
        <v>36</v>
      </c>
      <c r="F75" t="s">
        <v>215</v>
      </c>
      <c r="G75" s="1">
        <v>45172</v>
      </c>
    </row>
    <row r="76" spans="1:7">
      <c r="A76" t="s">
        <v>216</v>
      </c>
      <c r="B76">
        <v>46</v>
      </c>
      <c r="C76" t="s">
        <v>217</v>
      </c>
      <c r="D76">
        <v>90652</v>
      </c>
      <c r="E76" t="s">
        <v>9</v>
      </c>
      <c r="G76" s="1">
        <v>45101</v>
      </c>
    </row>
    <row r="77" spans="1:7">
      <c r="A77" t="s">
        <v>218</v>
      </c>
      <c r="B77">
        <v>42</v>
      </c>
      <c r="C77" t="s">
        <v>219</v>
      </c>
      <c r="D77">
        <v>184455</v>
      </c>
      <c r="E77" t="s">
        <v>12</v>
      </c>
      <c r="F77">
        <f>1-941-335-7301</f>
        <v>-8576</v>
      </c>
      <c r="G77" s="1">
        <v>45195</v>
      </c>
    </row>
    <row r="78" spans="1:7">
      <c r="A78" t="s">
        <v>220</v>
      </c>
      <c r="B78">
        <v>68</v>
      </c>
      <c r="C78" t="s">
        <v>221</v>
      </c>
      <c r="D78">
        <v>126143</v>
      </c>
      <c r="E78" t="s">
        <v>36</v>
      </c>
      <c r="F78">
        <v>3265977202</v>
      </c>
      <c r="G78" s="1">
        <v>45093</v>
      </c>
    </row>
    <row r="79" spans="1:7">
      <c r="A79" t="s">
        <v>222</v>
      </c>
      <c r="B79">
        <v>50</v>
      </c>
      <c r="C79" t="s">
        <v>223</v>
      </c>
      <c r="D79">
        <v>96216</v>
      </c>
      <c r="E79" t="s">
        <v>12</v>
      </c>
      <c r="F79" t="s">
        <v>224</v>
      </c>
      <c r="G79" s="1">
        <v>44940</v>
      </c>
    </row>
    <row r="80" spans="1:7">
      <c r="A80" t="s">
        <v>225</v>
      </c>
      <c r="B80">
        <v>-50</v>
      </c>
      <c r="C80" t="s">
        <v>226</v>
      </c>
      <c r="D80">
        <v>174740</v>
      </c>
      <c r="E80" t="s">
        <v>12</v>
      </c>
      <c r="F80" t="s">
        <v>227</v>
      </c>
      <c r="G80" t="s">
        <v>180</v>
      </c>
    </row>
    <row r="81" spans="1:7">
      <c r="A81" t="s">
        <v>228</v>
      </c>
      <c r="B81">
        <v>47</v>
      </c>
      <c r="C81" t="s">
        <v>229</v>
      </c>
      <c r="D81">
        <v>59777</v>
      </c>
      <c r="E81" t="s">
        <v>12</v>
      </c>
      <c r="F81" t="s">
        <v>230</v>
      </c>
      <c r="G81" s="1">
        <v>45003</v>
      </c>
    </row>
    <row r="82" spans="1:7">
      <c r="A82" t="s">
        <v>231</v>
      </c>
      <c r="B82">
        <v>42</v>
      </c>
      <c r="C82" t="s">
        <v>232</v>
      </c>
      <c r="D82">
        <v>182647</v>
      </c>
      <c r="E82" t="s">
        <v>36</v>
      </c>
      <c r="F82" t="s">
        <v>233</v>
      </c>
      <c r="G82" s="1">
        <v>44970</v>
      </c>
    </row>
    <row r="83" spans="1:7">
      <c r="A83" t="s">
        <v>234</v>
      </c>
      <c r="B83">
        <v>76</v>
      </c>
      <c r="C83" t="s">
        <v>235</v>
      </c>
      <c r="E83" t="s">
        <v>12</v>
      </c>
      <c r="G83" s="1">
        <v>45051</v>
      </c>
    </row>
    <row r="84" spans="1:7">
      <c r="A84" t="s">
        <v>236</v>
      </c>
      <c r="B84">
        <v>47</v>
      </c>
      <c r="C84" t="s">
        <v>237</v>
      </c>
      <c r="D84">
        <v>41814</v>
      </c>
      <c r="E84" t="s">
        <v>12</v>
      </c>
      <c r="F84">
        <v>5128485075</v>
      </c>
      <c r="G84" s="1">
        <v>45052</v>
      </c>
    </row>
    <row r="85" spans="1:7">
      <c r="A85" t="s">
        <v>238</v>
      </c>
      <c r="B85">
        <v>36</v>
      </c>
      <c r="C85" t="s">
        <v>239</v>
      </c>
      <c r="E85" t="s">
        <v>36</v>
      </c>
      <c r="F85" t="s">
        <v>240</v>
      </c>
      <c r="G85" s="1">
        <v>45031</v>
      </c>
    </row>
    <row r="86" spans="1:7">
      <c r="A86" t="s">
        <v>241</v>
      </c>
      <c r="B86">
        <v>69</v>
      </c>
      <c r="C86" t="s">
        <v>242</v>
      </c>
      <c r="D86">
        <v>90624</v>
      </c>
      <c r="E86" t="s">
        <v>36</v>
      </c>
      <c r="F86">
        <v>8932259541</v>
      </c>
      <c r="G86" s="1">
        <v>45100</v>
      </c>
    </row>
    <row r="87" spans="1:7">
      <c r="A87" t="s">
        <v>243</v>
      </c>
      <c r="C87" t="s">
        <v>244</v>
      </c>
      <c r="D87">
        <v>113384</v>
      </c>
      <c r="E87" t="s">
        <v>12</v>
      </c>
      <c r="F87" t="s">
        <v>245</v>
      </c>
      <c r="G87" s="1">
        <v>45013</v>
      </c>
    </row>
    <row r="88" spans="1:7">
      <c r="A88" t="s">
        <v>246</v>
      </c>
      <c r="B88">
        <v>53</v>
      </c>
      <c r="C88" t="s">
        <v>169</v>
      </c>
      <c r="D88">
        <v>97055</v>
      </c>
      <c r="E88" t="s">
        <v>36</v>
      </c>
      <c r="F88" t="s">
        <v>247</v>
      </c>
      <c r="G88" t="s">
        <v>81</v>
      </c>
    </row>
    <row r="89" spans="1:7">
      <c r="A89" t="s">
        <v>248</v>
      </c>
      <c r="B89">
        <v>75</v>
      </c>
      <c r="C89" t="s">
        <v>249</v>
      </c>
      <c r="E89" t="s">
        <v>27</v>
      </c>
      <c r="F89" t="s">
        <v>250</v>
      </c>
      <c r="G89" s="1">
        <v>45230</v>
      </c>
    </row>
    <row r="90" spans="1:7">
      <c r="A90" t="s">
        <v>251</v>
      </c>
      <c r="C90" t="s">
        <v>252</v>
      </c>
      <c r="D90">
        <v>147925</v>
      </c>
      <c r="F90" t="s">
        <v>253</v>
      </c>
      <c r="G90" s="1">
        <v>44993</v>
      </c>
    </row>
    <row r="91" spans="1:7">
      <c r="A91" t="s">
        <v>254</v>
      </c>
      <c r="B91">
        <v>37</v>
      </c>
      <c r="C91" t="s">
        <v>255</v>
      </c>
      <c r="D91">
        <v>111441</v>
      </c>
      <c r="E91" t="s">
        <v>36</v>
      </c>
      <c r="G91" s="1">
        <v>45105</v>
      </c>
    </row>
    <row r="92" spans="1:7">
      <c r="A92" t="s">
        <v>256</v>
      </c>
      <c r="B92">
        <v>64</v>
      </c>
      <c r="C92" t="s">
        <v>257</v>
      </c>
      <c r="D92">
        <v>71347</v>
      </c>
      <c r="E92" t="s">
        <v>12</v>
      </c>
      <c r="F92">
        <v>9667651430</v>
      </c>
      <c r="G92" s="1">
        <v>44967</v>
      </c>
    </row>
    <row r="93" spans="1:7">
      <c r="A93" t="s">
        <v>258</v>
      </c>
      <c r="B93">
        <v>32</v>
      </c>
      <c r="C93" t="s">
        <v>259</v>
      </c>
      <c r="D93">
        <v>87505</v>
      </c>
      <c r="E93" t="s">
        <v>9</v>
      </c>
      <c r="F93" t="s">
        <v>260</v>
      </c>
      <c r="G93" s="1">
        <v>45060</v>
      </c>
    </row>
    <row r="94" spans="1:7">
      <c r="A94" t="s">
        <v>261</v>
      </c>
      <c r="B94">
        <v>75</v>
      </c>
      <c r="C94" t="s">
        <v>262</v>
      </c>
      <c r="D94">
        <v>33089</v>
      </c>
      <c r="E94" t="s">
        <v>12</v>
      </c>
      <c r="F94">
        <f>1-792-521-5563</f>
        <v>-6875</v>
      </c>
      <c r="G94" s="1">
        <v>45148</v>
      </c>
    </row>
    <row r="95" spans="1:7">
      <c r="A95" t="s">
        <v>263</v>
      </c>
      <c r="B95">
        <v>66</v>
      </c>
      <c r="C95" t="s">
        <v>264</v>
      </c>
      <c r="D95">
        <v>0</v>
      </c>
      <c r="E95" t="s">
        <v>9</v>
      </c>
      <c r="F95">
        <f>1-362-442-4207</f>
        <v>-5010</v>
      </c>
      <c r="G95" s="1">
        <v>45178</v>
      </c>
    </row>
    <row r="96" spans="1:7">
      <c r="A96" t="s">
        <v>265</v>
      </c>
      <c r="B96">
        <v>64</v>
      </c>
      <c r="C96" t="s">
        <v>266</v>
      </c>
      <c r="E96" t="s">
        <v>9</v>
      </c>
      <c r="F96">
        <f>1-759-502-1845</f>
        <v>-3105</v>
      </c>
      <c r="G96" s="1">
        <v>45078</v>
      </c>
    </row>
    <row r="97" spans="1:7">
      <c r="A97" t="s">
        <v>267</v>
      </c>
      <c r="B97">
        <v>21</v>
      </c>
      <c r="C97" t="s">
        <v>268</v>
      </c>
      <c r="D97">
        <v>79429</v>
      </c>
      <c r="E97" t="s">
        <v>12</v>
      </c>
      <c r="F97" t="s">
        <v>269</v>
      </c>
      <c r="G97" s="1">
        <v>45141</v>
      </c>
    </row>
    <row r="98" spans="1:7">
      <c r="A98" t="s">
        <v>270</v>
      </c>
      <c r="C98" t="s">
        <v>271</v>
      </c>
      <c r="D98">
        <v>166260</v>
      </c>
      <c r="E98" t="s">
        <v>90</v>
      </c>
      <c r="F98" t="s">
        <v>272</v>
      </c>
      <c r="G98" s="1">
        <v>45120</v>
      </c>
    </row>
    <row r="99" spans="1:7">
      <c r="A99" t="s">
        <v>273</v>
      </c>
      <c r="B99">
        <v>28</v>
      </c>
      <c r="C99" t="s">
        <v>274</v>
      </c>
      <c r="E99" t="s">
        <v>9</v>
      </c>
      <c r="F99" t="s">
        <v>275</v>
      </c>
      <c r="G99" s="1">
        <v>45026</v>
      </c>
    </row>
    <row r="100" spans="1:7">
      <c r="A100" t="s">
        <v>276</v>
      </c>
      <c r="B100">
        <v>51</v>
      </c>
      <c r="C100" t="s">
        <v>277</v>
      </c>
      <c r="E100" t="s">
        <v>27</v>
      </c>
      <c r="G100" s="1">
        <v>45009</v>
      </c>
    </row>
    <row r="101" spans="1:7">
      <c r="A101" t="s">
        <v>278</v>
      </c>
      <c r="B101">
        <v>56</v>
      </c>
      <c r="C101" t="s">
        <v>279</v>
      </c>
      <c r="D101">
        <v>169805</v>
      </c>
      <c r="E101" t="s">
        <v>12</v>
      </c>
      <c r="F101" t="s">
        <v>280</v>
      </c>
      <c r="G101" s="1">
        <v>45168</v>
      </c>
    </row>
    <row r="102" spans="1:7">
      <c r="A102" t="s">
        <v>281</v>
      </c>
      <c r="B102">
        <v>0</v>
      </c>
      <c r="C102" t="s">
        <v>282</v>
      </c>
      <c r="D102">
        <v>33771</v>
      </c>
      <c r="E102" t="s">
        <v>27</v>
      </c>
      <c r="F102">
        <v>3981256048</v>
      </c>
      <c r="G102" s="1">
        <v>45283</v>
      </c>
    </row>
    <row r="103" spans="1:7">
      <c r="A103" t="s">
        <v>283</v>
      </c>
      <c r="B103">
        <v>61</v>
      </c>
      <c r="C103" t="s">
        <v>284</v>
      </c>
      <c r="D103">
        <v>113521</v>
      </c>
      <c r="E103" t="s">
        <v>36</v>
      </c>
      <c r="F103" t="s">
        <v>285</v>
      </c>
      <c r="G103" s="1">
        <v>45218</v>
      </c>
    </row>
    <row r="104" spans="1:7">
      <c r="A104" t="s">
        <v>286</v>
      </c>
      <c r="B104">
        <v>300</v>
      </c>
      <c r="C104" t="s">
        <v>287</v>
      </c>
      <c r="D104">
        <v>57241</v>
      </c>
      <c r="E104" t="s">
        <v>9</v>
      </c>
      <c r="F104">
        <f>1-574-190-2904</f>
        <v>-3667</v>
      </c>
      <c r="G104" s="1">
        <v>45183</v>
      </c>
    </row>
    <row r="105" spans="1:7">
      <c r="A105" t="s">
        <v>288</v>
      </c>
      <c r="B105">
        <v>34</v>
      </c>
      <c r="C105" t="s">
        <v>289</v>
      </c>
      <c r="E105" t="s">
        <v>27</v>
      </c>
      <c r="F105">
        <f>1-884-219-3224</f>
        <v>-4326</v>
      </c>
      <c r="G105" s="1">
        <v>45189</v>
      </c>
    </row>
    <row r="106" spans="1:7">
      <c r="A106" t="s">
        <v>290</v>
      </c>
      <c r="B106">
        <v>79</v>
      </c>
      <c r="C106" t="s">
        <v>291</v>
      </c>
      <c r="D106">
        <v>91510</v>
      </c>
      <c r="E106" t="s">
        <v>36</v>
      </c>
      <c r="G106" s="1">
        <v>44947</v>
      </c>
    </row>
    <row r="107" spans="1:7">
      <c r="A107" t="s">
        <v>292</v>
      </c>
      <c r="B107">
        <v>20</v>
      </c>
      <c r="C107" t="s">
        <v>293</v>
      </c>
      <c r="D107">
        <v>101805</v>
      </c>
      <c r="E107" t="s">
        <v>294</v>
      </c>
      <c r="F107" t="s">
        <v>295</v>
      </c>
      <c r="G107" s="1">
        <v>45082</v>
      </c>
    </row>
    <row r="108" spans="1:7">
      <c r="A108" t="s">
        <v>296</v>
      </c>
      <c r="B108">
        <v>-50</v>
      </c>
      <c r="C108" t="s">
        <v>297</v>
      </c>
      <c r="D108">
        <v>45385</v>
      </c>
      <c r="E108" t="s">
        <v>9</v>
      </c>
      <c r="F108" t="s">
        <v>298</v>
      </c>
      <c r="G108" s="1">
        <v>45286</v>
      </c>
    </row>
    <row r="109" spans="1:7">
      <c r="B109">
        <v>48</v>
      </c>
      <c r="C109" t="s">
        <v>299</v>
      </c>
      <c r="D109">
        <v>0</v>
      </c>
      <c r="E109" t="s">
        <v>27</v>
      </c>
      <c r="F109" t="s">
        <v>300</v>
      </c>
      <c r="G109" t="s">
        <v>301</v>
      </c>
    </row>
    <row r="110" spans="1:7">
      <c r="A110" t="s">
        <v>302</v>
      </c>
      <c r="B110">
        <v>75</v>
      </c>
      <c r="C110" t="s">
        <v>169</v>
      </c>
      <c r="D110">
        <v>41442</v>
      </c>
      <c r="E110" t="s">
        <v>12</v>
      </c>
      <c r="F110" t="s">
        <v>303</v>
      </c>
      <c r="G110" s="1">
        <v>45049</v>
      </c>
    </row>
    <row r="111" spans="1:7">
      <c r="A111" t="s">
        <v>304</v>
      </c>
      <c r="B111">
        <v>62</v>
      </c>
      <c r="C111" t="s">
        <v>305</v>
      </c>
      <c r="E111" t="s">
        <v>9</v>
      </c>
      <c r="F111">
        <v>4167591308</v>
      </c>
      <c r="G111" s="1">
        <v>45183</v>
      </c>
    </row>
    <row r="112" spans="1:7">
      <c r="A112" t="s">
        <v>306</v>
      </c>
      <c r="B112">
        <v>22</v>
      </c>
      <c r="C112" t="s">
        <v>307</v>
      </c>
      <c r="D112">
        <v>58151</v>
      </c>
      <c r="E112" t="s">
        <v>49</v>
      </c>
      <c r="F112" t="s">
        <v>308</v>
      </c>
      <c r="G112" s="1">
        <v>45144</v>
      </c>
    </row>
    <row r="113" spans="1:7">
      <c r="A113" t="s">
        <v>309</v>
      </c>
      <c r="B113">
        <v>50</v>
      </c>
      <c r="C113" t="s">
        <v>115</v>
      </c>
      <c r="D113">
        <v>68578</v>
      </c>
      <c r="E113" t="s">
        <v>9</v>
      </c>
      <c r="F113" t="s">
        <v>310</v>
      </c>
      <c r="G113" s="1">
        <v>45023</v>
      </c>
    </row>
    <row r="114" spans="1:7">
      <c r="A114" t="s">
        <v>311</v>
      </c>
      <c r="B114">
        <v>25</v>
      </c>
      <c r="C114" t="s">
        <v>312</v>
      </c>
      <c r="D114">
        <v>183077</v>
      </c>
      <c r="E114" t="s">
        <v>9</v>
      </c>
      <c r="F114">
        <v>3090061251</v>
      </c>
      <c r="G114" s="1">
        <v>45187</v>
      </c>
    </row>
    <row r="115" spans="1:7">
      <c r="A115" t="s">
        <v>313</v>
      </c>
      <c r="B115">
        <v>46</v>
      </c>
      <c r="C115" t="s">
        <v>314</v>
      </c>
      <c r="D115">
        <v>0</v>
      </c>
      <c r="E115" t="s">
        <v>36</v>
      </c>
      <c r="F115">
        <f>1-627-531-5368</f>
        <v>-6525</v>
      </c>
      <c r="G115" s="1">
        <v>45030</v>
      </c>
    </row>
    <row r="116" spans="1:7">
      <c r="A116" t="s">
        <v>315</v>
      </c>
      <c r="B116">
        <v>75</v>
      </c>
      <c r="C116" t="s">
        <v>316</v>
      </c>
      <c r="D116">
        <v>60981</v>
      </c>
      <c r="E116" t="s">
        <v>36</v>
      </c>
      <c r="F116" t="s">
        <v>317</v>
      </c>
      <c r="G116" s="1">
        <v>44965</v>
      </c>
    </row>
    <row r="117" spans="1:7">
      <c r="A117" t="s">
        <v>318</v>
      </c>
      <c r="C117" t="s">
        <v>319</v>
      </c>
      <c r="D117">
        <v>197558</v>
      </c>
      <c r="E117" t="s">
        <v>294</v>
      </c>
      <c r="F117" t="s">
        <v>320</v>
      </c>
      <c r="G117" s="1">
        <v>45270</v>
      </c>
    </row>
    <row r="118" spans="1:7">
      <c r="A118" t="s">
        <v>321</v>
      </c>
      <c r="B118">
        <v>200</v>
      </c>
      <c r="C118" t="s">
        <v>322</v>
      </c>
      <c r="D118">
        <v>181638</v>
      </c>
      <c r="E118" t="s">
        <v>12</v>
      </c>
      <c r="F118" t="s">
        <v>323</v>
      </c>
      <c r="G118" s="1">
        <v>44994</v>
      </c>
    </row>
    <row r="119" spans="1:7">
      <c r="A119" t="s">
        <v>324</v>
      </c>
      <c r="B119">
        <v>18</v>
      </c>
      <c r="C119" t="s">
        <v>325</v>
      </c>
      <c r="D119">
        <v>98689</v>
      </c>
      <c r="E119" t="s">
        <v>9</v>
      </c>
      <c r="F119">
        <f>1-767-563-5920</f>
        <v>-7249</v>
      </c>
      <c r="G119" s="1">
        <v>44952</v>
      </c>
    </row>
    <row r="120" spans="1:7">
      <c r="A120" t="s">
        <v>326</v>
      </c>
      <c r="B120">
        <v>60</v>
      </c>
      <c r="C120" t="s">
        <v>327</v>
      </c>
      <c r="D120">
        <v>109526</v>
      </c>
      <c r="E120" t="s">
        <v>27</v>
      </c>
      <c r="F120">
        <f>1-840-959-4808</f>
        <v>-6606</v>
      </c>
      <c r="G120" s="1">
        <v>45202</v>
      </c>
    </row>
    <row r="121" spans="1:7">
      <c r="A121" t="s">
        <v>328</v>
      </c>
      <c r="B121">
        <v>23</v>
      </c>
      <c r="C121" t="s">
        <v>329</v>
      </c>
      <c r="D121">
        <v>107227</v>
      </c>
      <c r="E121" t="s">
        <v>27</v>
      </c>
      <c r="F121" t="s">
        <v>330</v>
      </c>
      <c r="G121" s="1">
        <v>45233</v>
      </c>
    </row>
    <row r="122" spans="1:7">
      <c r="A122" t="s">
        <v>331</v>
      </c>
      <c r="B122">
        <v>-10</v>
      </c>
      <c r="C122" t="s">
        <v>332</v>
      </c>
      <c r="D122">
        <v>86408</v>
      </c>
      <c r="E122" t="s">
        <v>27</v>
      </c>
      <c r="F122" t="s">
        <v>333</v>
      </c>
      <c r="G122" s="1">
        <v>45003</v>
      </c>
    </row>
    <row r="123" spans="1:7">
      <c r="A123" t="s">
        <v>334</v>
      </c>
      <c r="B123">
        <v>54</v>
      </c>
      <c r="D123">
        <v>-1000</v>
      </c>
      <c r="E123" t="s">
        <v>36</v>
      </c>
      <c r="F123" t="s">
        <v>335</v>
      </c>
      <c r="G123" s="1">
        <v>45076</v>
      </c>
    </row>
    <row r="124" spans="1:7">
      <c r="A124" t="s">
        <v>336</v>
      </c>
      <c r="B124">
        <v>-25</v>
      </c>
      <c r="C124" t="s">
        <v>170</v>
      </c>
      <c r="D124">
        <v>162385</v>
      </c>
      <c r="E124" t="s">
        <v>12</v>
      </c>
      <c r="F124">
        <f>1-156-378-7501</f>
        <v>-8034</v>
      </c>
      <c r="G124" s="1">
        <v>45109</v>
      </c>
    </row>
    <row r="125" spans="1:7">
      <c r="B125">
        <v>51</v>
      </c>
      <c r="C125" t="s">
        <v>337</v>
      </c>
      <c r="D125">
        <v>191206</v>
      </c>
      <c r="E125" t="s">
        <v>36</v>
      </c>
      <c r="F125" t="s">
        <v>338</v>
      </c>
      <c r="G125" s="1">
        <v>44937</v>
      </c>
    </row>
    <row r="126" spans="1:7">
      <c r="A126" t="s">
        <v>339</v>
      </c>
      <c r="B126">
        <v>47</v>
      </c>
      <c r="C126" t="s">
        <v>340</v>
      </c>
      <c r="D126">
        <v>35939</v>
      </c>
      <c r="E126" t="s">
        <v>9</v>
      </c>
      <c r="F126">
        <v>1544998804</v>
      </c>
      <c r="G126" s="1">
        <v>45020</v>
      </c>
    </row>
    <row r="127" spans="1:7">
      <c r="A127" t="s">
        <v>341</v>
      </c>
      <c r="B127">
        <v>61</v>
      </c>
      <c r="C127" t="s">
        <v>342</v>
      </c>
      <c r="D127">
        <v>155681</v>
      </c>
      <c r="E127" t="s">
        <v>9</v>
      </c>
      <c r="F127" t="s">
        <v>343</v>
      </c>
      <c r="G127" s="1">
        <v>45291</v>
      </c>
    </row>
    <row r="128" spans="1:7">
      <c r="A128" t="s">
        <v>344</v>
      </c>
      <c r="B128">
        <v>42</v>
      </c>
      <c r="C128" t="s">
        <v>345</v>
      </c>
      <c r="D128">
        <v>101792</v>
      </c>
      <c r="E128" t="s">
        <v>27</v>
      </c>
      <c r="F128" t="s">
        <v>346</v>
      </c>
      <c r="G128" s="1">
        <v>44979</v>
      </c>
    </row>
    <row r="129" spans="1:7">
      <c r="A129" t="s">
        <v>347</v>
      </c>
      <c r="B129">
        <v>43</v>
      </c>
      <c r="C129" t="s">
        <v>348</v>
      </c>
      <c r="D129">
        <v>191183</v>
      </c>
      <c r="E129" t="s">
        <v>12</v>
      </c>
      <c r="F129" t="s">
        <v>349</v>
      </c>
      <c r="G129" s="1">
        <v>45275</v>
      </c>
    </row>
    <row r="130" spans="1:7">
      <c r="A130" t="s">
        <v>350</v>
      </c>
      <c r="B130">
        <v>73</v>
      </c>
      <c r="C130" t="s">
        <v>351</v>
      </c>
      <c r="D130">
        <v>53559</v>
      </c>
      <c r="E130" t="s">
        <v>12</v>
      </c>
      <c r="F130" t="s">
        <v>352</v>
      </c>
      <c r="G130" s="1">
        <v>45232</v>
      </c>
    </row>
    <row r="131" spans="1:7">
      <c r="A131" t="s">
        <v>353</v>
      </c>
      <c r="B131">
        <v>37</v>
      </c>
      <c r="C131" t="s">
        <v>354</v>
      </c>
      <c r="D131">
        <v>94427</v>
      </c>
      <c r="E131" t="s">
        <v>12</v>
      </c>
      <c r="F131" t="s">
        <v>355</v>
      </c>
      <c r="G131" s="1">
        <v>45125</v>
      </c>
    </row>
    <row r="132" spans="1:7">
      <c r="A132" t="s">
        <v>356</v>
      </c>
      <c r="B132">
        <v>70</v>
      </c>
      <c r="C132" t="s">
        <v>357</v>
      </c>
      <c r="D132">
        <v>163872</v>
      </c>
      <c r="E132" t="s">
        <v>358</v>
      </c>
      <c r="F132" t="s">
        <v>359</v>
      </c>
      <c r="G132" s="1">
        <v>44933</v>
      </c>
    </row>
    <row r="133" spans="1:7">
      <c r="A133" t="s">
        <v>360</v>
      </c>
      <c r="B133">
        <v>999</v>
      </c>
      <c r="C133" t="s">
        <v>361</v>
      </c>
      <c r="D133">
        <v>177147</v>
      </c>
      <c r="E133" t="s">
        <v>36</v>
      </c>
      <c r="F133">
        <v>6520672499</v>
      </c>
      <c r="G133" s="1">
        <v>45055</v>
      </c>
    </row>
    <row r="134" spans="1:7">
      <c r="A134" t="s">
        <v>362</v>
      </c>
      <c r="B134">
        <v>19</v>
      </c>
      <c r="C134" t="s">
        <v>363</v>
      </c>
      <c r="D134">
        <v>80719</v>
      </c>
      <c r="E134" t="s">
        <v>27</v>
      </c>
      <c r="F134" t="s">
        <v>364</v>
      </c>
      <c r="G134" s="1">
        <v>45147</v>
      </c>
    </row>
    <row r="135" spans="1:7">
      <c r="A135" t="s">
        <v>365</v>
      </c>
      <c r="B135">
        <v>23</v>
      </c>
      <c r="C135" t="s">
        <v>366</v>
      </c>
      <c r="D135">
        <v>98178</v>
      </c>
      <c r="E135" t="s">
        <v>36</v>
      </c>
      <c r="F135" t="s">
        <v>367</v>
      </c>
      <c r="G135" t="s">
        <v>180</v>
      </c>
    </row>
    <row r="136" spans="1:7">
      <c r="A136" t="s">
        <v>368</v>
      </c>
      <c r="B136">
        <v>20</v>
      </c>
      <c r="C136" t="s">
        <v>369</v>
      </c>
      <c r="D136">
        <v>121828</v>
      </c>
      <c r="E136" t="s">
        <v>12</v>
      </c>
      <c r="F136" t="s">
        <v>370</v>
      </c>
      <c r="G136" t="s">
        <v>371</v>
      </c>
    </row>
    <row r="137" spans="1:7">
      <c r="A137" t="s">
        <v>372</v>
      </c>
      <c r="B137">
        <v>77</v>
      </c>
      <c r="C137" t="s">
        <v>373</v>
      </c>
      <c r="D137">
        <v>177698</v>
      </c>
      <c r="E137" t="s">
        <v>36</v>
      </c>
      <c r="F137" t="s">
        <v>374</v>
      </c>
      <c r="G137" s="1">
        <v>45026</v>
      </c>
    </row>
    <row r="138" spans="1:7">
      <c r="A138" t="s">
        <v>375</v>
      </c>
      <c r="B138">
        <v>180</v>
      </c>
      <c r="C138" t="s">
        <v>376</v>
      </c>
      <c r="D138">
        <v>165899</v>
      </c>
      <c r="E138" t="s">
        <v>12</v>
      </c>
      <c r="F138" t="s">
        <v>377</v>
      </c>
      <c r="G138" s="1">
        <v>45124</v>
      </c>
    </row>
    <row r="139" spans="1:7">
      <c r="A139" t="s">
        <v>378</v>
      </c>
      <c r="B139">
        <v>28</v>
      </c>
      <c r="C139" t="s">
        <v>379</v>
      </c>
      <c r="D139">
        <v>65739</v>
      </c>
      <c r="E139" t="s">
        <v>27</v>
      </c>
      <c r="F139" t="s">
        <v>380</v>
      </c>
      <c r="G139" s="1">
        <v>45143</v>
      </c>
    </row>
    <row r="140" spans="1:7">
      <c r="A140" t="s">
        <v>381</v>
      </c>
      <c r="B140">
        <v>34</v>
      </c>
      <c r="C140" t="s">
        <v>382</v>
      </c>
      <c r="D140">
        <v>67792</v>
      </c>
      <c r="E140" t="s">
        <v>27</v>
      </c>
      <c r="F140" t="s">
        <v>383</v>
      </c>
      <c r="G140" s="1">
        <v>45270</v>
      </c>
    </row>
    <row r="141" spans="1:7">
      <c r="A141" t="s">
        <v>384</v>
      </c>
      <c r="B141">
        <v>31</v>
      </c>
      <c r="C141" t="s">
        <v>385</v>
      </c>
      <c r="D141">
        <v>85192</v>
      </c>
      <c r="E141" t="s">
        <v>27</v>
      </c>
      <c r="G141" s="1">
        <v>45216</v>
      </c>
    </row>
    <row r="142" spans="1:7">
      <c r="A142" t="s">
        <v>386</v>
      </c>
      <c r="B142">
        <v>50</v>
      </c>
      <c r="C142" t="s">
        <v>387</v>
      </c>
      <c r="D142">
        <v>183484</v>
      </c>
      <c r="E142" t="s">
        <v>27</v>
      </c>
      <c r="F142">
        <v>2578148768</v>
      </c>
      <c r="G142" s="1">
        <v>44978</v>
      </c>
    </row>
    <row r="143" spans="1:7">
      <c r="A143" t="s">
        <v>388</v>
      </c>
      <c r="B143">
        <v>64</v>
      </c>
      <c r="C143" t="s">
        <v>389</v>
      </c>
      <c r="D143">
        <v>75541</v>
      </c>
      <c r="E143" t="s">
        <v>36</v>
      </c>
      <c r="F143" t="s">
        <v>390</v>
      </c>
      <c r="G143" s="1">
        <v>45025</v>
      </c>
    </row>
    <row r="144" spans="1:7">
      <c r="A144" t="s">
        <v>391</v>
      </c>
      <c r="B144">
        <v>40</v>
      </c>
      <c r="C144" t="s">
        <v>392</v>
      </c>
      <c r="D144">
        <v>199509</v>
      </c>
      <c r="E144" t="s">
        <v>9</v>
      </c>
      <c r="F144" t="s">
        <v>393</v>
      </c>
      <c r="G144" s="1">
        <v>44975</v>
      </c>
    </row>
    <row r="145" spans="1:7">
      <c r="A145" t="s">
        <v>394</v>
      </c>
      <c r="B145">
        <v>25</v>
      </c>
      <c r="C145" t="s">
        <v>395</v>
      </c>
      <c r="D145">
        <v>126426</v>
      </c>
      <c r="E145" t="s">
        <v>12</v>
      </c>
      <c r="F145" t="s">
        <v>396</v>
      </c>
      <c r="G145" s="1">
        <v>45158</v>
      </c>
    </row>
    <row r="146" spans="1:7">
      <c r="A146" t="s">
        <v>397</v>
      </c>
      <c r="B146">
        <v>33</v>
      </c>
      <c r="D146">
        <v>44016</v>
      </c>
      <c r="E146" t="s">
        <v>27</v>
      </c>
      <c r="F146" t="s">
        <v>398</v>
      </c>
      <c r="G146" s="1">
        <v>45264</v>
      </c>
    </row>
    <row r="147" spans="1:7">
      <c r="B147">
        <v>48</v>
      </c>
      <c r="C147" t="s">
        <v>399</v>
      </c>
      <c r="D147">
        <v>194244</v>
      </c>
      <c r="E147" t="s">
        <v>27</v>
      </c>
      <c r="F147" t="s">
        <v>400</v>
      </c>
      <c r="G147" s="1">
        <v>45173</v>
      </c>
    </row>
    <row r="148" spans="1:7">
      <c r="A148" t="s">
        <v>401</v>
      </c>
      <c r="B148">
        <v>999</v>
      </c>
      <c r="C148" t="s">
        <v>402</v>
      </c>
      <c r="D148">
        <v>114381</v>
      </c>
      <c r="E148" t="s">
        <v>27</v>
      </c>
      <c r="F148" t="s">
        <v>403</v>
      </c>
      <c r="G148" s="1">
        <v>45290</v>
      </c>
    </row>
    <row r="149" spans="1:7">
      <c r="A149" t="s">
        <v>404</v>
      </c>
      <c r="B149">
        <v>55</v>
      </c>
      <c r="C149" t="s">
        <v>405</v>
      </c>
      <c r="D149">
        <v>175342</v>
      </c>
      <c r="E149" t="s">
        <v>27</v>
      </c>
      <c r="F149" t="s">
        <v>406</v>
      </c>
      <c r="G149" s="1">
        <v>44945</v>
      </c>
    </row>
    <row r="150" spans="1:7">
      <c r="A150" t="s">
        <v>407</v>
      </c>
      <c r="B150">
        <v>32</v>
      </c>
      <c r="C150" t="s">
        <v>408</v>
      </c>
      <c r="E150" t="s">
        <v>9</v>
      </c>
      <c r="F150" t="s">
        <v>409</v>
      </c>
      <c r="G150" s="1">
        <v>45220</v>
      </c>
    </row>
    <row r="151" spans="1:7">
      <c r="A151" t="s">
        <v>410</v>
      </c>
      <c r="B151">
        <v>66</v>
      </c>
      <c r="C151" t="s">
        <v>411</v>
      </c>
      <c r="D151">
        <v>189073</v>
      </c>
      <c r="E151" t="s">
        <v>27</v>
      </c>
      <c r="F151">
        <v>2741009563</v>
      </c>
      <c r="G151" s="1">
        <v>44927</v>
      </c>
    </row>
    <row r="152" spans="1:7">
      <c r="A152" t="s">
        <v>412</v>
      </c>
      <c r="B152">
        <v>27</v>
      </c>
      <c r="C152" t="s">
        <v>413</v>
      </c>
      <c r="D152">
        <v>181877</v>
      </c>
      <c r="E152" t="s">
        <v>12</v>
      </c>
      <c r="F152" t="s">
        <v>414</v>
      </c>
      <c r="G152" s="1">
        <v>44989</v>
      </c>
    </row>
    <row r="153" spans="1:7">
      <c r="A153" t="s">
        <v>415</v>
      </c>
      <c r="B153">
        <v>60</v>
      </c>
      <c r="C153" t="s">
        <v>169</v>
      </c>
      <c r="D153">
        <v>72719</v>
      </c>
      <c r="E153" t="s">
        <v>36</v>
      </c>
      <c r="F153" t="s">
        <v>416</v>
      </c>
      <c r="G153" s="1">
        <v>44950</v>
      </c>
    </row>
    <row r="154" spans="1:7">
      <c r="B154">
        <v>54</v>
      </c>
      <c r="C154" t="s">
        <v>417</v>
      </c>
      <c r="D154">
        <v>105403</v>
      </c>
      <c r="E154" t="s">
        <v>12</v>
      </c>
      <c r="F154" t="s">
        <v>418</v>
      </c>
      <c r="G154" s="1">
        <v>45104</v>
      </c>
    </row>
    <row r="155" spans="1:7">
      <c r="A155" t="s">
        <v>419</v>
      </c>
      <c r="B155">
        <v>28</v>
      </c>
      <c r="C155" t="s">
        <v>420</v>
      </c>
      <c r="D155">
        <v>109768</v>
      </c>
      <c r="E155" t="s">
        <v>27</v>
      </c>
      <c r="F155" t="s">
        <v>421</v>
      </c>
      <c r="G155" t="s">
        <v>422</v>
      </c>
    </row>
    <row r="156" spans="1:7">
      <c r="A156" t="s">
        <v>423</v>
      </c>
      <c r="B156">
        <v>52</v>
      </c>
      <c r="C156" t="s">
        <v>424</v>
      </c>
      <c r="D156">
        <v>179888</v>
      </c>
      <c r="E156" t="s">
        <v>36</v>
      </c>
      <c r="F156" t="s">
        <v>425</v>
      </c>
      <c r="G156" s="1">
        <v>45224</v>
      </c>
    </row>
    <row r="157" spans="1:7">
      <c r="A157" t="s">
        <v>426</v>
      </c>
      <c r="B157">
        <v>47</v>
      </c>
      <c r="C157" t="s">
        <v>427</v>
      </c>
      <c r="D157">
        <v>56049</v>
      </c>
      <c r="E157" t="s">
        <v>36</v>
      </c>
      <c r="F157" t="s">
        <v>428</v>
      </c>
      <c r="G157" s="1">
        <v>45213</v>
      </c>
    </row>
    <row r="158" spans="1:7">
      <c r="A158" t="s">
        <v>429</v>
      </c>
      <c r="B158">
        <v>47</v>
      </c>
      <c r="C158" t="s">
        <v>430</v>
      </c>
      <c r="E158" t="s">
        <v>36</v>
      </c>
      <c r="F158" t="s">
        <v>431</v>
      </c>
      <c r="G158" s="1">
        <v>44961</v>
      </c>
    </row>
    <row r="159" spans="1:7">
      <c r="A159" t="s">
        <v>432</v>
      </c>
      <c r="B159">
        <v>0</v>
      </c>
      <c r="C159" t="s">
        <v>389</v>
      </c>
      <c r="E159" t="s">
        <v>27</v>
      </c>
      <c r="F159">
        <f>1-910-524-5726</f>
        <v>-7159</v>
      </c>
      <c r="G159" s="1">
        <v>45168</v>
      </c>
    </row>
    <row r="160" spans="1:7">
      <c r="A160" t="s">
        <v>433</v>
      </c>
      <c r="B160">
        <v>32</v>
      </c>
      <c r="C160" t="s">
        <v>434</v>
      </c>
      <c r="D160">
        <v>109818</v>
      </c>
      <c r="E160" t="s">
        <v>12</v>
      </c>
      <c r="F160">
        <v>9711293507</v>
      </c>
      <c r="G160" s="1">
        <v>45053</v>
      </c>
    </row>
    <row r="161" spans="1:7">
      <c r="A161" t="s">
        <v>435</v>
      </c>
      <c r="B161">
        <v>62</v>
      </c>
      <c r="C161" t="s">
        <v>436</v>
      </c>
      <c r="D161">
        <v>156537</v>
      </c>
      <c r="E161" t="s">
        <v>9</v>
      </c>
      <c r="G161" s="1">
        <v>45266</v>
      </c>
    </row>
    <row r="162" spans="1:7">
      <c r="A162" t="s">
        <v>437</v>
      </c>
      <c r="B162">
        <v>68</v>
      </c>
      <c r="C162" t="s">
        <v>438</v>
      </c>
      <c r="D162">
        <v>95727</v>
      </c>
      <c r="E162" t="s">
        <v>12</v>
      </c>
      <c r="F162" t="s">
        <v>439</v>
      </c>
      <c r="G162" s="1">
        <v>45268</v>
      </c>
    </row>
    <row r="163" spans="1:7">
      <c r="A163" t="s">
        <v>440</v>
      </c>
      <c r="B163">
        <v>45</v>
      </c>
      <c r="C163" t="s">
        <v>441</v>
      </c>
      <c r="E163" t="s">
        <v>9</v>
      </c>
      <c r="F163">
        <v>9357475916</v>
      </c>
      <c r="G163" s="1">
        <v>45094</v>
      </c>
    </row>
    <row r="164" spans="1:7">
      <c r="A164" t="s">
        <v>442</v>
      </c>
      <c r="B164">
        <v>50</v>
      </c>
      <c r="C164" t="s">
        <v>443</v>
      </c>
      <c r="D164">
        <v>165864</v>
      </c>
      <c r="E164" t="s">
        <v>36</v>
      </c>
      <c r="F164">
        <f>1-663-150-6797</f>
        <v>-7609</v>
      </c>
      <c r="G164" s="1">
        <v>45007</v>
      </c>
    </row>
    <row r="165" spans="1:7">
      <c r="A165" t="s">
        <v>444</v>
      </c>
      <c r="B165">
        <v>23</v>
      </c>
      <c r="C165" t="s">
        <v>445</v>
      </c>
      <c r="D165">
        <v>115473</v>
      </c>
      <c r="E165" t="s">
        <v>27</v>
      </c>
      <c r="F165" t="s">
        <v>446</v>
      </c>
      <c r="G165" s="1">
        <v>44966</v>
      </c>
    </row>
    <row r="166" spans="1:7">
      <c r="A166" t="s">
        <v>447</v>
      </c>
      <c r="B166">
        <v>47</v>
      </c>
      <c r="C166" t="s">
        <v>448</v>
      </c>
      <c r="D166">
        <v>143204</v>
      </c>
      <c r="E166" t="s">
        <v>294</v>
      </c>
      <c r="F166">
        <f>1-449-249-5173</f>
        <v>-5870</v>
      </c>
      <c r="G166" s="1">
        <v>45243</v>
      </c>
    </row>
    <row r="167" spans="1:7">
      <c r="A167" t="s">
        <v>449</v>
      </c>
      <c r="B167">
        <v>56</v>
      </c>
      <c r="C167" t="s">
        <v>389</v>
      </c>
      <c r="D167">
        <v>173217</v>
      </c>
      <c r="E167" t="s">
        <v>36</v>
      </c>
      <c r="F167" t="s">
        <v>450</v>
      </c>
      <c r="G167" s="1">
        <v>45085</v>
      </c>
    </row>
    <row r="168" spans="1:7">
      <c r="A168" t="s">
        <v>451</v>
      </c>
      <c r="B168">
        <v>52</v>
      </c>
      <c r="C168" t="s">
        <v>452</v>
      </c>
      <c r="D168">
        <v>171439</v>
      </c>
      <c r="E168" t="s">
        <v>9</v>
      </c>
      <c r="F168">
        <v>3075769888</v>
      </c>
      <c r="G168" s="1">
        <v>44977</v>
      </c>
    </row>
    <row r="169" spans="1:7">
      <c r="A169" t="s">
        <v>453</v>
      </c>
      <c r="B169">
        <v>47</v>
      </c>
      <c r="D169">
        <v>85501</v>
      </c>
      <c r="E169" t="s">
        <v>90</v>
      </c>
      <c r="F169" t="s">
        <v>454</v>
      </c>
      <c r="G169" s="1">
        <v>45178</v>
      </c>
    </row>
    <row r="170" spans="1:7">
      <c r="A170" t="s">
        <v>455</v>
      </c>
      <c r="B170">
        <v>72</v>
      </c>
      <c r="D170">
        <v>186323</v>
      </c>
      <c r="E170" t="s">
        <v>9</v>
      </c>
      <c r="F170">
        <f>1-105-441-4259</f>
        <v>-4804</v>
      </c>
      <c r="G170" s="1">
        <v>45014</v>
      </c>
    </row>
    <row r="171" spans="1:7">
      <c r="A171" t="s">
        <v>456</v>
      </c>
      <c r="B171">
        <v>52</v>
      </c>
      <c r="C171" t="s">
        <v>457</v>
      </c>
      <c r="D171">
        <v>49611</v>
      </c>
      <c r="E171" t="s">
        <v>36</v>
      </c>
      <c r="F171" t="s">
        <v>458</v>
      </c>
      <c r="G171" s="1">
        <v>45200</v>
      </c>
    </row>
    <row r="172" spans="1:7">
      <c r="A172" t="s">
        <v>459</v>
      </c>
      <c r="B172">
        <v>58</v>
      </c>
      <c r="C172" t="s">
        <v>460</v>
      </c>
      <c r="D172">
        <v>151585</v>
      </c>
      <c r="E172" t="s">
        <v>27</v>
      </c>
      <c r="F172">
        <f>1-745-661-7849</f>
        <v>-9254</v>
      </c>
      <c r="G172" s="1">
        <v>44944</v>
      </c>
    </row>
    <row r="173" spans="1:7">
      <c r="A173" t="s">
        <v>461</v>
      </c>
      <c r="B173">
        <v>60</v>
      </c>
      <c r="C173" t="s">
        <v>462</v>
      </c>
      <c r="D173">
        <v>-20000</v>
      </c>
      <c r="E173" t="s">
        <v>36</v>
      </c>
      <c r="F173" t="s">
        <v>463</v>
      </c>
      <c r="G173" s="1">
        <v>45058</v>
      </c>
    </row>
    <row r="174" spans="1:7">
      <c r="A174" t="s">
        <v>464</v>
      </c>
      <c r="B174">
        <v>50</v>
      </c>
      <c r="C174" t="s">
        <v>465</v>
      </c>
      <c r="E174" t="s">
        <v>9</v>
      </c>
      <c r="F174" t="s">
        <v>466</v>
      </c>
      <c r="G174" s="1">
        <v>45117</v>
      </c>
    </row>
    <row r="175" spans="1:7">
      <c r="A175" t="s">
        <v>467</v>
      </c>
      <c r="B175">
        <v>69</v>
      </c>
      <c r="C175" t="s">
        <v>468</v>
      </c>
      <c r="D175">
        <v>100601</v>
      </c>
      <c r="E175" t="s">
        <v>9</v>
      </c>
      <c r="F175" t="s">
        <v>469</v>
      </c>
      <c r="G175" s="1">
        <v>45050</v>
      </c>
    </row>
    <row r="176" spans="1:7">
      <c r="A176" t="s">
        <v>470</v>
      </c>
      <c r="B176">
        <v>28</v>
      </c>
      <c r="C176" t="s">
        <v>471</v>
      </c>
      <c r="D176">
        <v>144897</v>
      </c>
      <c r="E176" t="s">
        <v>12</v>
      </c>
      <c r="F176" t="s">
        <v>472</v>
      </c>
      <c r="G176" s="1">
        <v>45067</v>
      </c>
    </row>
    <row r="177" spans="1:7">
      <c r="A177" t="s">
        <v>473</v>
      </c>
      <c r="B177">
        <v>75</v>
      </c>
      <c r="C177" t="s">
        <v>115</v>
      </c>
      <c r="D177">
        <v>158681</v>
      </c>
      <c r="E177" t="s">
        <v>27</v>
      </c>
      <c r="F177" t="s">
        <v>474</v>
      </c>
      <c r="G177" s="1">
        <v>45148</v>
      </c>
    </row>
    <row r="178" spans="1:7">
      <c r="A178" t="s">
        <v>475</v>
      </c>
      <c r="B178">
        <v>25</v>
      </c>
      <c r="C178" t="s">
        <v>389</v>
      </c>
      <c r="E178" t="s">
        <v>9</v>
      </c>
      <c r="F178" t="s">
        <v>476</v>
      </c>
      <c r="G178" s="1">
        <v>45110</v>
      </c>
    </row>
    <row r="179" spans="1:7">
      <c r="A179" t="s">
        <v>477</v>
      </c>
      <c r="B179">
        <v>45</v>
      </c>
      <c r="C179" t="s">
        <v>478</v>
      </c>
      <c r="E179" t="s">
        <v>49</v>
      </c>
      <c r="F179" t="s">
        <v>479</v>
      </c>
      <c r="G179" s="1">
        <v>44929</v>
      </c>
    </row>
    <row r="180" spans="1:7">
      <c r="A180" t="s">
        <v>480</v>
      </c>
      <c r="B180">
        <v>37</v>
      </c>
      <c r="C180" t="s">
        <v>481</v>
      </c>
      <c r="D180">
        <v>38802</v>
      </c>
      <c r="E180" t="s">
        <v>12</v>
      </c>
      <c r="F180" t="s">
        <v>482</v>
      </c>
      <c r="G180" t="s">
        <v>483</v>
      </c>
    </row>
    <row r="181" spans="1:7">
      <c r="A181" t="s">
        <v>484</v>
      </c>
      <c r="B181">
        <v>24</v>
      </c>
      <c r="C181" t="s">
        <v>485</v>
      </c>
      <c r="D181">
        <v>63757</v>
      </c>
      <c r="E181" t="s">
        <v>36</v>
      </c>
      <c r="F181" t="s">
        <v>486</v>
      </c>
      <c r="G181" t="s">
        <v>81</v>
      </c>
    </row>
    <row r="182" spans="1:7">
      <c r="A182" t="s">
        <v>487</v>
      </c>
      <c r="B182">
        <v>150</v>
      </c>
      <c r="C182" t="s">
        <v>488</v>
      </c>
      <c r="D182">
        <v>108768</v>
      </c>
      <c r="E182" t="s">
        <v>12</v>
      </c>
      <c r="F182" t="s">
        <v>489</v>
      </c>
      <c r="G182" s="1">
        <v>44951</v>
      </c>
    </row>
    <row r="183" spans="1:7">
      <c r="A183" t="s">
        <v>490</v>
      </c>
      <c r="B183">
        <v>50</v>
      </c>
      <c r="C183" t="s">
        <v>491</v>
      </c>
      <c r="D183">
        <v>87196</v>
      </c>
      <c r="E183" t="s">
        <v>9</v>
      </c>
      <c r="F183" t="s">
        <v>492</v>
      </c>
      <c r="G183" t="s">
        <v>493</v>
      </c>
    </row>
    <row r="184" spans="1:7">
      <c r="A184" t="s">
        <v>494</v>
      </c>
      <c r="B184">
        <v>22</v>
      </c>
      <c r="C184" t="s">
        <v>495</v>
      </c>
      <c r="D184">
        <v>193900</v>
      </c>
      <c r="E184" t="s">
        <v>27</v>
      </c>
      <c r="F184">
        <f>1-272-900-5016</f>
        <v>-6187</v>
      </c>
      <c r="G184" s="1">
        <v>45242</v>
      </c>
    </row>
    <row r="185" spans="1:7">
      <c r="A185" t="s">
        <v>496</v>
      </c>
      <c r="B185">
        <v>74</v>
      </c>
      <c r="C185" t="s">
        <v>497</v>
      </c>
      <c r="D185">
        <v>183956</v>
      </c>
      <c r="E185" t="s">
        <v>27</v>
      </c>
      <c r="F185">
        <f>1-173-358-3038</f>
        <v>-3568</v>
      </c>
      <c r="G185" s="1">
        <v>45220</v>
      </c>
    </row>
    <row r="186" spans="1:7">
      <c r="A186" t="s">
        <v>498</v>
      </c>
      <c r="B186">
        <v>45</v>
      </c>
      <c r="D186">
        <v>140195</v>
      </c>
      <c r="E186" t="s">
        <v>12</v>
      </c>
      <c r="F186" t="s">
        <v>499</v>
      </c>
      <c r="G186" s="1">
        <v>45106</v>
      </c>
    </row>
    <row r="187" spans="1:7">
      <c r="A187" t="s">
        <v>500</v>
      </c>
      <c r="B187">
        <v>50</v>
      </c>
      <c r="C187" t="s">
        <v>501</v>
      </c>
      <c r="D187">
        <v>115076</v>
      </c>
      <c r="E187" t="s">
        <v>9</v>
      </c>
      <c r="F187" t="s">
        <v>502</v>
      </c>
      <c r="G187" s="1">
        <v>45280</v>
      </c>
    </row>
    <row r="188" spans="1:7">
      <c r="A188" t="s">
        <v>503</v>
      </c>
      <c r="B188">
        <v>34</v>
      </c>
      <c r="C188" t="s">
        <v>504</v>
      </c>
      <c r="D188">
        <v>189629</v>
      </c>
      <c r="E188" t="s">
        <v>27</v>
      </c>
      <c r="F188" t="s">
        <v>505</v>
      </c>
      <c r="G188" s="1">
        <v>45058</v>
      </c>
    </row>
    <row r="189" spans="1:7">
      <c r="A189" t="s">
        <v>506</v>
      </c>
      <c r="B189">
        <v>30</v>
      </c>
      <c r="C189" t="s">
        <v>507</v>
      </c>
      <c r="D189">
        <v>132802</v>
      </c>
      <c r="E189" t="s">
        <v>27</v>
      </c>
      <c r="F189">
        <f>1-812-489-4649</f>
        <v>-5949</v>
      </c>
      <c r="G189" t="s">
        <v>301</v>
      </c>
    </row>
    <row r="190" spans="1:7">
      <c r="A190" t="s">
        <v>508</v>
      </c>
      <c r="B190">
        <v>29</v>
      </c>
      <c r="C190" t="s">
        <v>509</v>
      </c>
      <c r="D190">
        <v>111494</v>
      </c>
      <c r="E190" t="s">
        <v>9</v>
      </c>
      <c r="F190" t="s">
        <v>510</v>
      </c>
      <c r="G190" s="1">
        <v>44958</v>
      </c>
    </row>
    <row r="191" spans="1:7">
      <c r="A191" t="s">
        <v>511</v>
      </c>
      <c r="B191">
        <v>39</v>
      </c>
      <c r="C191" t="s">
        <v>512</v>
      </c>
      <c r="D191">
        <v>0</v>
      </c>
      <c r="E191" t="s">
        <v>27</v>
      </c>
      <c r="F191" t="s">
        <v>513</v>
      </c>
      <c r="G191" s="1">
        <v>45144</v>
      </c>
    </row>
    <row r="192" spans="1:7">
      <c r="A192" t="s">
        <v>514</v>
      </c>
      <c r="B192">
        <v>66</v>
      </c>
      <c r="C192" t="s">
        <v>515</v>
      </c>
      <c r="D192">
        <v>170347</v>
      </c>
      <c r="E192" t="s">
        <v>27</v>
      </c>
      <c r="F192" t="s">
        <v>516</v>
      </c>
      <c r="G192" s="1">
        <v>45202</v>
      </c>
    </row>
    <row r="193" spans="1:7">
      <c r="A193" t="s">
        <v>517</v>
      </c>
      <c r="B193">
        <v>30</v>
      </c>
      <c r="C193" t="s">
        <v>518</v>
      </c>
      <c r="D193">
        <v>131948</v>
      </c>
      <c r="E193" t="s">
        <v>27</v>
      </c>
      <c r="F193" t="s">
        <v>519</v>
      </c>
      <c r="G193" s="1">
        <v>45224</v>
      </c>
    </row>
    <row r="194" spans="1:7">
      <c r="A194" t="s">
        <v>520</v>
      </c>
      <c r="B194">
        <v>52</v>
      </c>
      <c r="C194" t="s">
        <v>521</v>
      </c>
      <c r="D194">
        <v>132272</v>
      </c>
      <c r="E194" t="s">
        <v>358</v>
      </c>
      <c r="F194" t="s">
        <v>522</v>
      </c>
      <c r="G194" s="1">
        <v>45242</v>
      </c>
    </row>
    <row r="195" spans="1:7">
      <c r="A195" t="s">
        <v>523</v>
      </c>
      <c r="B195">
        <v>79</v>
      </c>
      <c r="C195" t="s">
        <v>524</v>
      </c>
      <c r="D195">
        <v>70736</v>
      </c>
      <c r="E195" t="s">
        <v>12</v>
      </c>
      <c r="F195" t="s">
        <v>525</v>
      </c>
      <c r="G195" s="1">
        <v>45154</v>
      </c>
    </row>
    <row r="196" spans="1:7">
      <c r="A196" t="s">
        <v>526</v>
      </c>
      <c r="B196">
        <v>0</v>
      </c>
      <c r="D196">
        <v>96917</v>
      </c>
      <c r="E196" t="s">
        <v>527</v>
      </c>
      <c r="F196">
        <v>2854663638</v>
      </c>
      <c r="G196" s="1">
        <v>45045</v>
      </c>
    </row>
    <row r="197" spans="1:7">
      <c r="A197" t="s">
        <v>528</v>
      </c>
      <c r="B197">
        <v>62</v>
      </c>
      <c r="C197" t="s">
        <v>529</v>
      </c>
      <c r="D197">
        <v>53408</v>
      </c>
      <c r="E197" t="s">
        <v>36</v>
      </c>
      <c r="F197">
        <v>9355465756</v>
      </c>
      <c r="G197" s="1">
        <v>44941</v>
      </c>
    </row>
    <row r="198" spans="1:7">
      <c r="A198" t="s">
        <v>530</v>
      </c>
      <c r="B198">
        <v>-999</v>
      </c>
      <c r="C198" t="s">
        <v>531</v>
      </c>
      <c r="D198">
        <v>-1</v>
      </c>
      <c r="E198" t="s">
        <v>532</v>
      </c>
      <c r="G198" t="s">
        <v>493</v>
      </c>
    </row>
    <row r="199" spans="1:7">
      <c r="A199" t="s">
        <v>533</v>
      </c>
      <c r="B199">
        <v>50</v>
      </c>
      <c r="C199" t="s">
        <v>299</v>
      </c>
      <c r="D199">
        <v>-10000</v>
      </c>
      <c r="E199" t="s">
        <v>12</v>
      </c>
      <c r="F199">
        <f>1-733-519-3593</f>
        <v>-4844</v>
      </c>
      <c r="G199" s="1">
        <v>45131</v>
      </c>
    </row>
    <row r="200" spans="1:7">
      <c r="A200" t="s">
        <v>534</v>
      </c>
      <c r="B200">
        <v>53</v>
      </c>
      <c r="C200" t="s">
        <v>299</v>
      </c>
      <c r="D200">
        <v>129575</v>
      </c>
      <c r="E200" t="s">
        <v>36</v>
      </c>
      <c r="F200" t="s">
        <v>535</v>
      </c>
      <c r="G200" s="1">
        <v>44996</v>
      </c>
    </row>
    <row r="201" spans="1:7">
      <c r="A201" t="s">
        <v>536</v>
      </c>
      <c r="B201">
        <v>62</v>
      </c>
      <c r="C201" t="s">
        <v>537</v>
      </c>
      <c r="D201">
        <v>38328</v>
      </c>
      <c r="E201" t="s">
        <v>358</v>
      </c>
      <c r="F201" t="s">
        <v>538</v>
      </c>
      <c r="G201" s="1">
        <v>44936</v>
      </c>
    </row>
    <row r="202" spans="1:7">
      <c r="A202" t="s">
        <v>539</v>
      </c>
      <c r="B202">
        <v>70</v>
      </c>
      <c r="C202" t="s">
        <v>540</v>
      </c>
      <c r="D202">
        <v>32462</v>
      </c>
      <c r="E202" t="s">
        <v>27</v>
      </c>
      <c r="F202" t="s">
        <v>541</v>
      </c>
      <c r="G202" s="1">
        <v>45067</v>
      </c>
    </row>
    <row r="203" spans="1:7">
      <c r="A203" t="s">
        <v>542</v>
      </c>
      <c r="B203">
        <v>72</v>
      </c>
      <c r="C203" t="s">
        <v>543</v>
      </c>
      <c r="D203">
        <v>58927</v>
      </c>
      <c r="E203" t="s">
        <v>9</v>
      </c>
      <c r="F203">
        <f>1-780-738-7711</f>
        <v>-9228</v>
      </c>
      <c r="G203" s="1">
        <v>44970</v>
      </c>
    </row>
    <row r="204" spans="1:7">
      <c r="A204" t="s">
        <v>544</v>
      </c>
      <c r="B204">
        <v>20</v>
      </c>
      <c r="C204" t="s">
        <v>545</v>
      </c>
      <c r="D204">
        <v>130755</v>
      </c>
      <c r="E204" t="s">
        <v>9</v>
      </c>
      <c r="F204">
        <v>1172146239</v>
      </c>
      <c r="G204" s="1">
        <v>45076</v>
      </c>
    </row>
    <row r="205" spans="1:7">
      <c r="A205" t="s">
        <v>546</v>
      </c>
      <c r="B205">
        <v>37</v>
      </c>
      <c r="C205" t="s">
        <v>547</v>
      </c>
      <c r="D205">
        <v>118209</v>
      </c>
      <c r="E205" t="s">
        <v>27</v>
      </c>
      <c r="F205" t="s">
        <v>548</v>
      </c>
      <c r="G205" s="1">
        <v>44956</v>
      </c>
    </row>
    <row r="206" spans="1:7">
      <c r="A206" t="s">
        <v>549</v>
      </c>
      <c r="B206">
        <v>52</v>
      </c>
      <c r="C206" t="s">
        <v>550</v>
      </c>
      <c r="E206" t="s">
        <v>27</v>
      </c>
      <c r="F206">
        <v>7547322886</v>
      </c>
      <c r="G206" s="1">
        <v>45086</v>
      </c>
    </row>
    <row r="207" spans="1:7">
      <c r="A207" t="s">
        <v>551</v>
      </c>
      <c r="B207">
        <v>75</v>
      </c>
      <c r="C207" t="s">
        <v>552</v>
      </c>
      <c r="D207">
        <v>33285</v>
      </c>
      <c r="E207" t="s">
        <v>9</v>
      </c>
      <c r="F207" t="s">
        <v>553</v>
      </c>
      <c r="G207" s="1">
        <v>45207</v>
      </c>
    </row>
    <row r="208" spans="1:7">
      <c r="A208" t="s">
        <v>554</v>
      </c>
      <c r="B208">
        <v>37</v>
      </c>
      <c r="D208">
        <v>154932</v>
      </c>
      <c r="E208" t="s">
        <v>12</v>
      </c>
      <c r="F208" t="s">
        <v>555</v>
      </c>
      <c r="G208" s="1">
        <v>44934</v>
      </c>
    </row>
    <row r="209" spans="1:7">
      <c r="A209" t="s">
        <v>556</v>
      </c>
      <c r="B209">
        <v>23</v>
      </c>
      <c r="C209" t="s">
        <v>557</v>
      </c>
      <c r="D209">
        <v>150544</v>
      </c>
      <c r="E209" t="s">
        <v>36</v>
      </c>
      <c r="F209" t="s">
        <v>558</v>
      </c>
      <c r="G209" s="1">
        <v>45125</v>
      </c>
    </row>
    <row r="210" spans="1:7">
      <c r="A210" t="s">
        <v>559</v>
      </c>
      <c r="B210">
        <v>20</v>
      </c>
      <c r="C210" t="s">
        <v>560</v>
      </c>
      <c r="D210">
        <v>87021</v>
      </c>
      <c r="E210" t="s">
        <v>294</v>
      </c>
      <c r="F210" t="s">
        <v>561</v>
      </c>
      <c r="G210" s="1">
        <v>45152</v>
      </c>
    </row>
    <row r="211" spans="1:7">
      <c r="A211" t="s">
        <v>562</v>
      </c>
      <c r="B211">
        <v>65</v>
      </c>
      <c r="C211" t="s">
        <v>563</v>
      </c>
      <c r="E211" t="s">
        <v>36</v>
      </c>
      <c r="F211">
        <f>1-174-472-1501</f>
        <v>-2146</v>
      </c>
      <c r="G211" s="1">
        <v>45042</v>
      </c>
    </row>
    <row r="212" spans="1:7">
      <c r="A212" t="s">
        <v>564</v>
      </c>
      <c r="B212">
        <v>31</v>
      </c>
      <c r="D212">
        <v>52504</v>
      </c>
      <c r="E212" t="s">
        <v>36</v>
      </c>
      <c r="F212">
        <f>1-252-933-8292</f>
        <v>-9476</v>
      </c>
      <c r="G212" s="1">
        <v>45143</v>
      </c>
    </row>
    <row r="213" spans="1:7">
      <c r="A213" t="s">
        <v>565</v>
      </c>
      <c r="B213">
        <v>40</v>
      </c>
      <c r="C213" t="s">
        <v>566</v>
      </c>
      <c r="D213">
        <v>0</v>
      </c>
      <c r="E213" t="s">
        <v>12</v>
      </c>
      <c r="F213">
        <f>1-146-786-8259</f>
        <v>-9190</v>
      </c>
      <c r="G213" s="1">
        <v>45281</v>
      </c>
    </row>
    <row r="214" spans="1:7">
      <c r="A214" t="s">
        <v>567</v>
      </c>
      <c r="B214">
        <v>26</v>
      </c>
      <c r="C214" t="s">
        <v>568</v>
      </c>
      <c r="D214">
        <v>174282</v>
      </c>
      <c r="E214" t="s">
        <v>9</v>
      </c>
      <c r="G214" s="1">
        <v>44929</v>
      </c>
    </row>
    <row r="215" spans="1:7">
      <c r="A215" t="s">
        <v>569</v>
      </c>
      <c r="B215">
        <v>59</v>
      </c>
      <c r="C215" t="s">
        <v>570</v>
      </c>
      <c r="E215" t="s">
        <v>9</v>
      </c>
      <c r="F215" t="s">
        <v>571</v>
      </c>
      <c r="G215" s="1">
        <v>45071</v>
      </c>
    </row>
    <row r="216" spans="1:7">
      <c r="A216" t="s">
        <v>572</v>
      </c>
      <c r="B216">
        <v>66</v>
      </c>
      <c r="C216" t="s">
        <v>573</v>
      </c>
      <c r="D216">
        <v>0</v>
      </c>
      <c r="E216" t="s">
        <v>36</v>
      </c>
      <c r="G216" s="1">
        <v>45059</v>
      </c>
    </row>
    <row r="217" spans="1:7">
      <c r="A217" t="s">
        <v>574</v>
      </c>
      <c r="B217">
        <v>31</v>
      </c>
      <c r="C217" t="s">
        <v>575</v>
      </c>
      <c r="D217">
        <v>165958</v>
      </c>
      <c r="E217" t="s">
        <v>9</v>
      </c>
      <c r="F217" t="s">
        <v>576</v>
      </c>
      <c r="G217" s="1">
        <v>45137</v>
      </c>
    </row>
    <row r="218" spans="1:7">
      <c r="A218" t="s">
        <v>577</v>
      </c>
      <c r="B218">
        <v>78</v>
      </c>
      <c r="C218" t="s">
        <v>578</v>
      </c>
      <c r="D218">
        <v>127352</v>
      </c>
      <c r="E218" t="s">
        <v>9</v>
      </c>
      <c r="F218">
        <v>1651921884</v>
      </c>
      <c r="G218" s="1">
        <v>44994</v>
      </c>
    </row>
    <row r="219" spans="1:7">
      <c r="A219" t="s">
        <v>579</v>
      </c>
      <c r="B219">
        <v>46</v>
      </c>
      <c r="C219" t="s">
        <v>580</v>
      </c>
      <c r="D219">
        <v>108840</v>
      </c>
      <c r="E219" t="s">
        <v>9</v>
      </c>
      <c r="F219" t="s">
        <v>581</v>
      </c>
      <c r="G219" s="1">
        <v>45114</v>
      </c>
    </row>
    <row r="220" spans="1:7">
      <c r="A220" t="s">
        <v>582</v>
      </c>
      <c r="B220">
        <v>38</v>
      </c>
      <c r="C220" t="s">
        <v>583</v>
      </c>
      <c r="D220">
        <v>193499</v>
      </c>
      <c r="E220" t="s">
        <v>12</v>
      </c>
      <c r="F220" t="s">
        <v>584</v>
      </c>
      <c r="G220" s="1">
        <v>45203</v>
      </c>
    </row>
    <row r="221" spans="1:7">
      <c r="A221" t="s">
        <v>585</v>
      </c>
      <c r="B221">
        <v>79</v>
      </c>
      <c r="C221" t="s">
        <v>586</v>
      </c>
      <c r="D221">
        <v>0</v>
      </c>
      <c r="E221" t="s">
        <v>9</v>
      </c>
      <c r="F221" t="s">
        <v>587</v>
      </c>
      <c r="G221" t="s">
        <v>301</v>
      </c>
    </row>
    <row r="222" spans="1:7">
      <c r="A222" t="s">
        <v>588</v>
      </c>
      <c r="B222">
        <v>53</v>
      </c>
      <c r="C222" t="s">
        <v>589</v>
      </c>
      <c r="D222">
        <v>53956</v>
      </c>
      <c r="E222" t="s">
        <v>12</v>
      </c>
      <c r="F222">
        <v>2805418091</v>
      </c>
      <c r="G222" s="1">
        <v>45076</v>
      </c>
    </row>
    <row r="223" spans="1:7">
      <c r="A223" t="s">
        <v>590</v>
      </c>
      <c r="B223">
        <v>54</v>
      </c>
      <c r="C223" t="s">
        <v>591</v>
      </c>
      <c r="D223">
        <v>-5000</v>
      </c>
      <c r="E223" t="s">
        <v>27</v>
      </c>
      <c r="F223" t="s">
        <v>592</v>
      </c>
      <c r="G223" s="1">
        <v>44986</v>
      </c>
    </row>
    <row r="224" spans="1:7">
      <c r="A224" t="s">
        <v>593</v>
      </c>
      <c r="B224">
        <v>38</v>
      </c>
      <c r="C224" t="s">
        <v>594</v>
      </c>
      <c r="D224">
        <v>38720</v>
      </c>
      <c r="E224" t="s">
        <v>12</v>
      </c>
      <c r="F224">
        <f>1-282-950-5512</f>
        <v>-6743</v>
      </c>
      <c r="G224" s="1">
        <v>44994</v>
      </c>
    </row>
    <row r="225" spans="1:7">
      <c r="A225" t="s">
        <v>595</v>
      </c>
      <c r="B225">
        <v>38</v>
      </c>
      <c r="D225">
        <v>163639</v>
      </c>
      <c r="E225" t="s">
        <v>12</v>
      </c>
      <c r="F225">
        <f>1-643-929-4206</f>
        <v>-5777</v>
      </c>
      <c r="G225" s="1">
        <v>45176</v>
      </c>
    </row>
    <row r="226" spans="1:7">
      <c r="A226" t="s">
        <v>596</v>
      </c>
      <c r="B226">
        <v>53</v>
      </c>
      <c r="C226" t="s">
        <v>445</v>
      </c>
      <c r="E226" t="s">
        <v>9</v>
      </c>
      <c r="F226" t="s">
        <v>597</v>
      </c>
      <c r="G226" s="1">
        <v>45078</v>
      </c>
    </row>
    <row r="227" spans="1:7">
      <c r="A227" t="s">
        <v>598</v>
      </c>
      <c r="B227">
        <v>47</v>
      </c>
      <c r="C227" t="s">
        <v>599</v>
      </c>
      <c r="D227">
        <v>191409</v>
      </c>
      <c r="E227" t="s">
        <v>18</v>
      </c>
      <c r="F227">
        <v>3781500263</v>
      </c>
      <c r="G227" s="1">
        <v>45276</v>
      </c>
    </row>
    <row r="228" spans="1:7">
      <c r="A228" t="s">
        <v>600</v>
      </c>
      <c r="B228">
        <v>76</v>
      </c>
      <c r="C228" t="s">
        <v>601</v>
      </c>
      <c r="D228">
        <v>72998</v>
      </c>
      <c r="E228" t="s">
        <v>27</v>
      </c>
      <c r="F228" t="s">
        <v>602</v>
      </c>
      <c r="G228" s="1">
        <v>45194</v>
      </c>
    </row>
    <row r="229" spans="1:7">
      <c r="A229" t="s">
        <v>603</v>
      </c>
      <c r="B229">
        <v>79</v>
      </c>
      <c r="D229">
        <v>119242</v>
      </c>
      <c r="E229" t="s">
        <v>358</v>
      </c>
      <c r="F229">
        <v>7735322123</v>
      </c>
      <c r="G229" s="1">
        <v>45101</v>
      </c>
    </row>
    <row r="230" spans="1:7">
      <c r="A230" t="s">
        <v>604</v>
      </c>
      <c r="B230">
        <v>39</v>
      </c>
      <c r="C230" t="s">
        <v>605</v>
      </c>
      <c r="D230">
        <v>39491</v>
      </c>
      <c r="E230" t="s">
        <v>12</v>
      </c>
      <c r="F230">
        <f>1-254-460-2696</f>
        <v>-3409</v>
      </c>
      <c r="G230" s="1">
        <v>45081</v>
      </c>
    </row>
    <row r="231" spans="1:7">
      <c r="A231" t="s">
        <v>606</v>
      </c>
      <c r="B231">
        <v>21</v>
      </c>
      <c r="C231" t="s">
        <v>607</v>
      </c>
      <c r="D231">
        <v>160503</v>
      </c>
      <c r="E231" t="s">
        <v>12</v>
      </c>
      <c r="F231">
        <f>1-349-869-8045</f>
        <v>-9262</v>
      </c>
      <c r="G231" s="1">
        <v>44963</v>
      </c>
    </row>
    <row r="232" spans="1:7">
      <c r="A232" t="s">
        <v>608</v>
      </c>
      <c r="B232">
        <v>25</v>
      </c>
      <c r="C232" t="s">
        <v>609</v>
      </c>
      <c r="D232">
        <v>119813</v>
      </c>
      <c r="E232" t="s">
        <v>36</v>
      </c>
      <c r="F232">
        <v>5384891565</v>
      </c>
      <c r="G232" s="1">
        <v>44927</v>
      </c>
    </row>
    <row r="233" spans="1:7">
      <c r="A233" t="s">
        <v>610</v>
      </c>
      <c r="B233">
        <v>39</v>
      </c>
      <c r="C233" t="s">
        <v>611</v>
      </c>
      <c r="D233">
        <v>56917</v>
      </c>
      <c r="E233" t="s">
        <v>12</v>
      </c>
      <c r="F233" t="s">
        <v>612</v>
      </c>
      <c r="G233" s="1">
        <v>45227</v>
      </c>
    </row>
    <row r="234" spans="1:7">
      <c r="C234" t="s">
        <v>613</v>
      </c>
      <c r="D234">
        <v>162654</v>
      </c>
      <c r="E234" t="s">
        <v>27</v>
      </c>
      <c r="F234" t="s">
        <v>614</v>
      </c>
      <c r="G234" s="1">
        <v>45136</v>
      </c>
    </row>
    <row r="235" spans="1:7">
      <c r="A235" t="s">
        <v>615</v>
      </c>
      <c r="B235">
        <v>76</v>
      </c>
      <c r="C235" t="s">
        <v>616</v>
      </c>
      <c r="D235">
        <v>135924</v>
      </c>
      <c r="E235" t="s">
        <v>27</v>
      </c>
      <c r="F235" t="s">
        <v>617</v>
      </c>
      <c r="G235" s="1">
        <v>45163</v>
      </c>
    </row>
    <row r="236" spans="1:7">
      <c r="A236" t="s">
        <v>618</v>
      </c>
      <c r="B236">
        <v>44</v>
      </c>
      <c r="E236" t="s">
        <v>36</v>
      </c>
      <c r="F236" t="s">
        <v>619</v>
      </c>
      <c r="G236" s="1">
        <v>45120</v>
      </c>
    </row>
    <row r="237" spans="1:7">
      <c r="A237" t="s">
        <v>620</v>
      </c>
      <c r="B237">
        <v>31</v>
      </c>
      <c r="C237" t="s">
        <v>17</v>
      </c>
      <c r="D237">
        <v>64872</v>
      </c>
      <c r="E237" t="s">
        <v>36</v>
      </c>
      <c r="G237" s="1">
        <v>44994</v>
      </c>
    </row>
    <row r="238" spans="1:7">
      <c r="A238" t="s">
        <v>621</v>
      </c>
      <c r="B238">
        <v>78</v>
      </c>
      <c r="C238" t="s">
        <v>622</v>
      </c>
      <c r="D238">
        <v>194439</v>
      </c>
      <c r="E238" t="s">
        <v>36</v>
      </c>
      <c r="F238" t="s">
        <v>623</v>
      </c>
      <c r="G238" s="1">
        <v>45260</v>
      </c>
    </row>
    <row r="239" spans="1:7">
      <c r="A239" t="s">
        <v>624</v>
      </c>
      <c r="B239">
        <v>41</v>
      </c>
      <c r="C239" t="s">
        <v>625</v>
      </c>
      <c r="D239">
        <v>116700</v>
      </c>
      <c r="E239" t="s">
        <v>36</v>
      </c>
      <c r="F239" t="s">
        <v>626</v>
      </c>
      <c r="G239" s="1">
        <v>45182</v>
      </c>
    </row>
    <row r="240" spans="1:7">
      <c r="A240" t="s">
        <v>627</v>
      </c>
      <c r="B240">
        <v>46</v>
      </c>
      <c r="C240" t="s">
        <v>628</v>
      </c>
      <c r="D240">
        <v>146944</v>
      </c>
      <c r="E240" t="s">
        <v>36</v>
      </c>
      <c r="F240" t="s">
        <v>629</v>
      </c>
      <c r="G240" s="1">
        <v>45171</v>
      </c>
    </row>
    <row r="241" spans="1:7">
      <c r="A241" t="s">
        <v>630</v>
      </c>
      <c r="B241">
        <v>26</v>
      </c>
      <c r="C241" t="s">
        <v>631</v>
      </c>
      <c r="D241">
        <v>100204</v>
      </c>
      <c r="E241" t="s">
        <v>27</v>
      </c>
      <c r="F241" t="s">
        <v>632</v>
      </c>
      <c r="G241" s="1">
        <v>44955</v>
      </c>
    </row>
    <row r="242" spans="1:7">
      <c r="A242" t="s">
        <v>633</v>
      </c>
      <c r="B242">
        <v>23</v>
      </c>
      <c r="C242" t="s">
        <v>445</v>
      </c>
      <c r="D242">
        <v>62954</v>
      </c>
      <c r="E242" t="s">
        <v>27</v>
      </c>
      <c r="F242" t="s">
        <v>634</v>
      </c>
      <c r="G242" s="1">
        <v>45052</v>
      </c>
    </row>
    <row r="243" spans="1:7">
      <c r="A243" t="s">
        <v>635</v>
      </c>
      <c r="B243">
        <v>79</v>
      </c>
      <c r="C243" t="s">
        <v>636</v>
      </c>
      <c r="D243">
        <v>80733</v>
      </c>
      <c r="E243" t="s">
        <v>12</v>
      </c>
      <c r="F243">
        <v>8441627106</v>
      </c>
      <c r="G243" s="1">
        <v>45084</v>
      </c>
    </row>
    <row r="244" spans="1:7">
      <c r="A244" t="s">
        <v>637</v>
      </c>
      <c r="B244">
        <v>73</v>
      </c>
      <c r="C244" t="s">
        <v>61</v>
      </c>
      <c r="D244">
        <v>136337</v>
      </c>
      <c r="E244" t="s">
        <v>12</v>
      </c>
      <c r="F244">
        <v>4647375561</v>
      </c>
      <c r="G244" s="1">
        <v>45232</v>
      </c>
    </row>
    <row r="245" spans="1:7">
      <c r="A245" t="s">
        <v>638</v>
      </c>
      <c r="B245">
        <v>32</v>
      </c>
      <c r="C245" t="s">
        <v>639</v>
      </c>
      <c r="E245" t="s">
        <v>36</v>
      </c>
      <c r="F245" t="s">
        <v>640</v>
      </c>
      <c r="G245" s="1">
        <v>45181</v>
      </c>
    </row>
    <row r="246" spans="1:7">
      <c r="B246">
        <v>61</v>
      </c>
      <c r="C246" t="s">
        <v>641</v>
      </c>
      <c r="D246">
        <v>168439</v>
      </c>
      <c r="E246" t="s">
        <v>294</v>
      </c>
      <c r="F246" t="s">
        <v>642</v>
      </c>
      <c r="G246" s="1">
        <v>45158</v>
      </c>
    </row>
    <row r="247" spans="1:7">
      <c r="A247" t="s">
        <v>643</v>
      </c>
      <c r="B247">
        <v>57</v>
      </c>
      <c r="C247" t="s">
        <v>644</v>
      </c>
      <c r="D247">
        <v>165639</v>
      </c>
      <c r="E247" t="s">
        <v>36</v>
      </c>
      <c r="F247" t="s">
        <v>645</v>
      </c>
      <c r="G247" t="s">
        <v>301</v>
      </c>
    </row>
    <row r="248" spans="1:7">
      <c r="A248" t="s">
        <v>646</v>
      </c>
      <c r="B248">
        <v>60</v>
      </c>
      <c r="C248" t="s">
        <v>169</v>
      </c>
      <c r="D248">
        <v>133579</v>
      </c>
      <c r="E248" t="s">
        <v>18</v>
      </c>
      <c r="F248" t="s">
        <v>647</v>
      </c>
      <c r="G248" s="1">
        <v>44980</v>
      </c>
    </row>
    <row r="249" spans="1:7">
      <c r="A249" t="s">
        <v>648</v>
      </c>
      <c r="B249">
        <v>56</v>
      </c>
      <c r="C249" t="s">
        <v>649</v>
      </c>
      <c r="D249">
        <v>191888</v>
      </c>
      <c r="E249" t="s">
        <v>36</v>
      </c>
      <c r="G249" s="1">
        <v>45121</v>
      </c>
    </row>
    <row r="250" spans="1:7">
      <c r="A250" t="s">
        <v>650</v>
      </c>
      <c r="B250">
        <v>30</v>
      </c>
      <c r="C250" t="s">
        <v>651</v>
      </c>
      <c r="D250">
        <v>32985</v>
      </c>
      <c r="E250" t="s">
        <v>12</v>
      </c>
      <c r="F250" t="s">
        <v>652</v>
      </c>
      <c r="G250" s="1">
        <v>44980</v>
      </c>
    </row>
    <row r="251" spans="1:7">
      <c r="A251" t="s">
        <v>653</v>
      </c>
      <c r="B251">
        <v>28</v>
      </c>
      <c r="C251" t="s">
        <v>654</v>
      </c>
      <c r="D251">
        <v>65063</v>
      </c>
      <c r="E251" t="s">
        <v>9</v>
      </c>
      <c r="F251" t="s">
        <v>655</v>
      </c>
      <c r="G251" s="1">
        <v>45110</v>
      </c>
    </row>
    <row r="252" spans="1:7">
      <c r="A252" t="s">
        <v>656</v>
      </c>
      <c r="B252">
        <v>69</v>
      </c>
      <c r="D252">
        <v>121555</v>
      </c>
      <c r="E252" t="s">
        <v>527</v>
      </c>
      <c r="F252">
        <f>1-717-713-2640</f>
        <v>-4069</v>
      </c>
      <c r="G252" s="1">
        <v>45072</v>
      </c>
    </row>
    <row r="253" spans="1:7">
      <c r="A253" t="s">
        <v>657</v>
      </c>
      <c r="B253">
        <v>0</v>
      </c>
      <c r="E253" t="s">
        <v>27</v>
      </c>
      <c r="F253">
        <f>1-129-684-8382</f>
        <v>-9194</v>
      </c>
      <c r="G253" s="1">
        <v>45144</v>
      </c>
    </row>
    <row r="254" spans="1:7">
      <c r="A254" t="s">
        <v>658</v>
      </c>
      <c r="B254">
        <v>34</v>
      </c>
      <c r="C254" t="s">
        <v>659</v>
      </c>
      <c r="D254">
        <v>115216</v>
      </c>
      <c r="E254" t="s">
        <v>27</v>
      </c>
      <c r="F254" t="s">
        <v>660</v>
      </c>
      <c r="G254" s="1">
        <v>45151</v>
      </c>
    </row>
    <row r="255" spans="1:7">
      <c r="A255" t="s">
        <v>661</v>
      </c>
      <c r="B255">
        <v>71</v>
      </c>
      <c r="D255">
        <v>196132</v>
      </c>
      <c r="E255" t="s">
        <v>9</v>
      </c>
      <c r="F255" t="s">
        <v>662</v>
      </c>
      <c r="G255" s="1">
        <v>44945</v>
      </c>
    </row>
    <row r="256" spans="1:7">
      <c r="A256" t="s">
        <v>663</v>
      </c>
      <c r="B256">
        <v>48</v>
      </c>
      <c r="C256" t="s">
        <v>518</v>
      </c>
      <c r="D256">
        <v>188901</v>
      </c>
      <c r="E256" t="s">
        <v>36</v>
      </c>
      <c r="F256">
        <f>1-956-638-2174</f>
        <v>-3767</v>
      </c>
      <c r="G256" s="1">
        <v>45159</v>
      </c>
    </row>
    <row r="257" spans="1:7">
      <c r="A257" t="s">
        <v>664</v>
      </c>
      <c r="B257">
        <v>35</v>
      </c>
      <c r="C257" t="s">
        <v>665</v>
      </c>
      <c r="D257">
        <v>75913</v>
      </c>
      <c r="E257" t="s">
        <v>36</v>
      </c>
      <c r="F257">
        <f>1-884-898-6341</f>
        <v>-8122</v>
      </c>
      <c r="G257" s="1">
        <v>44983</v>
      </c>
    </row>
    <row r="258" spans="1:7">
      <c r="A258" t="s">
        <v>666</v>
      </c>
      <c r="B258">
        <v>300</v>
      </c>
      <c r="D258">
        <v>43652</v>
      </c>
      <c r="E258" t="s">
        <v>12</v>
      </c>
      <c r="F258" t="s">
        <v>667</v>
      </c>
      <c r="G258" s="1">
        <v>44939</v>
      </c>
    </row>
    <row r="259" spans="1:7">
      <c r="A259" t="s">
        <v>668</v>
      </c>
      <c r="B259">
        <v>68</v>
      </c>
      <c r="C259" t="s">
        <v>669</v>
      </c>
      <c r="D259">
        <v>111171</v>
      </c>
      <c r="E259" t="s">
        <v>27</v>
      </c>
      <c r="F259" t="s">
        <v>670</v>
      </c>
      <c r="G259" s="1">
        <v>45247</v>
      </c>
    </row>
    <row r="260" spans="1:7">
      <c r="A260" t="s">
        <v>671</v>
      </c>
      <c r="C260" t="s">
        <v>672</v>
      </c>
      <c r="D260">
        <v>123144</v>
      </c>
      <c r="E260" t="s">
        <v>12</v>
      </c>
      <c r="F260" t="s">
        <v>673</v>
      </c>
      <c r="G260" s="1">
        <v>45183</v>
      </c>
    </row>
    <row r="261" spans="1:7">
      <c r="A261" t="s">
        <v>674</v>
      </c>
      <c r="B261">
        <v>54</v>
      </c>
      <c r="C261" t="s">
        <v>17</v>
      </c>
      <c r="D261">
        <v>157251</v>
      </c>
      <c r="E261" t="s">
        <v>12</v>
      </c>
      <c r="F261" t="s">
        <v>675</v>
      </c>
      <c r="G261" s="1">
        <v>45070</v>
      </c>
    </row>
    <row r="262" spans="1:7">
      <c r="A262" t="s">
        <v>676</v>
      </c>
      <c r="B262">
        <v>-10</v>
      </c>
      <c r="C262" t="s">
        <v>677</v>
      </c>
      <c r="D262">
        <v>95982</v>
      </c>
      <c r="E262" t="s">
        <v>527</v>
      </c>
      <c r="F262" t="s">
        <v>678</v>
      </c>
      <c r="G262" s="1">
        <v>45016</v>
      </c>
    </row>
    <row r="263" spans="1:7">
      <c r="A263" t="s">
        <v>679</v>
      </c>
      <c r="B263">
        <v>67</v>
      </c>
      <c r="C263" t="s">
        <v>389</v>
      </c>
      <c r="D263">
        <v>130625</v>
      </c>
      <c r="E263" t="s">
        <v>9</v>
      </c>
      <c r="F263" t="s">
        <v>680</v>
      </c>
      <c r="G263" s="1">
        <v>45267</v>
      </c>
    </row>
    <row r="264" spans="1:7">
      <c r="A264" t="s">
        <v>681</v>
      </c>
      <c r="B264">
        <v>77</v>
      </c>
      <c r="C264" t="s">
        <v>682</v>
      </c>
      <c r="D264">
        <v>57197</v>
      </c>
      <c r="E264" t="s">
        <v>27</v>
      </c>
      <c r="F264" t="s">
        <v>683</v>
      </c>
      <c r="G264" s="1">
        <v>44941</v>
      </c>
    </row>
    <row r="265" spans="1:7">
      <c r="A265" t="s">
        <v>684</v>
      </c>
      <c r="B265">
        <v>77</v>
      </c>
      <c r="C265" t="s">
        <v>685</v>
      </c>
      <c r="D265">
        <v>159263</v>
      </c>
      <c r="E265" t="s">
        <v>36</v>
      </c>
      <c r="F265" t="s">
        <v>686</v>
      </c>
      <c r="G265" s="1">
        <v>45137</v>
      </c>
    </row>
    <row r="266" spans="1:7">
      <c r="A266" t="s">
        <v>687</v>
      </c>
      <c r="B266">
        <v>-100</v>
      </c>
      <c r="C266" t="s">
        <v>688</v>
      </c>
      <c r="D266">
        <v>95185</v>
      </c>
      <c r="E266" t="s">
        <v>12</v>
      </c>
      <c r="G266" s="1">
        <v>45248</v>
      </c>
    </row>
    <row r="267" spans="1:7">
      <c r="A267" t="s">
        <v>689</v>
      </c>
      <c r="B267">
        <v>19</v>
      </c>
      <c r="C267" t="s">
        <v>690</v>
      </c>
      <c r="D267">
        <v>116346</v>
      </c>
      <c r="E267" t="s">
        <v>27</v>
      </c>
      <c r="F267" t="s">
        <v>691</v>
      </c>
      <c r="G267" s="1">
        <v>44942</v>
      </c>
    </row>
    <row r="268" spans="1:7">
      <c r="A268" t="s">
        <v>692</v>
      </c>
      <c r="B268">
        <v>67</v>
      </c>
      <c r="D268">
        <v>30174</v>
      </c>
      <c r="E268" t="s">
        <v>9</v>
      </c>
      <c r="F268" t="s">
        <v>693</v>
      </c>
      <c r="G268" s="1">
        <v>45074</v>
      </c>
    </row>
    <row r="269" spans="1:7">
      <c r="A269" t="s">
        <v>694</v>
      </c>
      <c r="B269">
        <v>57</v>
      </c>
      <c r="C269" t="s">
        <v>695</v>
      </c>
      <c r="D269">
        <v>134428</v>
      </c>
      <c r="E269" t="s">
        <v>36</v>
      </c>
      <c r="F269" t="s">
        <v>696</v>
      </c>
      <c r="G269" s="1">
        <v>45275</v>
      </c>
    </row>
    <row r="270" spans="1:7">
      <c r="A270" t="s">
        <v>697</v>
      </c>
      <c r="B270">
        <v>26</v>
      </c>
      <c r="C270" t="s">
        <v>698</v>
      </c>
      <c r="D270">
        <v>182297</v>
      </c>
      <c r="E270" t="s">
        <v>9</v>
      </c>
      <c r="F270">
        <v>3833339397</v>
      </c>
      <c r="G270" s="1">
        <v>44927</v>
      </c>
    </row>
    <row r="271" spans="1:7">
      <c r="A271" t="s">
        <v>699</v>
      </c>
      <c r="B271">
        <v>36</v>
      </c>
      <c r="C271" t="s">
        <v>700</v>
      </c>
      <c r="D271">
        <v>38947</v>
      </c>
      <c r="E271" t="s">
        <v>9</v>
      </c>
      <c r="F271" t="s">
        <v>701</v>
      </c>
      <c r="G271" s="1">
        <v>45045</v>
      </c>
    </row>
    <row r="272" spans="1:7">
      <c r="A272" t="s">
        <v>702</v>
      </c>
      <c r="B272">
        <v>40</v>
      </c>
      <c r="C272" t="s">
        <v>703</v>
      </c>
      <c r="D272">
        <v>161949</v>
      </c>
      <c r="E272" t="s">
        <v>36</v>
      </c>
      <c r="F272" t="s">
        <v>704</v>
      </c>
      <c r="G272" s="1">
        <v>45195</v>
      </c>
    </row>
    <row r="273" spans="1:7">
      <c r="A273" t="s">
        <v>705</v>
      </c>
      <c r="B273">
        <v>36</v>
      </c>
      <c r="C273" t="s">
        <v>706</v>
      </c>
      <c r="D273">
        <v>52931</v>
      </c>
      <c r="E273" t="s">
        <v>9</v>
      </c>
      <c r="F273" t="s">
        <v>707</v>
      </c>
      <c r="G273" s="1">
        <v>45196</v>
      </c>
    </row>
    <row r="274" spans="1:7">
      <c r="B274">
        <v>43</v>
      </c>
      <c r="C274" t="s">
        <v>708</v>
      </c>
      <c r="D274">
        <v>184648</v>
      </c>
      <c r="E274" t="s">
        <v>36</v>
      </c>
      <c r="F274" t="s">
        <v>709</v>
      </c>
      <c r="G274" s="1">
        <v>45287</v>
      </c>
    </row>
    <row r="275" spans="1:7">
      <c r="A275" t="s">
        <v>710</v>
      </c>
      <c r="B275">
        <v>41</v>
      </c>
      <c r="C275" t="s">
        <v>711</v>
      </c>
      <c r="D275">
        <v>132511</v>
      </c>
      <c r="E275" t="s">
        <v>27</v>
      </c>
      <c r="F275" t="s">
        <v>712</v>
      </c>
      <c r="G275" s="1">
        <v>45121</v>
      </c>
    </row>
    <row r="276" spans="1:7">
      <c r="A276" t="s">
        <v>713</v>
      </c>
      <c r="B276">
        <v>46</v>
      </c>
      <c r="C276" t="s">
        <v>714</v>
      </c>
      <c r="D276">
        <v>174403</v>
      </c>
      <c r="E276" t="s">
        <v>9</v>
      </c>
      <c r="F276">
        <f>1-430-729-7088</f>
        <v>-8246</v>
      </c>
      <c r="G276" t="s">
        <v>715</v>
      </c>
    </row>
    <row r="277" spans="1:7">
      <c r="A277" t="s">
        <v>716</v>
      </c>
      <c r="B277">
        <v>63</v>
      </c>
      <c r="D277">
        <v>106407</v>
      </c>
      <c r="E277" t="s">
        <v>358</v>
      </c>
      <c r="F277">
        <f>1-115-476-4189</f>
        <v>-4779</v>
      </c>
      <c r="G277" s="1">
        <v>45065</v>
      </c>
    </row>
    <row r="278" spans="1:7">
      <c r="A278" t="s">
        <v>717</v>
      </c>
      <c r="B278">
        <v>77</v>
      </c>
      <c r="C278" t="s">
        <v>170</v>
      </c>
      <c r="D278">
        <v>109553</v>
      </c>
      <c r="E278" t="s">
        <v>27</v>
      </c>
      <c r="F278" t="s">
        <v>718</v>
      </c>
      <c r="G278" s="1">
        <v>45262</v>
      </c>
    </row>
    <row r="279" spans="1:7">
      <c r="A279" t="s">
        <v>719</v>
      </c>
      <c r="B279">
        <v>300</v>
      </c>
      <c r="C279" t="s">
        <v>720</v>
      </c>
      <c r="D279">
        <v>130814</v>
      </c>
      <c r="E279" t="s">
        <v>36</v>
      </c>
      <c r="F279" t="s">
        <v>721</v>
      </c>
      <c r="G279" s="1">
        <v>45139</v>
      </c>
    </row>
    <row r="280" spans="1:7">
      <c r="A280" t="s">
        <v>722</v>
      </c>
      <c r="B280">
        <v>0</v>
      </c>
      <c r="C280" t="s">
        <v>723</v>
      </c>
      <c r="D280">
        <v>101894</v>
      </c>
      <c r="E280" t="s">
        <v>49</v>
      </c>
      <c r="G280" s="1">
        <v>44927</v>
      </c>
    </row>
    <row r="281" spans="1:7">
      <c r="A281" t="s">
        <v>724</v>
      </c>
      <c r="B281">
        <v>21</v>
      </c>
      <c r="C281" t="s">
        <v>725</v>
      </c>
      <c r="D281">
        <v>157314</v>
      </c>
      <c r="E281" t="s">
        <v>27</v>
      </c>
      <c r="F281" t="s">
        <v>726</v>
      </c>
      <c r="G281" s="1">
        <v>44965</v>
      </c>
    </row>
    <row r="282" spans="1:7">
      <c r="A282" t="s">
        <v>727</v>
      </c>
      <c r="B282">
        <v>59</v>
      </c>
      <c r="C282" t="s">
        <v>728</v>
      </c>
      <c r="D282">
        <v>-10000</v>
      </c>
      <c r="E282" t="s">
        <v>36</v>
      </c>
      <c r="F282" t="s">
        <v>729</v>
      </c>
      <c r="G282" t="s">
        <v>81</v>
      </c>
    </row>
    <row r="283" spans="1:7">
      <c r="A283" t="s">
        <v>730</v>
      </c>
      <c r="B283">
        <v>19</v>
      </c>
      <c r="C283" t="s">
        <v>731</v>
      </c>
      <c r="D283">
        <v>131164</v>
      </c>
      <c r="E283" t="s">
        <v>27</v>
      </c>
      <c r="F283" t="s">
        <v>732</v>
      </c>
      <c r="G283" s="1">
        <v>45169</v>
      </c>
    </row>
    <row r="284" spans="1:7">
      <c r="A284" t="s">
        <v>733</v>
      </c>
      <c r="B284">
        <v>33</v>
      </c>
      <c r="C284" t="s">
        <v>734</v>
      </c>
      <c r="D284">
        <v>117236</v>
      </c>
      <c r="E284" t="s">
        <v>27</v>
      </c>
      <c r="F284" t="s">
        <v>735</v>
      </c>
      <c r="G284" s="1">
        <v>45043</v>
      </c>
    </row>
    <row r="285" spans="1:7">
      <c r="A285" t="s">
        <v>736</v>
      </c>
      <c r="B285">
        <v>77</v>
      </c>
      <c r="D285">
        <v>38446</v>
      </c>
      <c r="E285" t="s">
        <v>27</v>
      </c>
      <c r="F285" t="s">
        <v>737</v>
      </c>
      <c r="G285" s="1">
        <v>45283</v>
      </c>
    </row>
    <row r="286" spans="1:7">
      <c r="A286" t="s">
        <v>738</v>
      </c>
      <c r="B286">
        <v>28</v>
      </c>
      <c r="C286" t="s">
        <v>739</v>
      </c>
      <c r="D286">
        <v>137507</v>
      </c>
      <c r="E286" t="s">
        <v>9</v>
      </c>
      <c r="F286" t="s">
        <v>740</v>
      </c>
      <c r="G286" s="1">
        <v>44951</v>
      </c>
    </row>
    <row r="287" spans="1:7">
      <c r="A287" t="s">
        <v>741</v>
      </c>
      <c r="B287">
        <v>26</v>
      </c>
      <c r="C287" t="s">
        <v>742</v>
      </c>
      <c r="D287">
        <v>63461</v>
      </c>
      <c r="E287" t="s">
        <v>12</v>
      </c>
      <c r="F287">
        <v>2595749987</v>
      </c>
      <c r="G287" s="1">
        <v>45027</v>
      </c>
    </row>
    <row r="288" spans="1:7">
      <c r="A288" t="s">
        <v>743</v>
      </c>
      <c r="B288">
        <v>27</v>
      </c>
      <c r="C288" t="s">
        <v>744</v>
      </c>
      <c r="E288" t="s">
        <v>12</v>
      </c>
      <c r="F288" t="s">
        <v>745</v>
      </c>
      <c r="G288" s="1">
        <v>44966</v>
      </c>
    </row>
    <row r="289" spans="1:7">
      <c r="A289" t="s">
        <v>746</v>
      </c>
      <c r="B289">
        <v>79</v>
      </c>
      <c r="C289" t="s">
        <v>115</v>
      </c>
      <c r="D289">
        <v>0</v>
      </c>
      <c r="E289" t="s">
        <v>36</v>
      </c>
      <c r="F289" t="s">
        <v>747</v>
      </c>
      <c r="G289" s="1">
        <v>44927</v>
      </c>
    </row>
    <row r="290" spans="1:7">
      <c r="A290" t="s">
        <v>748</v>
      </c>
      <c r="B290">
        <v>68</v>
      </c>
      <c r="C290" t="s">
        <v>594</v>
      </c>
      <c r="D290">
        <v>133754</v>
      </c>
      <c r="E290" t="s">
        <v>36</v>
      </c>
      <c r="F290">
        <f>1-593-807-6428</f>
        <v>-7827</v>
      </c>
      <c r="G290" s="1">
        <v>45017</v>
      </c>
    </row>
    <row r="291" spans="1:7">
      <c r="A291" t="s">
        <v>749</v>
      </c>
      <c r="B291">
        <v>36</v>
      </c>
      <c r="C291" t="s">
        <v>170</v>
      </c>
      <c r="D291">
        <v>82709</v>
      </c>
      <c r="E291" t="s">
        <v>12</v>
      </c>
      <c r="F291" t="s">
        <v>750</v>
      </c>
      <c r="G291" s="1">
        <v>45041</v>
      </c>
    </row>
    <row r="292" spans="1:7">
      <c r="A292" t="s">
        <v>751</v>
      </c>
      <c r="B292">
        <v>70</v>
      </c>
      <c r="C292" t="s">
        <v>752</v>
      </c>
      <c r="D292">
        <v>112409</v>
      </c>
      <c r="E292" t="s">
        <v>27</v>
      </c>
      <c r="F292">
        <f>1-339-458-5902</f>
        <v>-6698</v>
      </c>
      <c r="G292" s="1">
        <v>44989</v>
      </c>
    </row>
    <row r="293" spans="1:7">
      <c r="A293" t="s">
        <v>753</v>
      </c>
      <c r="B293">
        <v>150</v>
      </c>
      <c r="C293" t="s">
        <v>754</v>
      </c>
      <c r="D293">
        <v>199578</v>
      </c>
      <c r="E293" t="s">
        <v>12</v>
      </c>
      <c r="F293" t="s">
        <v>755</v>
      </c>
      <c r="G293" s="1">
        <v>45070</v>
      </c>
    </row>
    <row r="294" spans="1:7">
      <c r="A294" t="s">
        <v>756</v>
      </c>
      <c r="B294">
        <v>77</v>
      </c>
      <c r="C294" t="s">
        <v>757</v>
      </c>
      <c r="D294">
        <v>115914</v>
      </c>
      <c r="E294" t="s">
        <v>27</v>
      </c>
      <c r="F294" t="s">
        <v>758</v>
      </c>
      <c r="G294" s="1">
        <v>45119</v>
      </c>
    </row>
    <row r="295" spans="1:7">
      <c r="A295" t="s">
        <v>759</v>
      </c>
      <c r="B295">
        <v>19</v>
      </c>
      <c r="C295" t="s">
        <v>760</v>
      </c>
      <c r="D295">
        <v>118059</v>
      </c>
      <c r="E295" t="s">
        <v>12</v>
      </c>
      <c r="F295" t="s">
        <v>761</v>
      </c>
      <c r="G295" s="1">
        <v>45138</v>
      </c>
    </row>
    <row r="296" spans="1:7">
      <c r="A296" t="s">
        <v>762</v>
      </c>
      <c r="B296">
        <v>65</v>
      </c>
      <c r="C296" t="s">
        <v>763</v>
      </c>
      <c r="D296">
        <v>181341</v>
      </c>
      <c r="E296" t="s">
        <v>36</v>
      </c>
      <c r="F296" t="s">
        <v>764</v>
      </c>
      <c r="G296" s="1">
        <v>45065</v>
      </c>
    </row>
    <row r="297" spans="1:7">
      <c r="A297" t="s">
        <v>765</v>
      </c>
      <c r="B297">
        <v>28</v>
      </c>
      <c r="C297" t="s">
        <v>766</v>
      </c>
      <c r="D297">
        <v>94140</v>
      </c>
      <c r="E297" t="s">
        <v>12</v>
      </c>
      <c r="F297" t="s">
        <v>767</v>
      </c>
      <c r="G297" s="1">
        <v>45126</v>
      </c>
    </row>
    <row r="298" spans="1:7">
      <c r="B298">
        <v>300</v>
      </c>
      <c r="C298" t="s">
        <v>768</v>
      </c>
      <c r="D298">
        <v>85390</v>
      </c>
      <c r="E298" t="s">
        <v>12</v>
      </c>
      <c r="F298" t="s">
        <v>769</v>
      </c>
      <c r="G298" s="1">
        <v>45246</v>
      </c>
    </row>
    <row r="299" spans="1:7">
      <c r="A299" t="s">
        <v>770</v>
      </c>
      <c r="B299">
        <v>66</v>
      </c>
      <c r="C299" t="s">
        <v>771</v>
      </c>
      <c r="D299">
        <v>151684</v>
      </c>
      <c r="E299" t="s">
        <v>27</v>
      </c>
      <c r="F299" t="s">
        <v>772</v>
      </c>
      <c r="G299" s="1">
        <v>45259</v>
      </c>
    </row>
    <row r="300" spans="1:7">
      <c r="A300" t="s">
        <v>773</v>
      </c>
      <c r="B300">
        <v>65</v>
      </c>
      <c r="C300" t="s">
        <v>774</v>
      </c>
      <c r="D300">
        <v>146026</v>
      </c>
      <c r="E300" t="s">
        <v>12</v>
      </c>
      <c r="F300">
        <v>7006388717</v>
      </c>
      <c r="G300" s="1">
        <v>45039</v>
      </c>
    </row>
    <row r="301" spans="1:7">
      <c r="A301" t="s">
        <v>775</v>
      </c>
      <c r="B301">
        <v>55</v>
      </c>
      <c r="C301" t="s">
        <v>776</v>
      </c>
      <c r="D301">
        <v>111932</v>
      </c>
      <c r="E301" t="s">
        <v>9</v>
      </c>
      <c r="F301" t="s">
        <v>777</v>
      </c>
      <c r="G301" s="1">
        <v>45098</v>
      </c>
    </row>
    <row r="302" spans="1:7">
      <c r="A302" t="s">
        <v>778</v>
      </c>
      <c r="B302">
        <v>22</v>
      </c>
      <c r="C302" t="s">
        <v>170</v>
      </c>
      <c r="D302">
        <v>60771</v>
      </c>
      <c r="E302" t="s">
        <v>294</v>
      </c>
      <c r="F302">
        <f>1-885-512-5173</f>
        <v>-6569</v>
      </c>
      <c r="G302" s="1">
        <v>45174</v>
      </c>
    </row>
    <row r="303" spans="1:7">
      <c r="A303" t="s">
        <v>779</v>
      </c>
      <c r="B303">
        <v>63</v>
      </c>
      <c r="C303" t="s">
        <v>780</v>
      </c>
      <c r="D303">
        <v>111187</v>
      </c>
      <c r="E303" t="s">
        <v>9</v>
      </c>
      <c r="F303">
        <v>7019239448</v>
      </c>
      <c r="G303" s="1">
        <v>44943</v>
      </c>
    </row>
    <row r="304" spans="1:7">
      <c r="A304" t="s">
        <v>781</v>
      </c>
      <c r="B304">
        <v>31</v>
      </c>
      <c r="C304" t="s">
        <v>782</v>
      </c>
      <c r="E304" t="s">
        <v>9</v>
      </c>
      <c r="F304" t="s">
        <v>783</v>
      </c>
      <c r="G304" s="1">
        <v>45087</v>
      </c>
    </row>
    <row r="305" spans="1:7">
      <c r="A305" t="s">
        <v>784</v>
      </c>
      <c r="B305">
        <v>76</v>
      </c>
      <c r="C305" t="s">
        <v>785</v>
      </c>
      <c r="D305">
        <v>41618</v>
      </c>
      <c r="E305" t="s">
        <v>9</v>
      </c>
      <c r="F305" t="s">
        <v>786</v>
      </c>
      <c r="G305" s="1">
        <v>44951</v>
      </c>
    </row>
    <row r="306" spans="1:7">
      <c r="A306" t="s">
        <v>787</v>
      </c>
      <c r="B306">
        <v>34</v>
      </c>
      <c r="C306" t="s">
        <v>788</v>
      </c>
      <c r="D306">
        <v>105910</v>
      </c>
      <c r="E306" t="s">
        <v>12</v>
      </c>
      <c r="F306" t="s">
        <v>789</v>
      </c>
      <c r="G306" s="1">
        <v>45193</v>
      </c>
    </row>
    <row r="307" spans="1:7">
      <c r="A307" t="s">
        <v>790</v>
      </c>
      <c r="B307">
        <v>46</v>
      </c>
      <c r="C307" t="s">
        <v>791</v>
      </c>
      <c r="D307">
        <v>99590</v>
      </c>
      <c r="E307" t="s">
        <v>9</v>
      </c>
      <c r="G307" s="1">
        <v>45204</v>
      </c>
    </row>
    <row r="308" spans="1:7">
      <c r="A308" t="s">
        <v>792</v>
      </c>
      <c r="B308">
        <v>-50</v>
      </c>
      <c r="C308" t="s">
        <v>793</v>
      </c>
      <c r="D308">
        <v>105277</v>
      </c>
      <c r="E308" t="s">
        <v>36</v>
      </c>
      <c r="F308">
        <f>1-420-546-3703</f>
        <v>-4668</v>
      </c>
      <c r="G308" s="1">
        <v>45237</v>
      </c>
    </row>
    <row r="309" spans="1:7">
      <c r="A309" t="s">
        <v>794</v>
      </c>
      <c r="B309">
        <v>64</v>
      </c>
      <c r="C309" t="s">
        <v>795</v>
      </c>
      <c r="D309">
        <v>108218</v>
      </c>
      <c r="E309" t="s">
        <v>12</v>
      </c>
      <c r="F309" t="s">
        <v>796</v>
      </c>
      <c r="G309" s="1">
        <v>45013</v>
      </c>
    </row>
    <row r="310" spans="1:7">
      <c r="A310" t="s">
        <v>797</v>
      </c>
      <c r="B310">
        <v>36</v>
      </c>
      <c r="C310" t="s">
        <v>798</v>
      </c>
      <c r="D310">
        <v>106981</v>
      </c>
      <c r="E310" t="s">
        <v>9</v>
      </c>
      <c r="F310">
        <v>9518221601</v>
      </c>
      <c r="G310" s="1">
        <v>45247</v>
      </c>
    </row>
    <row r="311" spans="1:7">
      <c r="A311" t="s">
        <v>799</v>
      </c>
      <c r="B311">
        <v>-5</v>
      </c>
      <c r="D311">
        <v>0</v>
      </c>
      <c r="E311" t="s">
        <v>527</v>
      </c>
      <c r="F311">
        <f>1-924-354-7485</f>
        <v>-8762</v>
      </c>
      <c r="G311" s="1">
        <v>45248</v>
      </c>
    </row>
    <row r="312" spans="1:7">
      <c r="A312" t="s">
        <v>800</v>
      </c>
      <c r="B312">
        <v>63</v>
      </c>
      <c r="C312" t="s">
        <v>801</v>
      </c>
      <c r="D312">
        <v>181542</v>
      </c>
      <c r="F312" t="s">
        <v>802</v>
      </c>
      <c r="G312" s="1">
        <v>45109</v>
      </c>
    </row>
    <row r="313" spans="1:7">
      <c r="A313" t="s">
        <v>803</v>
      </c>
      <c r="B313">
        <v>-25</v>
      </c>
      <c r="C313" t="s">
        <v>804</v>
      </c>
      <c r="D313">
        <v>169088</v>
      </c>
      <c r="E313" t="s">
        <v>12</v>
      </c>
      <c r="F313" t="s">
        <v>805</v>
      </c>
      <c r="G313" s="1">
        <v>45077</v>
      </c>
    </row>
    <row r="314" spans="1:7">
      <c r="A314" t="s">
        <v>806</v>
      </c>
      <c r="B314">
        <v>39</v>
      </c>
      <c r="C314" t="s">
        <v>807</v>
      </c>
      <c r="D314">
        <v>148570</v>
      </c>
      <c r="E314" t="s">
        <v>12</v>
      </c>
      <c r="F314" t="s">
        <v>808</v>
      </c>
      <c r="G314" s="1">
        <v>45051</v>
      </c>
    </row>
    <row r="315" spans="1:7">
      <c r="A315" t="s">
        <v>809</v>
      </c>
      <c r="B315">
        <v>65</v>
      </c>
      <c r="C315" t="s">
        <v>810</v>
      </c>
      <c r="D315">
        <v>142752</v>
      </c>
      <c r="E315" t="s">
        <v>9</v>
      </c>
      <c r="F315" t="s">
        <v>811</v>
      </c>
      <c r="G315" s="1">
        <v>45199</v>
      </c>
    </row>
    <row r="316" spans="1:7">
      <c r="A316" t="s">
        <v>812</v>
      </c>
      <c r="B316">
        <v>23</v>
      </c>
      <c r="C316" t="s">
        <v>813</v>
      </c>
      <c r="D316">
        <v>193244</v>
      </c>
      <c r="E316" t="s">
        <v>12</v>
      </c>
      <c r="F316" t="s">
        <v>814</v>
      </c>
      <c r="G316" s="1">
        <v>45027</v>
      </c>
    </row>
    <row r="317" spans="1:7">
      <c r="A317" t="s">
        <v>815</v>
      </c>
      <c r="B317">
        <v>33</v>
      </c>
      <c r="C317" t="s">
        <v>816</v>
      </c>
      <c r="D317">
        <v>180946</v>
      </c>
      <c r="E317" t="s">
        <v>12</v>
      </c>
      <c r="F317" t="s">
        <v>817</v>
      </c>
      <c r="G317" s="1">
        <v>45235</v>
      </c>
    </row>
    <row r="318" spans="1:7">
      <c r="A318" t="s">
        <v>818</v>
      </c>
      <c r="B318">
        <v>63</v>
      </c>
      <c r="C318" t="s">
        <v>445</v>
      </c>
      <c r="D318">
        <v>110664</v>
      </c>
      <c r="E318" t="s">
        <v>358</v>
      </c>
      <c r="F318" t="s">
        <v>819</v>
      </c>
      <c r="G318" s="1">
        <v>45027</v>
      </c>
    </row>
    <row r="319" spans="1:7">
      <c r="A319" t="s">
        <v>820</v>
      </c>
      <c r="B319">
        <v>52</v>
      </c>
      <c r="C319" t="s">
        <v>821</v>
      </c>
      <c r="D319">
        <v>51323</v>
      </c>
      <c r="E319" t="s">
        <v>27</v>
      </c>
      <c r="G319" s="1">
        <v>45238</v>
      </c>
    </row>
    <row r="320" spans="1:7">
      <c r="A320" t="s">
        <v>822</v>
      </c>
      <c r="B320">
        <v>22</v>
      </c>
      <c r="C320" t="s">
        <v>823</v>
      </c>
      <c r="D320">
        <v>69850</v>
      </c>
      <c r="E320" t="s">
        <v>12</v>
      </c>
      <c r="F320">
        <v>4266466941</v>
      </c>
      <c r="G320" s="1">
        <v>44998</v>
      </c>
    </row>
    <row r="321" spans="1:7">
      <c r="A321" t="s">
        <v>824</v>
      </c>
      <c r="B321">
        <v>71</v>
      </c>
      <c r="C321" t="s">
        <v>825</v>
      </c>
      <c r="D321">
        <v>179865</v>
      </c>
      <c r="E321" t="s">
        <v>9</v>
      </c>
      <c r="F321" t="s">
        <v>826</v>
      </c>
      <c r="G321" t="s">
        <v>422</v>
      </c>
    </row>
    <row r="322" spans="1:7">
      <c r="A322" t="s">
        <v>827</v>
      </c>
      <c r="B322">
        <v>43</v>
      </c>
      <c r="C322" t="s">
        <v>115</v>
      </c>
      <c r="D322">
        <v>119037</v>
      </c>
      <c r="E322" t="s">
        <v>27</v>
      </c>
      <c r="F322" t="s">
        <v>828</v>
      </c>
      <c r="G322" s="1">
        <v>44945</v>
      </c>
    </row>
    <row r="323" spans="1:7">
      <c r="A323" t="s">
        <v>829</v>
      </c>
      <c r="B323">
        <v>23</v>
      </c>
      <c r="D323">
        <v>162371</v>
      </c>
      <c r="E323" t="s">
        <v>12</v>
      </c>
      <c r="F323" t="s">
        <v>830</v>
      </c>
      <c r="G323" s="1">
        <v>45045</v>
      </c>
    </row>
    <row r="324" spans="1:7">
      <c r="A324" t="s">
        <v>831</v>
      </c>
      <c r="B324">
        <v>30</v>
      </c>
      <c r="C324" t="s">
        <v>832</v>
      </c>
      <c r="D324">
        <v>35470</v>
      </c>
      <c r="E324" t="s">
        <v>36</v>
      </c>
      <c r="F324" t="s">
        <v>833</v>
      </c>
      <c r="G324" s="1">
        <v>45017</v>
      </c>
    </row>
    <row r="325" spans="1:7">
      <c r="A325" t="s">
        <v>834</v>
      </c>
      <c r="B325">
        <v>65</v>
      </c>
      <c r="C325" t="s">
        <v>835</v>
      </c>
      <c r="D325">
        <v>129864</v>
      </c>
      <c r="E325" t="s">
        <v>294</v>
      </c>
      <c r="F325">
        <v>5486043678</v>
      </c>
      <c r="G325" s="1">
        <v>45224</v>
      </c>
    </row>
    <row r="326" spans="1:7">
      <c r="A326" t="s">
        <v>836</v>
      </c>
      <c r="B326">
        <v>28</v>
      </c>
      <c r="C326" t="s">
        <v>837</v>
      </c>
      <c r="D326">
        <v>139388</v>
      </c>
      <c r="E326" t="s">
        <v>36</v>
      </c>
      <c r="F326">
        <v>3624656441</v>
      </c>
      <c r="G326" s="1">
        <v>45170</v>
      </c>
    </row>
    <row r="327" spans="1:7">
      <c r="A327" t="s">
        <v>838</v>
      </c>
      <c r="B327">
        <v>66</v>
      </c>
      <c r="C327" t="s">
        <v>839</v>
      </c>
      <c r="D327">
        <v>194832</v>
      </c>
      <c r="E327" t="s">
        <v>9</v>
      </c>
      <c r="F327" t="s">
        <v>840</v>
      </c>
      <c r="G327" s="1">
        <v>45195</v>
      </c>
    </row>
    <row r="328" spans="1:7">
      <c r="A328" t="s">
        <v>841</v>
      </c>
      <c r="B328">
        <v>63</v>
      </c>
      <c r="C328" t="s">
        <v>842</v>
      </c>
      <c r="D328">
        <v>62991</v>
      </c>
      <c r="E328" t="s">
        <v>9</v>
      </c>
      <c r="F328" t="s">
        <v>843</v>
      </c>
      <c r="G328" s="1">
        <v>45012</v>
      </c>
    </row>
    <row r="329" spans="1:7">
      <c r="A329" t="s">
        <v>844</v>
      </c>
      <c r="B329">
        <v>71</v>
      </c>
      <c r="C329" t="s">
        <v>845</v>
      </c>
      <c r="D329">
        <v>169707</v>
      </c>
      <c r="E329" t="s">
        <v>12</v>
      </c>
      <c r="F329" t="s">
        <v>846</v>
      </c>
      <c r="G329" s="1">
        <v>45239</v>
      </c>
    </row>
    <row r="330" spans="1:7">
      <c r="A330" t="s">
        <v>847</v>
      </c>
      <c r="B330">
        <v>26</v>
      </c>
      <c r="D330">
        <v>175457</v>
      </c>
      <c r="E330" t="s">
        <v>12</v>
      </c>
      <c r="G330" s="1">
        <v>45039</v>
      </c>
    </row>
    <row r="331" spans="1:7">
      <c r="A331" t="s">
        <v>848</v>
      </c>
      <c r="B331">
        <v>23</v>
      </c>
      <c r="C331" t="s">
        <v>849</v>
      </c>
      <c r="D331">
        <v>175693</v>
      </c>
      <c r="E331" t="s">
        <v>27</v>
      </c>
      <c r="F331" t="s">
        <v>850</v>
      </c>
      <c r="G331" s="1">
        <v>45121</v>
      </c>
    </row>
    <row r="332" spans="1:7">
      <c r="A332" t="s">
        <v>851</v>
      </c>
      <c r="B332">
        <v>44</v>
      </c>
      <c r="C332" t="s">
        <v>852</v>
      </c>
      <c r="D332">
        <v>192026</v>
      </c>
      <c r="E332" t="s">
        <v>27</v>
      </c>
      <c r="F332" t="s">
        <v>853</v>
      </c>
      <c r="G332" s="1">
        <v>45098</v>
      </c>
    </row>
    <row r="333" spans="1:7">
      <c r="A333" t="s">
        <v>854</v>
      </c>
      <c r="B333">
        <v>37</v>
      </c>
      <c r="C333" t="s">
        <v>594</v>
      </c>
      <c r="D333">
        <v>151648</v>
      </c>
      <c r="E333" t="s">
        <v>12</v>
      </c>
      <c r="F333">
        <f>1-304-743-7585</f>
        <v>-8631</v>
      </c>
      <c r="G333" s="1">
        <v>44982</v>
      </c>
    </row>
    <row r="334" spans="1:7">
      <c r="A334" t="s">
        <v>855</v>
      </c>
      <c r="B334">
        <v>48</v>
      </c>
      <c r="C334" t="s">
        <v>856</v>
      </c>
      <c r="D334">
        <v>44031</v>
      </c>
      <c r="E334" t="s">
        <v>12</v>
      </c>
      <c r="F334" t="s">
        <v>857</v>
      </c>
      <c r="G334" s="1">
        <v>45266</v>
      </c>
    </row>
    <row r="335" spans="1:7">
      <c r="A335" t="s">
        <v>858</v>
      </c>
      <c r="B335">
        <v>28</v>
      </c>
      <c r="C335" t="s">
        <v>859</v>
      </c>
      <c r="D335">
        <v>100474</v>
      </c>
      <c r="E335" t="s">
        <v>27</v>
      </c>
      <c r="F335" t="s">
        <v>860</v>
      </c>
      <c r="G335" s="1">
        <v>45114</v>
      </c>
    </row>
    <row r="336" spans="1:7">
      <c r="A336" t="s">
        <v>861</v>
      </c>
      <c r="B336">
        <v>56</v>
      </c>
      <c r="C336" t="s">
        <v>862</v>
      </c>
      <c r="D336">
        <v>42879</v>
      </c>
      <c r="E336" t="s">
        <v>36</v>
      </c>
      <c r="F336" t="s">
        <v>863</v>
      </c>
      <c r="G336" t="s">
        <v>715</v>
      </c>
    </row>
    <row r="337" spans="1:7">
      <c r="A337" t="s">
        <v>864</v>
      </c>
      <c r="B337">
        <v>51</v>
      </c>
      <c r="C337" t="s">
        <v>865</v>
      </c>
      <c r="D337">
        <v>187005</v>
      </c>
      <c r="E337" t="s">
        <v>27</v>
      </c>
      <c r="F337">
        <f>1-242-799-4268</f>
        <v>-5308</v>
      </c>
      <c r="G337" s="1">
        <v>45154</v>
      </c>
    </row>
    <row r="338" spans="1:7">
      <c r="A338" t="s">
        <v>866</v>
      </c>
      <c r="B338">
        <v>47</v>
      </c>
      <c r="C338" t="s">
        <v>867</v>
      </c>
      <c r="D338">
        <v>40292</v>
      </c>
      <c r="E338" t="s">
        <v>36</v>
      </c>
      <c r="F338" t="s">
        <v>868</v>
      </c>
      <c r="G338" s="1">
        <v>45243</v>
      </c>
    </row>
    <row r="339" spans="1:7">
      <c r="A339" t="s">
        <v>869</v>
      </c>
      <c r="B339">
        <v>45</v>
      </c>
      <c r="C339" t="s">
        <v>870</v>
      </c>
      <c r="D339">
        <v>41434</v>
      </c>
      <c r="E339" t="s">
        <v>9</v>
      </c>
      <c r="F339">
        <v>1549857034</v>
      </c>
      <c r="G339" s="1">
        <v>44929</v>
      </c>
    </row>
    <row r="340" spans="1:7">
      <c r="A340" t="s">
        <v>871</v>
      </c>
      <c r="B340">
        <v>53</v>
      </c>
      <c r="C340" t="s">
        <v>872</v>
      </c>
      <c r="E340" t="s">
        <v>873</v>
      </c>
      <c r="F340" t="s">
        <v>874</v>
      </c>
      <c r="G340" s="1">
        <v>44985</v>
      </c>
    </row>
    <row r="341" spans="1:7">
      <c r="A341" t="s">
        <v>875</v>
      </c>
      <c r="B341">
        <v>49</v>
      </c>
      <c r="C341" t="s">
        <v>876</v>
      </c>
      <c r="D341">
        <v>42940</v>
      </c>
      <c r="E341" t="s">
        <v>12</v>
      </c>
      <c r="F341" t="s">
        <v>877</v>
      </c>
      <c r="G341" s="1">
        <v>44948</v>
      </c>
    </row>
    <row r="342" spans="1:7">
      <c r="A342" t="s">
        <v>878</v>
      </c>
      <c r="B342">
        <v>19</v>
      </c>
      <c r="C342" t="s">
        <v>879</v>
      </c>
      <c r="D342">
        <v>163498</v>
      </c>
      <c r="E342" t="s">
        <v>9</v>
      </c>
      <c r="F342" t="s">
        <v>880</v>
      </c>
      <c r="G342" s="1">
        <v>45217</v>
      </c>
    </row>
    <row r="343" spans="1:7">
      <c r="A343" t="s">
        <v>881</v>
      </c>
      <c r="B343">
        <v>66</v>
      </c>
      <c r="C343" t="s">
        <v>882</v>
      </c>
      <c r="D343">
        <v>173518</v>
      </c>
      <c r="E343" t="s">
        <v>12</v>
      </c>
      <c r="F343">
        <f>1-930-802-8628</f>
        <v>-10359</v>
      </c>
      <c r="G343" s="1">
        <v>45133</v>
      </c>
    </row>
    <row r="344" spans="1:7">
      <c r="B344">
        <v>62</v>
      </c>
      <c r="C344" t="s">
        <v>883</v>
      </c>
      <c r="D344">
        <v>82265</v>
      </c>
      <c r="E344" t="s">
        <v>9</v>
      </c>
      <c r="F344">
        <f>1-285-795-7967</f>
        <v>-9046</v>
      </c>
      <c r="G344" s="1">
        <v>45022</v>
      </c>
    </row>
    <row r="345" spans="1:7">
      <c r="A345" t="s">
        <v>884</v>
      </c>
      <c r="C345" t="s">
        <v>885</v>
      </c>
      <c r="D345">
        <v>114577</v>
      </c>
      <c r="E345" t="s">
        <v>27</v>
      </c>
      <c r="F345" t="s">
        <v>886</v>
      </c>
      <c r="G345" s="1">
        <v>45212</v>
      </c>
    </row>
    <row r="346" spans="1:7">
      <c r="A346" t="s">
        <v>887</v>
      </c>
      <c r="C346" t="s">
        <v>888</v>
      </c>
      <c r="D346">
        <v>141850</v>
      </c>
      <c r="E346" t="s">
        <v>9</v>
      </c>
      <c r="F346">
        <v>8025397565</v>
      </c>
      <c r="G346" s="1">
        <v>45183</v>
      </c>
    </row>
    <row r="347" spans="1:7">
      <c r="A347" t="s">
        <v>889</v>
      </c>
      <c r="B347">
        <v>-1</v>
      </c>
      <c r="C347" t="s">
        <v>890</v>
      </c>
      <c r="D347">
        <v>86240</v>
      </c>
      <c r="E347" t="s">
        <v>9</v>
      </c>
      <c r="F347" t="s">
        <v>891</v>
      </c>
      <c r="G347" s="1">
        <v>45021</v>
      </c>
    </row>
    <row r="348" spans="1:7">
      <c r="A348" t="s">
        <v>892</v>
      </c>
      <c r="B348">
        <v>19</v>
      </c>
      <c r="C348" t="s">
        <v>893</v>
      </c>
      <c r="D348">
        <v>191077</v>
      </c>
      <c r="E348" t="s">
        <v>12</v>
      </c>
      <c r="F348">
        <v>7428390960</v>
      </c>
      <c r="G348" s="1">
        <v>44939</v>
      </c>
    </row>
    <row r="349" spans="1:7">
      <c r="A349" t="s">
        <v>894</v>
      </c>
      <c r="B349">
        <v>71</v>
      </c>
      <c r="C349" t="s">
        <v>895</v>
      </c>
      <c r="E349" t="s">
        <v>36</v>
      </c>
      <c r="F349" t="s">
        <v>896</v>
      </c>
      <c r="G349" s="1">
        <v>45204</v>
      </c>
    </row>
    <row r="350" spans="1:7">
      <c r="A350" t="s">
        <v>897</v>
      </c>
      <c r="B350">
        <v>45</v>
      </c>
      <c r="C350" t="s">
        <v>898</v>
      </c>
      <c r="D350">
        <v>30507</v>
      </c>
      <c r="E350" t="s">
        <v>36</v>
      </c>
      <c r="F350">
        <f>1-869-242-3128</f>
        <v>-4238</v>
      </c>
      <c r="G350" s="1">
        <v>45050</v>
      </c>
    </row>
    <row r="351" spans="1:7">
      <c r="A351" t="s">
        <v>899</v>
      </c>
      <c r="B351">
        <v>30</v>
      </c>
      <c r="C351" t="s">
        <v>900</v>
      </c>
      <c r="D351">
        <v>178961</v>
      </c>
      <c r="E351" t="s">
        <v>12</v>
      </c>
      <c r="F351" t="s">
        <v>901</v>
      </c>
      <c r="G351" s="1">
        <v>45215</v>
      </c>
    </row>
    <row r="352" spans="1:7">
      <c r="A352" t="s">
        <v>902</v>
      </c>
      <c r="B352">
        <v>43</v>
      </c>
      <c r="C352" t="s">
        <v>903</v>
      </c>
      <c r="D352">
        <v>46351</v>
      </c>
      <c r="E352" t="s">
        <v>36</v>
      </c>
      <c r="F352">
        <v>1875155003</v>
      </c>
      <c r="G352" s="1">
        <v>45278</v>
      </c>
    </row>
    <row r="353" spans="1:7">
      <c r="B353">
        <v>62</v>
      </c>
      <c r="C353" t="s">
        <v>904</v>
      </c>
      <c r="D353">
        <v>165772</v>
      </c>
      <c r="E353" t="s">
        <v>27</v>
      </c>
      <c r="F353">
        <v>5700684242</v>
      </c>
      <c r="G353" s="1">
        <v>44984</v>
      </c>
    </row>
    <row r="354" spans="1:7">
      <c r="A354" t="s">
        <v>905</v>
      </c>
      <c r="B354">
        <v>38</v>
      </c>
      <c r="C354" t="s">
        <v>594</v>
      </c>
      <c r="D354">
        <v>152761</v>
      </c>
      <c r="E354" t="s">
        <v>12</v>
      </c>
      <c r="F354" t="s">
        <v>906</v>
      </c>
      <c r="G354" s="1">
        <v>45034</v>
      </c>
    </row>
    <row r="355" spans="1:7">
      <c r="A355" t="s">
        <v>907</v>
      </c>
      <c r="B355">
        <v>41</v>
      </c>
      <c r="C355" t="s">
        <v>908</v>
      </c>
      <c r="D355">
        <v>73074</v>
      </c>
      <c r="E355" t="s">
        <v>12</v>
      </c>
      <c r="F355" t="s">
        <v>909</v>
      </c>
      <c r="G355" s="1">
        <v>45200</v>
      </c>
    </row>
    <row r="356" spans="1:7">
      <c r="A356" t="s">
        <v>910</v>
      </c>
      <c r="B356">
        <v>24</v>
      </c>
      <c r="C356" t="s">
        <v>911</v>
      </c>
      <c r="D356">
        <v>74565</v>
      </c>
      <c r="E356" t="s">
        <v>27</v>
      </c>
      <c r="F356">
        <f>1-341-656-2113</f>
        <v>-3109</v>
      </c>
      <c r="G356" s="1">
        <v>44957</v>
      </c>
    </row>
    <row r="357" spans="1:7">
      <c r="A357" t="s">
        <v>912</v>
      </c>
      <c r="B357">
        <v>-25</v>
      </c>
      <c r="C357" t="s">
        <v>913</v>
      </c>
      <c r="D357">
        <v>30463</v>
      </c>
      <c r="E357" t="s">
        <v>12</v>
      </c>
      <c r="F357">
        <f>1-363-120-1997</f>
        <v>-2479</v>
      </c>
      <c r="G357" s="1">
        <v>44951</v>
      </c>
    </row>
    <row r="358" spans="1:7">
      <c r="A358" t="s">
        <v>914</v>
      </c>
      <c r="B358">
        <v>30</v>
      </c>
      <c r="C358" t="s">
        <v>915</v>
      </c>
      <c r="D358">
        <v>134975</v>
      </c>
      <c r="E358" t="s">
        <v>12</v>
      </c>
      <c r="F358" t="s">
        <v>916</v>
      </c>
      <c r="G358" s="1">
        <v>45272</v>
      </c>
    </row>
    <row r="359" spans="1:7">
      <c r="A359" t="s">
        <v>917</v>
      </c>
      <c r="B359">
        <v>66</v>
      </c>
      <c r="C359" t="s">
        <v>918</v>
      </c>
      <c r="D359">
        <v>0</v>
      </c>
      <c r="E359" t="s">
        <v>27</v>
      </c>
      <c r="F359" t="s">
        <v>919</v>
      </c>
      <c r="G359" s="1">
        <v>45283</v>
      </c>
    </row>
    <row r="360" spans="1:7">
      <c r="A360" t="s">
        <v>920</v>
      </c>
      <c r="B360">
        <v>42</v>
      </c>
      <c r="C360" t="s">
        <v>921</v>
      </c>
      <c r="D360">
        <v>55216</v>
      </c>
      <c r="E360" t="s">
        <v>27</v>
      </c>
      <c r="F360" t="s">
        <v>922</v>
      </c>
      <c r="G360" s="1">
        <v>45193</v>
      </c>
    </row>
    <row r="361" spans="1:7">
      <c r="A361" t="s">
        <v>923</v>
      </c>
      <c r="B361">
        <v>76</v>
      </c>
      <c r="C361" t="s">
        <v>924</v>
      </c>
      <c r="D361">
        <v>87649</v>
      </c>
      <c r="E361" t="s">
        <v>90</v>
      </c>
      <c r="F361" t="s">
        <v>925</v>
      </c>
      <c r="G361" s="1">
        <v>45115</v>
      </c>
    </row>
    <row r="362" spans="1:7">
      <c r="A362" t="s">
        <v>926</v>
      </c>
      <c r="B362">
        <v>72</v>
      </c>
      <c r="C362" t="s">
        <v>927</v>
      </c>
      <c r="D362">
        <v>46138</v>
      </c>
      <c r="E362" t="s">
        <v>27</v>
      </c>
      <c r="F362" t="s">
        <v>928</v>
      </c>
      <c r="G362" s="1">
        <v>45134</v>
      </c>
    </row>
    <row r="363" spans="1:7">
      <c r="A363" t="s">
        <v>929</v>
      </c>
      <c r="B363">
        <v>-1</v>
      </c>
      <c r="C363" t="s">
        <v>930</v>
      </c>
      <c r="D363">
        <v>148910</v>
      </c>
      <c r="E363" t="s">
        <v>12</v>
      </c>
      <c r="F363" t="s">
        <v>931</v>
      </c>
      <c r="G363" s="1">
        <v>45235</v>
      </c>
    </row>
    <row r="364" spans="1:7">
      <c r="A364" t="s">
        <v>932</v>
      </c>
      <c r="B364">
        <v>57</v>
      </c>
      <c r="C364" t="s">
        <v>933</v>
      </c>
      <c r="D364">
        <v>142260</v>
      </c>
      <c r="E364" t="s">
        <v>27</v>
      </c>
      <c r="F364" t="s">
        <v>934</v>
      </c>
      <c r="G364" s="1">
        <v>45100</v>
      </c>
    </row>
    <row r="365" spans="1:7">
      <c r="A365" t="s">
        <v>935</v>
      </c>
      <c r="B365">
        <v>27</v>
      </c>
      <c r="C365" t="s">
        <v>936</v>
      </c>
      <c r="D365">
        <v>-1000</v>
      </c>
      <c r="E365" t="s">
        <v>36</v>
      </c>
      <c r="F365" t="s">
        <v>937</v>
      </c>
      <c r="G365" s="1">
        <v>45239</v>
      </c>
    </row>
    <row r="366" spans="1:7">
      <c r="A366" t="s">
        <v>938</v>
      </c>
      <c r="B366">
        <v>58</v>
      </c>
      <c r="C366" t="s">
        <v>939</v>
      </c>
      <c r="D366">
        <v>185732</v>
      </c>
      <c r="E366" t="s">
        <v>12</v>
      </c>
      <c r="F366" t="s">
        <v>940</v>
      </c>
      <c r="G366" s="1">
        <v>44932</v>
      </c>
    </row>
    <row r="367" spans="1:7">
      <c r="A367" t="s">
        <v>941</v>
      </c>
      <c r="B367">
        <v>52</v>
      </c>
      <c r="C367" t="s">
        <v>942</v>
      </c>
      <c r="D367">
        <v>78270</v>
      </c>
      <c r="E367" t="s">
        <v>27</v>
      </c>
      <c r="F367" t="s">
        <v>943</v>
      </c>
      <c r="G367" s="1">
        <v>44970</v>
      </c>
    </row>
    <row r="368" spans="1:7">
      <c r="A368" t="s">
        <v>944</v>
      </c>
      <c r="B368">
        <v>21</v>
      </c>
      <c r="C368" t="s">
        <v>945</v>
      </c>
      <c r="D368">
        <v>83785</v>
      </c>
      <c r="E368" t="s">
        <v>36</v>
      </c>
      <c r="F368">
        <f>1-140-337-4316</f>
        <v>-4792</v>
      </c>
      <c r="G368" s="1">
        <v>44989</v>
      </c>
    </row>
    <row r="369" spans="1:7">
      <c r="A369" t="s">
        <v>946</v>
      </c>
      <c r="B369">
        <v>29</v>
      </c>
      <c r="C369" t="s">
        <v>947</v>
      </c>
      <c r="D369">
        <v>187212</v>
      </c>
      <c r="E369" t="s">
        <v>12</v>
      </c>
      <c r="F369" t="s">
        <v>948</v>
      </c>
      <c r="G369" s="1">
        <v>45262</v>
      </c>
    </row>
    <row r="370" spans="1:7">
      <c r="A370" t="s">
        <v>949</v>
      </c>
      <c r="B370">
        <v>49</v>
      </c>
      <c r="C370" t="s">
        <v>950</v>
      </c>
      <c r="D370">
        <v>66191</v>
      </c>
      <c r="E370" t="s">
        <v>9</v>
      </c>
      <c r="F370">
        <f>1-826-892-4354</f>
        <v>-6071</v>
      </c>
      <c r="G370" s="1">
        <v>44975</v>
      </c>
    </row>
    <row r="371" spans="1:7">
      <c r="A371" t="s">
        <v>951</v>
      </c>
      <c r="B371">
        <v>64</v>
      </c>
      <c r="C371" t="s">
        <v>952</v>
      </c>
      <c r="E371" t="s">
        <v>27</v>
      </c>
      <c r="F371" t="s">
        <v>953</v>
      </c>
      <c r="G371" s="1">
        <v>45024</v>
      </c>
    </row>
    <row r="372" spans="1:7">
      <c r="A372" t="s">
        <v>954</v>
      </c>
      <c r="B372">
        <v>41</v>
      </c>
      <c r="C372" t="s">
        <v>955</v>
      </c>
      <c r="D372">
        <v>39290</v>
      </c>
      <c r="E372" t="s">
        <v>27</v>
      </c>
      <c r="F372" t="s">
        <v>956</v>
      </c>
      <c r="G372" s="1">
        <v>45085</v>
      </c>
    </row>
    <row r="373" spans="1:7">
      <c r="A373" t="s">
        <v>957</v>
      </c>
      <c r="B373">
        <v>79</v>
      </c>
      <c r="D373">
        <v>185344</v>
      </c>
      <c r="E373" t="s">
        <v>9</v>
      </c>
      <c r="F373" t="s">
        <v>958</v>
      </c>
      <c r="G373" s="1">
        <v>45118</v>
      </c>
    </row>
    <row r="374" spans="1:7">
      <c r="A374" t="s">
        <v>959</v>
      </c>
      <c r="B374">
        <v>38</v>
      </c>
      <c r="C374" t="s">
        <v>960</v>
      </c>
      <c r="D374">
        <v>86017</v>
      </c>
      <c r="E374" t="s">
        <v>9</v>
      </c>
      <c r="G374" s="1">
        <v>45174</v>
      </c>
    </row>
    <row r="375" spans="1:7">
      <c r="A375" t="s">
        <v>961</v>
      </c>
      <c r="B375">
        <v>67</v>
      </c>
      <c r="C375" t="s">
        <v>962</v>
      </c>
      <c r="D375">
        <v>45417</v>
      </c>
      <c r="E375" t="s">
        <v>12</v>
      </c>
      <c r="F375">
        <v>9145099778</v>
      </c>
      <c r="G375" s="1">
        <v>45036</v>
      </c>
    </row>
    <row r="376" spans="1:7">
      <c r="A376" t="s">
        <v>963</v>
      </c>
      <c r="B376">
        <v>37</v>
      </c>
      <c r="C376" t="s">
        <v>964</v>
      </c>
      <c r="D376">
        <v>87089</v>
      </c>
      <c r="E376" t="s">
        <v>12</v>
      </c>
      <c r="F376">
        <v>6700521446</v>
      </c>
      <c r="G376" s="1">
        <v>45103</v>
      </c>
    </row>
    <row r="377" spans="1:7">
      <c r="A377" t="s">
        <v>965</v>
      </c>
      <c r="B377">
        <v>29</v>
      </c>
      <c r="C377" t="s">
        <v>966</v>
      </c>
      <c r="D377">
        <v>151897</v>
      </c>
      <c r="E377" t="s">
        <v>9</v>
      </c>
      <c r="F377" t="s">
        <v>967</v>
      </c>
      <c r="G377" s="1">
        <v>45233</v>
      </c>
    </row>
    <row r="378" spans="1:7">
      <c r="A378" t="s">
        <v>968</v>
      </c>
      <c r="B378">
        <v>75</v>
      </c>
      <c r="C378" t="s">
        <v>389</v>
      </c>
      <c r="E378" t="s">
        <v>36</v>
      </c>
      <c r="G378" s="1">
        <v>45060</v>
      </c>
    </row>
    <row r="379" spans="1:7">
      <c r="A379" t="s">
        <v>969</v>
      </c>
      <c r="B379">
        <v>41</v>
      </c>
      <c r="C379" t="s">
        <v>970</v>
      </c>
      <c r="D379">
        <v>152049</v>
      </c>
      <c r="E379" t="s">
        <v>27</v>
      </c>
      <c r="F379" t="s">
        <v>971</v>
      </c>
      <c r="G379" s="1">
        <v>45152</v>
      </c>
    </row>
    <row r="380" spans="1:7">
      <c r="A380" t="s">
        <v>972</v>
      </c>
      <c r="B380">
        <v>23</v>
      </c>
      <c r="C380" t="s">
        <v>973</v>
      </c>
      <c r="D380">
        <v>68342</v>
      </c>
      <c r="E380" t="s">
        <v>9</v>
      </c>
      <c r="F380" t="s">
        <v>974</v>
      </c>
      <c r="G380" s="1">
        <v>44928</v>
      </c>
    </row>
    <row r="381" spans="1:7">
      <c r="A381" t="s">
        <v>975</v>
      </c>
      <c r="B381">
        <v>38</v>
      </c>
      <c r="C381" t="s">
        <v>518</v>
      </c>
      <c r="E381" t="s">
        <v>9</v>
      </c>
      <c r="F381" t="s">
        <v>976</v>
      </c>
      <c r="G381" s="1">
        <v>44967</v>
      </c>
    </row>
    <row r="382" spans="1:7">
      <c r="A382" t="s">
        <v>977</v>
      </c>
      <c r="B382">
        <v>50</v>
      </c>
      <c r="C382" t="s">
        <v>978</v>
      </c>
      <c r="D382">
        <v>53666</v>
      </c>
      <c r="E382" t="s">
        <v>36</v>
      </c>
      <c r="F382">
        <f>1-691-895-4593</f>
        <v>-6178</v>
      </c>
      <c r="G382" s="1">
        <v>45286</v>
      </c>
    </row>
    <row r="383" spans="1:7">
      <c r="A383" t="s">
        <v>979</v>
      </c>
      <c r="B383">
        <v>77</v>
      </c>
      <c r="C383" t="s">
        <v>980</v>
      </c>
      <c r="D383">
        <v>123863</v>
      </c>
      <c r="E383" t="s">
        <v>36</v>
      </c>
      <c r="G383" s="1">
        <v>45132</v>
      </c>
    </row>
    <row r="384" spans="1:7">
      <c r="A384" t="s">
        <v>981</v>
      </c>
      <c r="B384">
        <v>150</v>
      </c>
      <c r="C384" t="s">
        <v>982</v>
      </c>
      <c r="D384">
        <v>186568</v>
      </c>
      <c r="E384" t="s">
        <v>36</v>
      </c>
      <c r="F384" t="s">
        <v>983</v>
      </c>
      <c r="G384" s="1">
        <v>45248</v>
      </c>
    </row>
    <row r="385" spans="1:7">
      <c r="A385" t="s">
        <v>984</v>
      </c>
      <c r="B385">
        <v>0</v>
      </c>
      <c r="C385" t="s">
        <v>985</v>
      </c>
      <c r="D385">
        <v>119678</v>
      </c>
      <c r="E385" t="s">
        <v>9</v>
      </c>
      <c r="F385">
        <v>5430809445</v>
      </c>
      <c r="G385" s="1">
        <v>45170</v>
      </c>
    </row>
    <row r="386" spans="1:7">
      <c r="A386" t="s">
        <v>986</v>
      </c>
      <c r="B386">
        <v>54</v>
      </c>
      <c r="C386" t="s">
        <v>987</v>
      </c>
      <c r="D386">
        <v>57843</v>
      </c>
      <c r="E386" t="s">
        <v>27</v>
      </c>
      <c r="F386">
        <f>1-508-285-5668</f>
        <v>-6460</v>
      </c>
      <c r="G386" s="1">
        <v>45220</v>
      </c>
    </row>
    <row r="387" spans="1:7">
      <c r="A387" t="s">
        <v>988</v>
      </c>
      <c r="B387">
        <v>60</v>
      </c>
      <c r="C387" t="s">
        <v>989</v>
      </c>
      <c r="D387">
        <v>66160</v>
      </c>
      <c r="E387" t="s">
        <v>12</v>
      </c>
      <c r="F387" t="s">
        <v>990</v>
      </c>
      <c r="G387" s="1">
        <v>44986</v>
      </c>
    </row>
    <row r="388" spans="1:7">
      <c r="A388" t="s">
        <v>991</v>
      </c>
      <c r="B388">
        <v>23</v>
      </c>
      <c r="C388" t="s">
        <v>992</v>
      </c>
      <c r="D388">
        <v>63477</v>
      </c>
      <c r="E388" t="s">
        <v>27</v>
      </c>
      <c r="F388" t="s">
        <v>993</v>
      </c>
      <c r="G388" s="1">
        <v>45207</v>
      </c>
    </row>
    <row r="389" spans="1:7">
      <c r="A389" t="s">
        <v>994</v>
      </c>
      <c r="B389">
        <v>40</v>
      </c>
      <c r="C389" t="s">
        <v>995</v>
      </c>
      <c r="D389">
        <v>135410</v>
      </c>
      <c r="E389" t="s">
        <v>9</v>
      </c>
      <c r="G389" s="1">
        <v>45095</v>
      </c>
    </row>
    <row r="390" spans="1:7">
      <c r="A390" t="s">
        <v>996</v>
      </c>
      <c r="B390">
        <v>40</v>
      </c>
      <c r="C390" t="s">
        <v>997</v>
      </c>
      <c r="D390">
        <v>56393</v>
      </c>
      <c r="E390" t="s">
        <v>36</v>
      </c>
      <c r="F390" t="s">
        <v>998</v>
      </c>
      <c r="G390" s="1">
        <v>45257</v>
      </c>
    </row>
    <row r="391" spans="1:7">
      <c r="A391" t="s">
        <v>999</v>
      </c>
      <c r="B391">
        <v>71</v>
      </c>
      <c r="C391" t="s">
        <v>1000</v>
      </c>
      <c r="D391">
        <v>72222</v>
      </c>
      <c r="E391" t="s">
        <v>27</v>
      </c>
      <c r="F391" t="s">
        <v>1001</v>
      </c>
      <c r="G391" s="1">
        <v>45104</v>
      </c>
    </row>
    <row r="392" spans="1:7">
      <c r="A392" t="s">
        <v>1002</v>
      </c>
      <c r="B392">
        <v>41</v>
      </c>
      <c r="C392" t="s">
        <v>1003</v>
      </c>
      <c r="D392">
        <v>87514</v>
      </c>
      <c r="E392" t="s">
        <v>36</v>
      </c>
      <c r="F392" t="s">
        <v>1004</v>
      </c>
      <c r="G392" s="1">
        <v>45257</v>
      </c>
    </row>
    <row r="393" spans="1:7">
      <c r="A393" t="s">
        <v>1005</v>
      </c>
      <c r="B393">
        <v>55</v>
      </c>
      <c r="C393" t="s">
        <v>1006</v>
      </c>
      <c r="D393">
        <v>122259</v>
      </c>
      <c r="E393" t="s">
        <v>27</v>
      </c>
      <c r="F393" t="s">
        <v>1007</v>
      </c>
      <c r="G393" s="1">
        <v>45063</v>
      </c>
    </row>
    <row r="394" spans="1:7">
      <c r="A394" t="s">
        <v>1008</v>
      </c>
      <c r="B394">
        <v>42</v>
      </c>
      <c r="C394" t="s">
        <v>1009</v>
      </c>
      <c r="D394">
        <v>33174</v>
      </c>
      <c r="E394" t="s">
        <v>12</v>
      </c>
      <c r="G394" s="1">
        <v>45020</v>
      </c>
    </row>
    <row r="395" spans="1:7">
      <c r="A395" t="s">
        <v>1010</v>
      </c>
      <c r="B395">
        <v>43</v>
      </c>
      <c r="C395" t="s">
        <v>1011</v>
      </c>
      <c r="D395">
        <v>64831</v>
      </c>
      <c r="E395" t="s">
        <v>9</v>
      </c>
      <c r="F395" t="s">
        <v>1012</v>
      </c>
      <c r="G395" s="1">
        <v>45282</v>
      </c>
    </row>
    <row r="396" spans="1:7">
      <c r="A396" t="s">
        <v>1013</v>
      </c>
      <c r="B396">
        <v>42</v>
      </c>
      <c r="C396" t="s">
        <v>1014</v>
      </c>
      <c r="D396">
        <v>189882</v>
      </c>
      <c r="E396" t="s">
        <v>9</v>
      </c>
      <c r="F396">
        <f>1-937-393-6707</f>
        <v>-8036</v>
      </c>
      <c r="G396" s="1">
        <v>44993</v>
      </c>
    </row>
    <row r="397" spans="1:7">
      <c r="A397" t="s">
        <v>1015</v>
      </c>
      <c r="B397">
        <v>50</v>
      </c>
      <c r="D397">
        <v>138042</v>
      </c>
      <c r="E397" t="s">
        <v>12</v>
      </c>
      <c r="F397" t="s">
        <v>1016</v>
      </c>
      <c r="G397" s="1">
        <v>45101</v>
      </c>
    </row>
    <row r="398" spans="1:7">
      <c r="A398" t="s">
        <v>1017</v>
      </c>
      <c r="B398">
        <v>150</v>
      </c>
      <c r="C398" t="s">
        <v>1018</v>
      </c>
      <c r="D398">
        <v>181738</v>
      </c>
      <c r="E398" t="s">
        <v>27</v>
      </c>
      <c r="F398">
        <v>8577146879</v>
      </c>
      <c r="G398" s="1">
        <v>44939</v>
      </c>
    </row>
    <row r="399" spans="1:7">
      <c r="A399" t="s">
        <v>1019</v>
      </c>
      <c r="B399">
        <v>38</v>
      </c>
      <c r="C399" t="s">
        <v>1020</v>
      </c>
      <c r="D399">
        <v>129508</v>
      </c>
      <c r="E399" t="s">
        <v>9</v>
      </c>
      <c r="F399" t="s">
        <v>1021</v>
      </c>
      <c r="G399" s="1">
        <v>45190</v>
      </c>
    </row>
    <row r="400" spans="1:7">
      <c r="A400" t="s">
        <v>1022</v>
      </c>
      <c r="B400">
        <v>76</v>
      </c>
      <c r="C400" t="s">
        <v>1023</v>
      </c>
      <c r="D400">
        <v>44859</v>
      </c>
      <c r="E400" t="s">
        <v>9</v>
      </c>
      <c r="F400" t="s">
        <v>1024</v>
      </c>
      <c r="G400" s="1">
        <v>45235</v>
      </c>
    </row>
    <row r="401" spans="1:7">
      <c r="B401">
        <v>58</v>
      </c>
      <c r="C401" t="s">
        <v>1025</v>
      </c>
      <c r="E401" t="s">
        <v>9</v>
      </c>
      <c r="F401" t="s">
        <v>1026</v>
      </c>
      <c r="G401" s="1">
        <v>45166</v>
      </c>
    </row>
    <row r="402" spans="1:7">
      <c r="A402" t="s">
        <v>1027</v>
      </c>
      <c r="B402">
        <v>-100</v>
      </c>
      <c r="C402" t="s">
        <v>1028</v>
      </c>
      <c r="D402">
        <v>57464</v>
      </c>
      <c r="E402" t="s">
        <v>36</v>
      </c>
      <c r="F402" t="s">
        <v>1029</v>
      </c>
      <c r="G402" s="1">
        <v>45062</v>
      </c>
    </row>
    <row r="403" spans="1:7">
      <c r="A403" t="s">
        <v>1030</v>
      </c>
      <c r="B403">
        <v>73</v>
      </c>
      <c r="C403" t="s">
        <v>1031</v>
      </c>
      <c r="D403">
        <v>151015</v>
      </c>
      <c r="E403" t="s">
        <v>9</v>
      </c>
      <c r="F403">
        <v>1402153307</v>
      </c>
      <c r="G403" s="1">
        <v>45254</v>
      </c>
    </row>
    <row r="404" spans="1:7">
      <c r="A404" t="s">
        <v>1032</v>
      </c>
      <c r="B404">
        <v>300</v>
      </c>
      <c r="C404" t="s">
        <v>1033</v>
      </c>
      <c r="D404">
        <v>151008</v>
      </c>
      <c r="E404" t="s">
        <v>9</v>
      </c>
      <c r="F404">
        <f>1-951-933-7823</f>
        <v>-9706</v>
      </c>
      <c r="G404" s="1">
        <v>45071</v>
      </c>
    </row>
    <row r="405" spans="1:7">
      <c r="A405" t="s">
        <v>1034</v>
      </c>
      <c r="B405">
        <v>66</v>
      </c>
      <c r="C405" t="s">
        <v>1035</v>
      </c>
      <c r="E405" t="s">
        <v>9</v>
      </c>
      <c r="F405" t="s">
        <v>1036</v>
      </c>
      <c r="G405" s="1">
        <v>45196</v>
      </c>
    </row>
    <row r="406" spans="1:7">
      <c r="A406" t="s">
        <v>1037</v>
      </c>
      <c r="B406">
        <v>36</v>
      </c>
      <c r="C406" t="s">
        <v>1038</v>
      </c>
      <c r="D406">
        <v>52912</v>
      </c>
      <c r="E406" t="s">
        <v>90</v>
      </c>
      <c r="F406">
        <v>2500493518</v>
      </c>
      <c r="G406" s="1">
        <v>44934</v>
      </c>
    </row>
    <row r="407" spans="1:7">
      <c r="A407" t="s">
        <v>1039</v>
      </c>
      <c r="B407">
        <v>25</v>
      </c>
      <c r="C407" t="s">
        <v>1040</v>
      </c>
      <c r="D407">
        <v>137779</v>
      </c>
      <c r="E407" t="s">
        <v>27</v>
      </c>
      <c r="F407" t="s">
        <v>1041</v>
      </c>
      <c r="G407" s="1">
        <v>45053</v>
      </c>
    </row>
    <row r="408" spans="1:7">
      <c r="A408" t="s">
        <v>1042</v>
      </c>
      <c r="B408">
        <v>39</v>
      </c>
      <c r="C408" t="s">
        <v>17</v>
      </c>
      <c r="D408">
        <v>35722</v>
      </c>
      <c r="E408" t="s">
        <v>12</v>
      </c>
      <c r="F408">
        <f>1-235-908-6021</f>
        <v>-7163</v>
      </c>
      <c r="G408" s="1">
        <v>44972</v>
      </c>
    </row>
    <row r="409" spans="1:7">
      <c r="A409" t="s">
        <v>1043</v>
      </c>
      <c r="B409">
        <v>21</v>
      </c>
      <c r="C409" t="s">
        <v>1044</v>
      </c>
      <c r="D409">
        <v>112666</v>
      </c>
      <c r="E409" t="s">
        <v>12</v>
      </c>
      <c r="G409" s="1">
        <v>45079</v>
      </c>
    </row>
    <row r="410" spans="1:7">
      <c r="A410" t="s">
        <v>1045</v>
      </c>
      <c r="B410">
        <v>69</v>
      </c>
      <c r="C410" t="s">
        <v>478</v>
      </c>
      <c r="D410">
        <v>0</v>
      </c>
      <c r="E410" t="s">
        <v>9</v>
      </c>
      <c r="F410" t="s">
        <v>1046</v>
      </c>
      <c r="G410" s="1">
        <v>44970</v>
      </c>
    </row>
    <row r="411" spans="1:7">
      <c r="A411" t="s">
        <v>1047</v>
      </c>
      <c r="B411">
        <v>42</v>
      </c>
      <c r="C411" t="s">
        <v>389</v>
      </c>
      <c r="D411">
        <v>137338</v>
      </c>
      <c r="E411" t="s">
        <v>36</v>
      </c>
      <c r="F411">
        <f>1-842-261-3472</f>
        <v>-4574</v>
      </c>
      <c r="G411" s="1">
        <v>45123</v>
      </c>
    </row>
    <row r="412" spans="1:7">
      <c r="A412" t="s">
        <v>1048</v>
      </c>
      <c r="B412">
        <v>37</v>
      </c>
      <c r="C412" t="s">
        <v>1049</v>
      </c>
      <c r="D412">
        <v>197361</v>
      </c>
      <c r="E412" t="s">
        <v>12</v>
      </c>
      <c r="F412" t="s">
        <v>1050</v>
      </c>
      <c r="G412" s="1">
        <v>45136</v>
      </c>
    </row>
    <row r="413" spans="1:7">
      <c r="A413" t="s">
        <v>1051</v>
      </c>
      <c r="B413">
        <v>57</v>
      </c>
      <c r="D413">
        <v>170021</v>
      </c>
      <c r="E413" t="s">
        <v>27</v>
      </c>
      <c r="F413" t="s">
        <v>1052</v>
      </c>
      <c r="G413" s="1">
        <v>45000</v>
      </c>
    </row>
    <row r="414" spans="1:7">
      <c r="A414" t="s">
        <v>1053</v>
      </c>
      <c r="B414">
        <v>40</v>
      </c>
      <c r="C414" t="s">
        <v>1054</v>
      </c>
      <c r="D414">
        <v>166066</v>
      </c>
      <c r="E414" t="s">
        <v>9</v>
      </c>
      <c r="F414">
        <f>1-186-821-3384</f>
        <v>-4390</v>
      </c>
      <c r="G414" s="1">
        <v>45097</v>
      </c>
    </row>
    <row r="415" spans="1:7">
      <c r="A415" t="s">
        <v>1055</v>
      </c>
      <c r="C415" t="s">
        <v>518</v>
      </c>
      <c r="D415">
        <v>84040</v>
      </c>
      <c r="E415" t="s">
        <v>36</v>
      </c>
      <c r="F415" t="s">
        <v>1056</v>
      </c>
      <c r="G415" s="1">
        <v>45058</v>
      </c>
    </row>
    <row r="416" spans="1:7">
      <c r="A416" t="s">
        <v>1057</v>
      </c>
      <c r="B416">
        <v>19</v>
      </c>
      <c r="C416" t="s">
        <v>1058</v>
      </c>
      <c r="D416">
        <v>-10000</v>
      </c>
      <c r="E416" t="s">
        <v>12</v>
      </c>
      <c r="G416" s="1">
        <v>44961</v>
      </c>
    </row>
    <row r="417" spans="1:7">
      <c r="A417" t="s">
        <v>1059</v>
      </c>
      <c r="B417">
        <v>40</v>
      </c>
      <c r="C417" t="s">
        <v>1060</v>
      </c>
      <c r="D417">
        <v>84225</v>
      </c>
      <c r="E417" t="s">
        <v>12</v>
      </c>
      <c r="F417">
        <f>1-225-139-4395</f>
        <v>-4758</v>
      </c>
      <c r="G417" s="1">
        <v>45191</v>
      </c>
    </row>
    <row r="418" spans="1:7">
      <c r="A418" t="s">
        <v>1061</v>
      </c>
      <c r="B418">
        <v>18</v>
      </c>
      <c r="C418" t="s">
        <v>1062</v>
      </c>
      <c r="D418">
        <v>199024</v>
      </c>
      <c r="E418" t="s">
        <v>12</v>
      </c>
      <c r="F418">
        <v>3654191036</v>
      </c>
      <c r="G418" s="1">
        <v>45069</v>
      </c>
    </row>
    <row r="419" spans="1:7">
      <c r="A419" t="s">
        <v>1063</v>
      </c>
      <c r="B419">
        <v>28</v>
      </c>
      <c r="C419" t="s">
        <v>169</v>
      </c>
      <c r="D419">
        <v>82389</v>
      </c>
      <c r="E419" t="s">
        <v>12</v>
      </c>
      <c r="F419" t="s">
        <v>1064</v>
      </c>
      <c r="G419" s="1">
        <v>45274</v>
      </c>
    </row>
    <row r="420" spans="1:7">
      <c r="A420" t="s">
        <v>1065</v>
      </c>
      <c r="B420">
        <v>-5</v>
      </c>
      <c r="D420">
        <v>63324</v>
      </c>
      <c r="E420" t="s">
        <v>36</v>
      </c>
      <c r="F420">
        <v>2702311064</v>
      </c>
      <c r="G420" s="1">
        <v>44968</v>
      </c>
    </row>
    <row r="421" spans="1:7">
      <c r="A421" t="s">
        <v>1066</v>
      </c>
      <c r="B421">
        <v>67</v>
      </c>
      <c r="D421">
        <v>-1000</v>
      </c>
      <c r="E421" t="s">
        <v>36</v>
      </c>
      <c r="F421" t="s">
        <v>1067</v>
      </c>
      <c r="G421" s="1">
        <v>44990</v>
      </c>
    </row>
    <row r="422" spans="1:7">
      <c r="A422" t="s">
        <v>1068</v>
      </c>
      <c r="B422">
        <v>42</v>
      </c>
      <c r="D422">
        <v>63785</v>
      </c>
      <c r="E422" t="s">
        <v>12</v>
      </c>
      <c r="F422" t="s">
        <v>1069</v>
      </c>
      <c r="G422" s="1">
        <v>45047</v>
      </c>
    </row>
    <row r="423" spans="1:7">
      <c r="A423" t="s">
        <v>1070</v>
      </c>
      <c r="B423">
        <v>56</v>
      </c>
      <c r="C423" t="s">
        <v>1071</v>
      </c>
      <c r="D423">
        <v>156044</v>
      </c>
      <c r="E423" t="s">
        <v>36</v>
      </c>
      <c r="F423">
        <v>2142626871</v>
      </c>
      <c r="G423" s="1">
        <v>45095</v>
      </c>
    </row>
    <row r="424" spans="1:7">
      <c r="A424" t="s">
        <v>1072</v>
      </c>
      <c r="B424">
        <v>29</v>
      </c>
      <c r="C424" t="s">
        <v>445</v>
      </c>
      <c r="D424">
        <v>107963</v>
      </c>
      <c r="E424" t="s">
        <v>12</v>
      </c>
      <c r="F424" t="s">
        <v>1073</v>
      </c>
      <c r="G424" s="1">
        <v>45198</v>
      </c>
    </row>
    <row r="425" spans="1:7">
      <c r="A425" t="s">
        <v>1074</v>
      </c>
      <c r="B425">
        <v>59</v>
      </c>
      <c r="C425" t="s">
        <v>1075</v>
      </c>
      <c r="E425" t="s">
        <v>27</v>
      </c>
      <c r="F425">
        <v>8738351331</v>
      </c>
      <c r="G425" s="1">
        <v>45290</v>
      </c>
    </row>
    <row r="426" spans="1:7">
      <c r="A426" t="s">
        <v>1076</v>
      </c>
      <c r="B426">
        <v>64</v>
      </c>
      <c r="C426" t="s">
        <v>1077</v>
      </c>
      <c r="D426">
        <v>117201</v>
      </c>
      <c r="E426" t="s">
        <v>27</v>
      </c>
      <c r="F426" t="s">
        <v>1078</v>
      </c>
      <c r="G426" s="1">
        <v>45062</v>
      </c>
    </row>
    <row r="427" spans="1:7">
      <c r="A427" t="s">
        <v>1079</v>
      </c>
      <c r="B427">
        <v>55</v>
      </c>
      <c r="C427" t="s">
        <v>1080</v>
      </c>
      <c r="D427">
        <v>44079</v>
      </c>
      <c r="E427" t="s">
        <v>12</v>
      </c>
      <c r="F427">
        <f>1-493-189-2742</f>
        <v>-3423</v>
      </c>
      <c r="G427" s="1">
        <v>45144</v>
      </c>
    </row>
    <row r="428" spans="1:7">
      <c r="A428" t="s">
        <v>1081</v>
      </c>
      <c r="C428" t="s">
        <v>1082</v>
      </c>
      <c r="D428">
        <v>54466</v>
      </c>
      <c r="E428" t="s">
        <v>9</v>
      </c>
      <c r="F428" t="s">
        <v>1083</v>
      </c>
      <c r="G428" s="1">
        <v>45201</v>
      </c>
    </row>
    <row r="429" spans="1:7">
      <c r="A429" t="s">
        <v>1084</v>
      </c>
      <c r="B429">
        <v>47</v>
      </c>
      <c r="C429" t="s">
        <v>1085</v>
      </c>
      <c r="D429">
        <v>95206</v>
      </c>
      <c r="E429" t="s">
        <v>9</v>
      </c>
      <c r="F429" t="s">
        <v>1086</v>
      </c>
      <c r="G429" s="1">
        <v>45129</v>
      </c>
    </row>
    <row r="430" spans="1:7">
      <c r="A430" t="s">
        <v>1087</v>
      </c>
      <c r="B430">
        <v>41</v>
      </c>
      <c r="C430" t="s">
        <v>1088</v>
      </c>
      <c r="D430">
        <v>93353</v>
      </c>
      <c r="E430" t="s">
        <v>294</v>
      </c>
      <c r="G430" s="1">
        <v>45215</v>
      </c>
    </row>
    <row r="431" spans="1:7">
      <c r="A431" t="s">
        <v>1089</v>
      </c>
      <c r="B431">
        <v>38</v>
      </c>
      <c r="C431" t="s">
        <v>1090</v>
      </c>
      <c r="D431">
        <v>115468</v>
      </c>
      <c r="E431" t="s">
        <v>36</v>
      </c>
      <c r="F431" t="s">
        <v>1091</v>
      </c>
      <c r="G431" s="1">
        <v>44977</v>
      </c>
    </row>
    <row r="432" spans="1:7">
      <c r="A432" t="s">
        <v>1092</v>
      </c>
      <c r="B432">
        <v>52</v>
      </c>
      <c r="C432" t="s">
        <v>170</v>
      </c>
      <c r="D432">
        <v>143428</v>
      </c>
      <c r="E432" t="s">
        <v>12</v>
      </c>
      <c r="F432" t="s">
        <v>1093</v>
      </c>
      <c r="G432" s="1">
        <v>45084</v>
      </c>
    </row>
    <row r="433" spans="1:7">
      <c r="A433" t="s">
        <v>1094</v>
      </c>
      <c r="B433">
        <v>41</v>
      </c>
      <c r="C433" t="s">
        <v>1095</v>
      </c>
      <c r="D433">
        <v>113600</v>
      </c>
      <c r="E433" t="s">
        <v>27</v>
      </c>
      <c r="F433" t="s">
        <v>1096</v>
      </c>
      <c r="G433" s="1">
        <v>45263</v>
      </c>
    </row>
    <row r="434" spans="1:7">
      <c r="A434" t="s">
        <v>1097</v>
      </c>
      <c r="B434">
        <v>64</v>
      </c>
      <c r="C434" t="s">
        <v>1098</v>
      </c>
      <c r="D434">
        <v>148313</v>
      </c>
      <c r="E434" t="s">
        <v>9</v>
      </c>
      <c r="F434" t="s">
        <v>1099</v>
      </c>
      <c r="G434" s="1">
        <v>45220</v>
      </c>
    </row>
    <row r="435" spans="1:7">
      <c r="A435" t="s">
        <v>1100</v>
      </c>
      <c r="B435">
        <v>61</v>
      </c>
      <c r="C435" t="s">
        <v>1101</v>
      </c>
      <c r="D435">
        <v>120417</v>
      </c>
      <c r="E435" t="s">
        <v>9</v>
      </c>
      <c r="F435">
        <f>1-574-534-9501</f>
        <v>-10608</v>
      </c>
      <c r="G435" s="1">
        <v>44968</v>
      </c>
    </row>
    <row r="436" spans="1:7">
      <c r="A436" t="s">
        <v>1102</v>
      </c>
      <c r="B436">
        <v>33</v>
      </c>
      <c r="C436" t="s">
        <v>1103</v>
      </c>
      <c r="D436">
        <v>193324</v>
      </c>
      <c r="E436" t="s">
        <v>12</v>
      </c>
      <c r="F436">
        <f>1-881-114-9664</f>
        <v>-10658</v>
      </c>
      <c r="G436" s="1">
        <v>45112</v>
      </c>
    </row>
    <row r="437" spans="1:7">
      <c r="A437" t="s">
        <v>1104</v>
      </c>
      <c r="B437">
        <v>30</v>
      </c>
      <c r="C437" t="s">
        <v>1105</v>
      </c>
      <c r="D437">
        <v>147126</v>
      </c>
      <c r="F437" t="s">
        <v>1106</v>
      </c>
      <c r="G437" s="1">
        <v>45073</v>
      </c>
    </row>
    <row r="438" spans="1:7">
      <c r="A438" t="s">
        <v>1107</v>
      </c>
      <c r="B438">
        <v>40</v>
      </c>
      <c r="C438" t="s">
        <v>1108</v>
      </c>
      <c r="D438">
        <v>120887</v>
      </c>
      <c r="E438" t="s">
        <v>873</v>
      </c>
      <c r="F438" t="s">
        <v>1109</v>
      </c>
      <c r="G438" s="1">
        <v>45168</v>
      </c>
    </row>
    <row r="439" spans="1:7">
      <c r="A439" t="s">
        <v>1110</v>
      </c>
      <c r="B439">
        <v>58</v>
      </c>
      <c r="C439" t="s">
        <v>1111</v>
      </c>
      <c r="D439">
        <v>101154</v>
      </c>
      <c r="E439" t="s">
        <v>9</v>
      </c>
      <c r="F439">
        <f>1-550-237-1011</f>
        <v>-1797</v>
      </c>
      <c r="G439" s="1">
        <v>44992</v>
      </c>
    </row>
    <row r="440" spans="1:7">
      <c r="A440" t="s">
        <v>1112</v>
      </c>
      <c r="B440">
        <v>46</v>
      </c>
      <c r="C440" t="s">
        <v>1113</v>
      </c>
      <c r="D440">
        <v>46374</v>
      </c>
      <c r="E440" t="s">
        <v>36</v>
      </c>
      <c r="F440" t="s">
        <v>1114</v>
      </c>
      <c r="G440" s="1">
        <v>44943</v>
      </c>
    </row>
    <row r="441" spans="1:7">
      <c r="A441" t="s">
        <v>1115</v>
      </c>
      <c r="B441">
        <v>54</v>
      </c>
      <c r="C441" t="s">
        <v>1116</v>
      </c>
      <c r="D441">
        <v>126952</v>
      </c>
      <c r="E441" t="s">
        <v>27</v>
      </c>
      <c r="F441" t="s">
        <v>1117</v>
      </c>
      <c r="G441" s="1">
        <v>45217</v>
      </c>
    </row>
    <row r="442" spans="1:7">
      <c r="A442" t="s">
        <v>1118</v>
      </c>
      <c r="B442">
        <v>-100</v>
      </c>
      <c r="C442" t="s">
        <v>1119</v>
      </c>
      <c r="D442">
        <v>33650</v>
      </c>
      <c r="F442" t="s">
        <v>1120</v>
      </c>
      <c r="G442" s="1">
        <v>45260</v>
      </c>
    </row>
    <row r="443" spans="1:7">
      <c r="A443" t="s">
        <v>1121</v>
      </c>
      <c r="B443">
        <v>19</v>
      </c>
      <c r="C443" t="s">
        <v>1122</v>
      </c>
      <c r="D443">
        <v>81415</v>
      </c>
      <c r="E443" t="s">
        <v>36</v>
      </c>
      <c r="F443" t="s">
        <v>1123</v>
      </c>
      <c r="G443" s="1">
        <v>45066</v>
      </c>
    </row>
    <row r="444" spans="1:7">
      <c r="A444" t="s">
        <v>1124</v>
      </c>
      <c r="B444">
        <v>200</v>
      </c>
      <c r="C444" t="s">
        <v>1125</v>
      </c>
      <c r="E444" t="s">
        <v>9</v>
      </c>
      <c r="F444" t="s">
        <v>1126</v>
      </c>
      <c r="G444" s="1">
        <v>45146</v>
      </c>
    </row>
    <row r="445" spans="1:7">
      <c r="A445" t="s">
        <v>1127</v>
      </c>
      <c r="B445">
        <v>77</v>
      </c>
      <c r="C445" t="s">
        <v>1128</v>
      </c>
      <c r="D445">
        <v>63872</v>
      </c>
      <c r="E445" t="s">
        <v>27</v>
      </c>
      <c r="F445">
        <f>1-186-804-2073</f>
        <v>-3062</v>
      </c>
      <c r="G445" s="1">
        <v>45001</v>
      </c>
    </row>
    <row r="446" spans="1:7">
      <c r="A446" t="s">
        <v>1129</v>
      </c>
      <c r="B446">
        <v>27</v>
      </c>
      <c r="C446" t="s">
        <v>1130</v>
      </c>
      <c r="D446">
        <v>0</v>
      </c>
      <c r="E446" t="s">
        <v>12</v>
      </c>
      <c r="F446" t="s">
        <v>1131</v>
      </c>
      <c r="G446" s="1">
        <v>45006</v>
      </c>
    </row>
    <row r="447" spans="1:7">
      <c r="A447" t="s">
        <v>1132</v>
      </c>
      <c r="B447">
        <v>39</v>
      </c>
      <c r="C447" t="s">
        <v>1133</v>
      </c>
      <c r="D447">
        <v>152672</v>
      </c>
      <c r="E447" t="s">
        <v>36</v>
      </c>
      <c r="F447" t="s">
        <v>1134</v>
      </c>
      <c r="G447" s="1">
        <v>45024</v>
      </c>
    </row>
    <row r="448" spans="1:7">
      <c r="A448" t="s">
        <v>1135</v>
      </c>
      <c r="B448">
        <v>43</v>
      </c>
      <c r="C448" t="s">
        <v>170</v>
      </c>
      <c r="D448">
        <v>180644</v>
      </c>
      <c r="E448" t="s">
        <v>9</v>
      </c>
      <c r="F448" t="s">
        <v>1136</v>
      </c>
      <c r="G448" s="1">
        <v>44954</v>
      </c>
    </row>
    <row r="449" spans="1:7">
      <c r="A449" t="s">
        <v>1137</v>
      </c>
      <c r="B449">
        <v>24</v>
      </c>
      <c r="C449" t="s">
        <v>1138</v>
      </c>
      <c r="E449" t="s">
        <v>9</v>
      </c>
      <c r="F449">
        <v>6330254025</v>
      </c>
      <c r="G449" s="1">
        <v>45015</v>
      </c>
    </row>
    <row r="450" spans="1:7">
      <c r="A450" t="s">
        <v>1139</v>
      </c>
      <c r="B450">
        <v>20</v>
      </c>
      <c r="C450" t="s">
        <v>1140</v>
      </c>
      <c r="D450">
        <v>114040</v>
      </c>
      <c r="E450" t="s">
        <v>36</v>
      </c>
      <c r="G450" s="1">
        <v>45151</v>
      </c>
    </row>
    <row r="451" spans="1:7">
      <c r="A451" t="s">
        <v>1141</v>
      </c>
      <c r="B451">
        <v>57</v>
      </c>
      <c r="C451" t="s">
        <v>1142</v>
      </c>
      <c r="D451">
        <v>159036</v>
      </c>
      <c r="E451" t="s">
        <v>12</v>
      </c>
      <c r="F451" t="s">
        <v>1143</v>
      </c>
      <c r="G451" s="1">
        <v>45059</v>
      </c>
    </row>
    <row r="452" spans="1:7">
      <c r="A452" t="s">
        <v>1144</v>
      </c>
      <c r="B452">
        <v>53</v>
      </c>
      <c r="C452" t="s">
        <v>1145</v>
      </c>
      <c r="D452">
        <v>173927</v>
      </c>
      <c r="E452" t="s">
        <v>36</v>
      </c>
      <c r="F452" t="s">
        <v>1146</v>
      </c>
      <c r="G452" s="1">
        <v>45013</v>
      </c>
    </row>
    <row r="453" spans="1:7">
      <c r="A453" t="s">
        <v>1147</v>
      </c>
      <c r="B453">
        <v>0</v>
      </c>
      <c r="C453" t="s">
        <v>1148</v>
      </c>
      <c r="D453">
        <v>157514</v>
      </c>
      <c r="E453" t="s">
        <v>27</v>
      </c>
      <c r="G453" s="1">
        <v>44954</v>
      </c>
    </row>
    <row r="454" spans="1:7">
      <c r="A454" t="s">
        <v>1149</v>
      </c>
      <c r="B454">
        <v>62</v>
      </c>
      <c r="C454" t="s">
        <v>1150</v>
      </c>
      <c r="D454">
        <v>89191</v>
      </c>
      <c r="E454" t="s">
        <v>27</v>
      </c>
      <c r="F454" t="s">
        <v>1151</v>
      </c>
      <c r="G454" s="1">
        <v>44994</v>
      </c>
    </row>
    <row r="455" spans="1:7">
      <c r="A455" t="s">
        <v>1152</v>
      </c>
      <c r="B455">
        <v>36</v>
      </c>
      <c r="C455" t="s">
        <v>1153</v>
      </c>
      <c r="D455">
        <v>167152</v>
      </c>
      <c r="E455" t="s">
        <v>9</v>
      </c>
      <c r="F455">
        <v>1523893241</v>
      </c>
      <c r="G455" s="1">
        <v>45060</v>
      </c>
    </row>
    <row r="456" spans="1:7">
      <c r="A456" t="s">
        <v>1154</v>
      </c>
      <c r="B456">
        <v>23</v>
      </c>
      <c r="C456" t="s">
        <v>1155</v>
      </c>
      <c r="E456" t="s">
        <v>12</v>
      </c>
      <c r="F456" t="s">
        <v>1156</v>
      </c>
      <c r="G456" s="1">
        <v>45224</v>
      </c>
    </row>
    <row r="457" spans="1:7">
      <c r="B457">
        <v>18</v>
      </c>
      <c r="C457" t="s">
        <v>1157</v>
      </c>
      <c r="D457">
        <v>120932</v>
      </c>
      <c r="E457" t="s">
        <v>27</v>
      </c>
      <c r="F457" t="s">
        <v>1158</v>
      </c>
      <c r="G457" s="1">
        <v>45056</v>
      </c>
    </row>
    <row r="458" spans="1:7">
      <c r="A458" t="s">
        <v>1159</v>
      </c>
      <c r="B458">
        <v>48</v>
      </c>
      <c r="D458">
        <v>49423</v>
      </c>
      <c r="E458" t="s">
        <v>36</v>
      </c>
      <c r="F458" t="s">
        <v>1160</v>
      </c>
      <c r="G458" s="1">
        <v>44927</v>
      </c>
    </row>
    <row r="459" spans="1:7">
      <c r="A459" t="s">
        <v>1161</v>
      </c>
      <c r="B459">
        <v>35</v>
      </c>
      <c r="D459">
        <v>39079</v>
      </c>
      <c r="E459" t="s">
        <v>9</v>
      </c>
      <c r="F459">
        <f>1-742-372-8927</f>
        <v>-10040</v>
      </c>
      <c r="G459" s="1">
        <v>45046</v>
      </c>
    </row>
    <row r="460" spans="1:7">
      <c r="A460" t="s">
        <v>1162</v>
      </c>
      <c r="B460">
        <v>20</v>
      </c>
      <c r="C460" t="s">
        <v>1163</v>
      </c>
      <c r="D460">
        <v>34426</v>
      </c>
      <c r="E460" t="s">
        <v>358</v>
      </c>
      <c r="F460" t="s">
        <v>1164</v>
      </c>
      <c r="G460" s="1">
        <v>45235</v>
      </c>
    </row>
    <row r="461" spans="1:7">
      <c r="A461" t="s">
        <v>1165</v>
      </c>
      <c r="B461">
        <v>45</v>
      </c>
      <c r="C461" t="s">
        <v>1166</v>
      </c>
      <c r="D461">
        <v>115382</v>
      </c>
      <c r="E461" t="s">
        <v>49</v>
      </c>
      <c r="F461" t="s">
        <v>1167</v>
      </c>
      <c r="G461" s="1">
        <v>45224</v>
      </c>
    </row>
    <row r="462" spans="1:7">
      <c r="A462" t="s">
        <v>1168</v>
      </c>
      <c r="B462">
        <v>71</v>
      </c>
      <c r="C462" t="s">
        <v>1169</v>
      </c>
      <c r="D462">
        <v>129041</v>
      </c>
      <c r="E462" t="s">
        <v>12</v>
      </c>
      <c r="F462">
        <v>5158084368</v>
      </c>
      <c r="G462" s="1">
        <v>45121</v>
      </c>
    </row>
    <row r="463" spans="1:7">
      <c r="A463" t="s">
        <v>1170</v>
      </c>
      <c r="B463">
        <v>64</v>
      </c>
      <c r="C463" t="s">
        <v>1171</v>
      </c>
      <c r="D463">
        <v>84575</v>
      </c>
      <c r="E463" t="s">
        <v>27</v>
      </c>
      <c r="F463">
        <f>1-710-574-6330</f>
        <v>-7613</v>
      </c>
      <c r="G463" s="1">
        <v>45036</v>
      </c>
    </row>
    <row r="464" spans="1:7">
      <c r="A464" t="s">
        <v>1172</v>
      </c>
      <c r="B464">
        <v>46</v>
      </c>
      <c r="E464" t="s">
        <v>36</v>
      </c>
      <c r="F464" t="s">
        <v>1173</v>
      </c>
      <c r="G464" s="1">
        <v>44954</v>
      </c>
    </row>
    <row r="465" spans="1:7">
      <c r="A465" t="s">
        <v>1174</v>
      </c>
      <c r="B465">
        <v>31</v>
      </c>
      <c r="C465" t="s">
        <v>1175</v>
      </c>
      <c r="D465">
        <v>140782</v>
      </c>
      <c r="E465" t="s">
        <v>12</v>
      </c>
      <c r="F465">
        <v>8972380077</v>
      </c>
      <c r="G465" s="1">
        <v>45128</v>
      </c>
    </row>
    <row r="466" spans="1:7">
      <c r="A466" t="s">
        <v>1176</v>
      </c>
      <c r="B466">
        <v>72</v>
      </c>
      <c r="C466" t="s">
        <v>1177</v>
      </c>
      <c r="D466">
        <v>66674</v>
      </c>
      <c r="E466" t="s">
        <v>9</v>
      </c>
      <c r="F466">
        <f>1-722-455-4750</f>
        <v>-5926</v>
      </c>
      <c r="G466" s="1">
        <v>45283</v>
      </c>
    </row>
    <row r="467" spans="1:7">
      <c r="A467" t="s">
        <v>1178</v>
      </c>
      <c r="B467">
        <v>58</v>
      </c>
      <c r="C467" t="s">
        <v>1179</v>
      </c>
      <c r="E467" t="s">
        <v>36</v>
      </c>
      <c r="F467" t="s">
        <v>1180</v>
      </c>
      <c r="G467" s="1">
        <v>45277</v>
      </c>
    </row>
    <row r="468" spans="1:7">
      <c r="A468" t="s">
        <v>1181</v>
      </c>
      <c r="B468">
        <v>19</v>
      </c>
      <c r="C468" t="s">
        <v>1182</v>
      </c>
      <c r="D468">
        <v>39269</v>
      </c>
      <c r="E468" t="s">
        <v>12</v>
      </c>
      <c r="F468" t="s">
        <v>1183</v>
      </c>
      <c r="G468" s="1">
        <v>44953</v>
      </c>
    </row>
    <row r="469" spans="1:7">
      <c r="A469" t="s">
        <v>1184</v>
      </c>
      <c r="B469">
        <v>54</v>
      </c>
      <c r="C469" t="s">
        <v>115</v>
      </c>
      <c r="E469" t="s">
        <v>49</v>
      </c>
      <c r="F469">
        <f>1-954-476-5575</f>
        <v>-7004</v>
      </c>
      <c r="G469" s="1">
        <v>45128</v>
      </c>
    </row>
    <row r="470" spans="1:7">
      <c r="B470">
        <v>70</v>
      </c>
      <c r="C470" t="s">
        <v>1185</v>
      </c>
      <c r="D470">
        <v>120270</v>
      </c>
      <c r="E470" t="s">
        <v>27</v>
      </c>
      <c r="F470">
        <f>1-268-549-4991</f>
        <v>-5807</v>
      </c>
      <c r="G470" s="1">
        <v>45025</v>
      </c>
    </row>
    <row r="471" spans="1:7">
      <c r="A471" t="s">
        <v>1186</v>
      </c>
      <c r="B471">
        <v>21</v>
      </c>
      <c r="C471" t="s">
        <v>1187</v>
      </c>
      <c r="D471">
        <v>186044</v>
      </c>
      <c r="E471" t="s">
        <v>36</v>
      </c>
      <c r="G471" s="1">
        <v>45101</v>
      </c>
    </row>
    <row r="472" spans="1:7">
      <c r="A472" t="s">
        <v>1188</v>
      </c>
      <c r="B472">
        <v>23</v>
      </c>
      <c r="C472" t="s">
        <v>1189</v>
      </c>
      <c r="D472">
        <v>127206</v>
      </c>
      <c r="E472" t="s">
        <v>12</v>
      </c>
      <c r="F472">
        <v>2643668468</v>
      </c>
      <c r="G472" s="1">
        <v>45132</v>
      </c>
    </row>
    <row r="473" spans="1:7">
      <c r="A473" t="s">
        <v>1190</v>
      </c>
      <c r="B473">
        <v>32</v>
      </c>
      <c r="C473" t="s">
        <v>1191</v>
      </c>
      <c r="D473">
        <v>-50000</v>
      </c>
      <c r="E473" t="s">
        <v>27</v>
      </c>
      <c r="F473" t="s">
        <v>1192</v>
      </c>
      <c r="G473" s="1">
        <v>44977</v>
      </c>
    </row>
    <row r="474" spans="1:7">
      <c r="A474" t="s">
        <v>1193</v>
      </c>
      <c r="B474">
        <v>78</v>
      </c>
      <c r="C474" t="s">
        <v>1194</v>
      </c>
      <c r="D474">
        <v>55993</v>
      </c>
      <c r="E474" t="s">
        <v>27</v>
      </c>
      <c r="F474">
        <f>1-609-836-2843</f>
        <v>-4287</v>
      </c>
      <c r="G474" s="1">
        <v>45202</v>
      </c>
    </row>
    <row r="475" spans="1:7">
      <c r="A475" t="s">
        <v>1195</v>
      </c>
      <c r="B475">
        <v>39</v>
      </c>
      <c r="C475" t="s">
        <v>1196</v>
      </c>
      <c r="D475">
        <v>195100</v>
      </c>
      <c r="E475" t="s">
        <v>36</v>
      </c>
      <c r="F475">
        <f>1-546-490-5669</f>
        <v>-6704</v>
      </c>
      <c r="G475" s="1">
        <v>45010</v>
      </c>
    </row>
    <row r="476" spans="1:7">
      <c r="A476" t="s">
        <v>1197</v>
      </c>
      <c r="B476">
        <v>54</v>
      </c>
      <c r="C476" t="s">
        <v>1198</v>
      </c>
      <c r="D476">
        <v>174233</v>
      </c>
      <c r="E476" t="s">
        <v>27</v>
      </c>
      <c r="F476">
        <v>2844690554</v>
      </c>
      <c r="G476" s="1">
        <v>45053</v>
      </c>
    </row>
    <row r="477" spans="1:7">
      <c r="A477" t="s">
        <v>1199</v>
      </c>
      <c r="B477">
        <v>76</v>
      </c>
      <c r="C477" t="s">
        <v>1200</v>
      </c>
      <c r="D477">
        <v>186697</v>
      </c>
      <c r="E477" t="s">
        <v>12</v>
      </c>
      <c r="F477">
        <v>7090896471</v>
      </c>
      <c r="G477" s="1">
        <v>45253</v>
      </c>
    </row>
    <row r="478" spans="1:7">
      <c r="A478" t="s">
        <v>1201</v>
      </c>
      <c r="B478">
        <v>71</v>
      </c>
      <c r="C478" t="s">
        <v>1202</v>
      </c>
      <c r="D478">
        <v>194529</v>
      </c>
      <c r="E478" t="s">
        <v>36</v>
      </c>
      <c r="F478">
        <f>1-993-490-9543</f>
        <v>-11025</v>
      </c>
      <c r="G478" s="1">
        <v>45261</v>
      </c>
    </row>
    <row r="479" spans="1:7">
      <c r="A479" t="s">
        <v>1203</v>
      </c>
      <c r="B479">
        <v>-100</v>
      </c>
      <c r="C479" t="s">
        <v>1204</v>
      </c>
      <c r="D479">
        <v>196925</v>
      </c>
      <c r="E479" t="s">
        <v>294</v>
      </c>
      <c r="F479">
        <v>6733350690</v>
      </c>
      <c r="G479" s="1">
        <v>45012</v>
      </c>
    </row>
    <row r="480" spans="1:7">
      <c r="A480" t="s">
        <v>1205</v>
      </c>
      <c r="B480">
        <v>75</v>
      </c>
      <c r="C480" t="s">
        <v>1206</v>
      </c>
      <c r="D480">
        <v>75641</v>
      </c>
      <c r="E480" t="s">
        <v>36</v>
      </c>
      <c r="F480" t="s">
        <v>1207</v>
      </c>
      <c r="G480" s="1">
        <v>45085</v>
      </c>
    </row>
    <row r="481" spans="1:7">
      <c r="A481" t="s">
        <v>1208</v>
      </c>
      <c r="B481">
        <v>70</v>
      </c>
      <c r="C481" t="s">
        <v>1209</v>
      </c>
      <c r="D481">
        <v>154116</v>
      </c>
      <c r="E481" t="s">
        <v>9</v>
      </c>
      <c r="F481">
        <v>7239376653</v>
      </c>
      <c r="G481" s="1">
        <v>45090</v>
      </c>
    </row>
    <row r="482" spans="1:7">
      <c r="A482" t="s">
        <v>1210</v>
      </c>
      <c r="B482">
        <v>31</v>
      </c>
      <c r="C482" t="s">
        <v>1211</v>
      </c>
      <c r="D482">
        <v>142036</v>
      </c>
      <c r="E482" t="s">
        <v>12</v>
      </c>
      <c r="F482" t="s">
        <v>1212</v>
      </c>
      <c r="G482" s="1">
        <v>44998</v>
      </c>
    </row>
    <row r="483" spans="1:7">
      <c r="A483" t="s">
        <v>1213</v>
      </c>
      <c r="B483">
        <v>71</v>
      </c>
      <c r="C483" t="s">
        <v>594</v>
      </c>
      <c r="D483">
        <v>0</v>
      </c>
      <c r="E483" t="s">
        <v>27</v>
      </c>
      <c r="F483">
        <v>5832857817</v>
      </c>
      <c r="G483" s="1">
        <v>45219</v>
      </c>
    </row>
    <row r="484" spans="1:7">
      <c r="A484" t="s">
        <v>1214</v>
      </c>
      <c r="B484">
        <v>0</v>
      </c>
      <c r="C484" t="s">
        <v>1215</v>
      </c>
      <c r="D484">
        <v>147369</v>
      </c>
      <c r="E484" t="s">
        <v>36</v>
      </c>
      <c r="F484">
        <f>1-526-452-1139</f>
        <v>-2116</v>
      </c>
      <c r="G484" s="1">
        <v>45250</v>
      </c>
    </row>
    <row r="485" spans="1:7">
      <c r="A485" t="s">
        <v>1216</v>
      </c>
      <c r="B485">
        <v>46</v>
      </c>
      <c r="C485" t="s">
        <v>1217</v>
      </c>
      <c r="D485">
        <v>178630</v>
      </c>
      <c r="E485" t="s">
        <v>27</v>
      </c>
      <c r="F485" t="s">
        <v>1218</v>
      </c>
      <c r="G485" s="1">
        <v>44986</v>
      </c>
    </row>
    <row r="486" spans="1:7">
      <c r="A486" t="s">
        <v>1219</v>
      </c>
      <c r="B486">
        <v>76</v>
      </c>
      <c r="C486" t="s">
        <v>478</v>
      </c>
      <c r="D486">
        <v>196421</v>
      </c>
      <c r="E486" t="s">
        <v>9</v>
      </c>
      <c r="F486">
        <f>1-590-232-5432</f>
        <v>-6253</v>
      </c>
      <c r="G486" t="s">
        <v>301</v>
      </c>
    </row>
    <row r="487" spans="1:7">
      <c r="A487" t="s">
        <v>1220</v>
      </c>
      <c r="B487">
        <v>70</v>
      </c>
      <c r="C487" t="s">
        <v>1221</v>
      </c>
      <c r="D487">
        <v>151952</v>
      </c>
      <c r="E487" t="s">
        <v>12</v>
      </c>
      <c r="F487" t="s">
        <v>1222</v>
      </c>
      <c r="G487" s="1">
        <v>44947</v>
      </c>
    </row>
    <row r="488" spans="1:7">
      <c r="A488" t="s">
        <v>1223</v>
      </c>
      <c r="B488">
        <v>21</v>
      </c>
      <c r="C488" t="s">
        <v>1224</v>
      </c>
      <c r="D488">
        <v>49403</v>
      </c>
      <c r="E488" t="s">
        <v>12</v>
      </c>
      <c r="F488" t="s">
        <v>1225</v>
      </c>
      <c r="G488" s="1">
        <v>45133</v>
      </c>
    </row>
    <row r="489" spans="1:7">
      <c r="A489" t="s">
        <v>1226</v>
      </c>
      <c r="B489">
        <v>23</v>
      </c>
      <c r="C489" t="s">
        <v>1227</v>
      </c>
      <c r="E489" t="s">
        <v>9</v>
      </c>
      <c r="F489">
        <f>1-448-691-6424</f>
        <v>-7562</v>
      </c>
      <c r="G489" t="s">
        <v>301</v>
      </c>
    </row>
    <row r="490" spans="1:7">
      <c r="A490" t="s">
        <v>1228</v>
      </c>
      <c r="B490">
        <v>70</v>
      </c>
      <c r="C490" t="s">
        <v>1229</v>
      </c>
      <c r="D490">
        <v>92875</v>
      </c>
      <c r="E490" t="s">
        <v>12</v>
      </c>
      <c r="F490" t="s">
        <v>1230</v>
      </c>
      <c r="G490" s="1">
        <v>45161</v>
      </c>
    </row>
    <row r="491" spans="1:7">
      <c r="A491" t="s">
        <v>1231</v>
      </c>
      <c r="B491">
        <v>43</v>
      </c>
      <c r="C491" t="s">
        <v>1232</v>
      </c>
      <c r="D491">
        <v>137615</v>
      </c>
      <c r="E491" t="s">
        <v>9</v>
      </c>
      <c r="F491">
        <f>1-650-918-4197</f>
        <v>-5764</v>
      </c>
    </row>
    <row r="492" spans="1:7">
      <c r="A492" t="s">
        <v>1233</v>
      </c>
      <c r="B492">
        <v>39</v>
      </c>
      <c r="C492" t="s">
        <v>1234</v>
      </c>
      <c r="D492">
        <v>60782</v>
      </c>
      <c r="E492" t="s">
        <v>27</v>
      </c>
      <c r="F492" t="s">
        <v>1235</v>
      </c>
      <c r="G492" s="1">
        <v>45229</v>
      </c>
    </row>
    <row r="493" spans="1:7">
      <c r="A493" t="s">
        <v>1236</v>
      </c>
      <c r="B493">
        <v>62</v>
      </c>
      <c r="C493" t="s">
        <v>1237</v>
      </c>
      <c r="D493">
        <v>67158</v>
      </c>
      <c r="E493" t="s">
        <v>12</v>
      </c>
      <c r="F493" t="s">
        <v>1238</v>
      </c>
      <c r="G493" s="1">
        <v>45290</v>
      </c>
    </row>
    <row r="494" spans="1:7">
      <c r="A494" t="s">
        <v>1239</v>
      </c>
      <c r="B494">
        <v>150</v>
      </c>
      <c r="C494" t="s">
        <v>61</v>
      </c>
      <c r="D494">
        <v>182472</v>
      </c>
      <c r="E494" t="s">
        <v>9</v>
      </c>
      <c r="F494" t="s">
        <v>1240</v>
      </c>
      <c r="G494" s="1">
        <v>45231</v>
      </c>
    </row>
    <row r="495" spans="1:7">
      <c r="B495">
        <v>66</v>
      </c>
      <c r="C495" t="s">
        <v>1241</v>
      </c>
      <c r="D495">
        <v>141023</v>
      </c>
      <c r="E495" t="s">
        <v>27</v>
      </c>
      <c r="F495" t="s">
        <v>1242</v>
      </c>
      <c r="G495" s="1">
        <v>45129</v>
      </c>
    </row>
    <row r="496" spans="1:7">
      <c r="A496" t="s">
        <v>1243</v>
      </c>
      <c r="B496">
        <v>31</v>
      </c>
      <c r="C496" t="s">
        <v>1244</v>
      </c>
      <c r="D496">
        <v>49692</v>
      </c>
      <c r="E496" t="s">
        <v>36</v>
      </c>
      <c r="F496" t="s">
        <v>1245</v>
      </c>
      <c r="G496" s="1">
        <v>45229</v>
      </c>
    </row>
    <row r="497" spans="1:7">
      <c r="A497" t="s">
        <v>1246</v>
      </c>
      <c r="B497">
        <v>49</v>
      </c>
      <c r="C497" t="s">
        <v>1247</v>
      </c>
      <c r="D497">
        <v>85568</v>
      </c>
      <c r="E497" t="s">
        <v>27</v>
      </c>
      <c r="F497">
        <v>3326257337</v>
      </c>
      <c r="G497" s="1">
        <v>44946</v>
      </c>
    </row>
    <row r="498" spans="1:7">
      <c r="A498" t="s">
        <v>1248</v>
      </c>
      <c r="B498">
        <v>18</v>
      </c>
      <c r="C498" t="s">
        <v>1249</v>
      </c>
      <c r="F498">
        <f>1-186-462-8069</f>
        <v>-8716</v>
      </c>
      <c r="G498" s="1">
        <v>45049</v>
      </c>
    </row>
    <row r="499" spans="1:7">
      <c r="A499" t="s">
        <v>1250</v>
      </c>
      <c r="B499">
        <v>0</v>
      </c>
      <c r="C499" t="s">
        <v>1251</v>
      </c>
      <c r="D499">
        <v>134501</v>
      </c>
      <c r="E499" t="s">
        <v>12</v>
      </c>
      <c r="F499" t="s">
        <v>1252</v>
      </c>
      <c r="G499" s="1">
        <v>45126</v>
      </c>
    </row>
    <row r="500" spans="1:7">
      <c r="A500" t="s">
        <v>1253</v>
      </c>
      <c r="B500">
        <v>19</v>
      </c>
      <c r="C500" t="s">
        <v>1254</v>
      </c>
      <c r="D500">
        <v>31462</v>
      </c>
      <c r="E500" t="s">
        <v>9</v>
      </c>
      <c r="F500">
        <v>1553040088</v>
      </c>
      <c r="G500" s="1">
        <v>45290</v>
      </c>
    </row>
    <row r="501" spans="1:7">
      <c r="A501" t="s">
        <v>1255</v>
      </c>
      <c r="B501">
        <v>49</v>
      </c>
      <c r="D501">
        <v>125632</v>
      </c>
      <c r="E501" t="s">
        <v>12</v>
      </c>
      <c r="F501" t="s">
        <v>1256</v>
      </c>
      <c r="G501" s="1">
        <v>44946</v>
      </c>
    </row>
    <row r="502" spans="1:7">
      <c r="A502" t="s">
        <v>1257</v>
      </c>
      <c r="B502">
        <v>-5</v>
      </c>
      <c r="C502" t="s">
        <v>1258</v>
      </c>
      <c r="D502">
        <v>76121</v>
      </c>
      <c r="E502" t="s">
        <v>36</v>
      </c>
      <c r="F502" t="s">
        <v>1259</v>
      </c>
      <c r="G502" s="1">
        <v>44977</v>
      </c>
    </row>
    <row r="503" spans="1:7">
      <c r="A503" t="s">
        <v>1260</v>
      </c>
      <c r="B503">
        <v>26</v>
      </c>
      <c r="C503" t="s">
        <v>1261</v>
      </c>
      <c r="D503">
        <v>195707</v>
      </c>
      <c r="E503" t="s">
        <v>36</v>
      </c>
      <c r="F503" t="s">
        <v>1262</v>
      </c>
      <c r="G503" s="1">
        <v>45152</v>
      </c>
    </row>
    <row r="504" spans="1:7">
      <c r="A504" t="s">
        <v>1263</v>
      </c>
      <c r="B504">
        <v>39</v>
      </c>
      <c r="C504" t="s">
        <v>1264</v>
      </c>
      <c r="D504">
        <v>134320</v>
      </c>
      <c r="E504" t="s">
        <v>27</v>
      </c>
      <c r="F504" t="s">
        <v>1265</v>
      </c>
      <c r="G504" s="1">
        <v>44946</v>
      </c>
    </row>
    <row r="505" spans="1:7">
      <c r="A505" t="s">
        <v>1266</v>
      </c>
      <c r="B505">
        <v>79</v>
      </c>
      <c r="C505" t="s">
        <v>1267</v>
      </c>
      <c r="D505">
        <v>105451</v>
      </c>
      <c r="E505" t="s">
        <v>36</v>
      </c>
      <c r="F505" t="s">
        <v>1268</v>
      </c>
      <c r="G505" s="1">
        <v>45069</v>
      </c>
    </row>
    <row r="506" spans="1:7">
      <c r="A506" t="s">
        <v>1269</v>
      </c>
      <c r="B506">
        <v>77</v>
      </c>
      <c r="C506" t="s">
        <v>1270</v>
      </c>
      <c r="D506">
        <v>198038</v>
      </c>
      <c r="E506" t="s">
        <v>27</v>
      </c>
      <c r="F506" t="s">
        <v>1271</v>
      </c>
      <c r="G506" s="1">
        <v>44984</v>
      </c>
    </row>
    <row r="507" spans="1:7">
      <c r="A507" t="s">
        <v>1272</v>
      </c>
      <c r="B507">
        <v>21</v>
      </c>
      <c r="C507" t="s">
        <v>1273</v>
      </c>
      <c r="D507">
        <v>61819</v>
      </c>
      <c r="E507" t="s">
        <v>36</v>
      </c>
      <c r="F507">
        <v>8013703658</v>
      </c>
      <c r="G507" s="1">
        <v>45171</v>
      </c>
    </row>
    <row r="508" spans="1:7">
      <c r="A508" t="s">
        <v>1274</v>
      </c>
      <c r="B508">
        <v>79</v>
      </c>
      <c r="C508" t="s">
        <v>1275</v>
      </c>
      <c r="D508">
        <v>130297</v>
      </c>
      <c r="E508" t="s">
        <v>12</v>
      </c>
      <c r="F508">
        <f>1-364-347-5979</f>
        <v>-6689</v>
      </c>
      <c r="G508" s="1">
        <v>45042</v>
      </c>
    </row>
    <row r="509" spans="1:7">
      <c r="A509" t="s">
        <v>1276</v>
      </c>
      <c r="B509">
        <v>46</v>
      </c>
      <c r="C509" t="s">
        <v>299</v>
      </c>
      <c r="D509">
        <v>170896</v>
      </c>
      <c r="E509" t="s">
        <v>9</v>
      </c>
      <c r="F509" t="s">
        <v>1277</v>
      </c>
      <c r="G509" t="s">
        <v>493</v>
      </c>
    </row>
    <row r="510" spans="1:7">
      <c r="A510" t="s">
        <v>1278</v>
      </c>
      <c r="B510">
        <v>0</v>
      </c>
      <c r="C510" t="s">
        <v>1279</v>
      </c>
      <c r="D510">
        <v>51638</v>
      </c>
      <c r="E510" t="s">
        <v>27</v>
      </c>
      <c r="F510">
        <f>1-716-964-1646</f>
        <v>-3325</v>
      </c>
      <c r="G510" s="1">
        <v>44952</v>
      </c>
    </row>
    <row r="511" spans="1:7">
      <c r="A511" t="s">
        <v>1280</v>
      </c>
      <c r="B511">
        <v>21</v>
      </c>
      <c r="C511" t="s">
        <v>594</v>
      </c>
      <c r="D511">
        <v>163023</v>
      </c>
      <c r="E511" t="s">
        <v>12</v>
      </c>
      <c r="F511">
        <f>1-883-927-4538</f>
        <v>-6347</v>
      </c>
      <c r="G511" s="1">
        <v>45281</v>
      </c>
    </row>
    <row r="512" spans="1:7">
      <c r="A512" t="s">
        <v>1281</v>
      </c>
      <c r="B512">
        <v>33</v>
      </c>
      <c r="C512" t="s">
        <v>1282</v>
      </c>
      <c r="D512">
        <v>62402</v>
      </c>
      <c r="E512" t="s">
        <v>36</v>
      </c>
      <c r="F512">
        <v>4831693156</v>
      </c>
      <c r="G512" s="1">
        <v>45155</v>
      </c>
    </row>
    <row r="513" spans="1:7">
      <c r="A513" t="s">
        <v>1283</v>
      </c>
      <c r="B513">
        <v>18</v>
      </c>
      <c r="C513" t="s">
        <v>1284</v>
      </c>
      <c r="D513">
        <v>142599</v>
      </c>
      <c r="E513" t="s">
        <v>9</v>
      </c>
      <c r="F513" t="s">
        <v>1285</v>
      </c>
      <c r="G513" s="1">
        <v>44950</v>
      </c>
    </row>
    <row r="514" spans="1:7">
      <c r="A514" t="s">
        <v>1286</v>
      </c>
      <c r="B514">
        <v>49</v>
      </c>
      <c r="C514" t="s">
        <v>1287</v>
      </c>
      <c r="E514" t="s">
        <v>36</v>
      </c>
      <c r="F514" t="s">
        <v>1288</v>
      </c>
      <c r="G514" s="1">
        <v>45028</v>
      </c>
    </row>
    <row r="515" spans="1:7">
      <c r="A515" t="s">
        <v>1289</v>
      </c>
      <c r="B515">
        <v>78</v>
      </c>
      <c r="C515" t="s">
        <v>1290</v>
      </c>
      <c r="D515">
        <v>136438</v>
      </c>
      <c r="E515" t="s">
        <v>9</v>
      </c>
      <c r="F515" t="s">
        <v>1291</v>
      </c>
      <c r="G515" s="1">
        <v>45113</v>
      </c>
    </row>
    <row r="516" spans="1:7">
      <c r="A516" t="s">
        <v>1292</v>
      </c>
      <c r="B516">
        <v>59</v>
      </c>
      <c r="C516" t="s">
        <v>1293</v>
      </c>
      <c r="D516">
        <v>191033</v>
      </c>
      <c r="E516" t="s">
        <v>12</v>
      </c>
      <c r="G516" s="1">
        <v>45096</v>
      </c>
    </row>
    <row r="517" spans="1:7">
      <c r="A517" t="s">
        <v>1294</v>
      </c>
      <c r="B517">
        <v>24</v>
      </c>
      <c r="C517" t="s">
        <v>1295</v>
      </c>
      <c r="D517">
        <v>100192</v>
      </c>
      <c r="E517" t="s">
        <v>36</v>
      </c>
      <c r="F517" t="s">
        <v>1296</v>
      </c>
      <c r="G517" s="1">
        <v>45189</v>
      </c>
    </row>
    <row r="518" spans="1:7">
      <c r="A518" t="s">
        <v>1297</v>
      </c>
      <c r="B518">
        <v>51</v>
      </c>
      <c r="C518" t="s">
        <v>1298</v>
      </c>
      <c r="D518">
        <v>90815</v>
      </c>
      <c r="E518" t="s">
        <v>36</v>
      </c>
      <c r="F518">
        <f>1-266-298-8148</f>
        <v>-8711</v>
      </c>
      <c r="G518" s="1">
        <v>45181</v>
      </c>
    </row>
    <row r="519" spans="1:7">
      <c r="A519" t="s">
        <v>1299</v>
      </c>
      <c r="B519">
        <v>77</v>
      </c>
      <c r="C519" t="s">
        <v>1300</v>
      </c>
      <c r="D519">
        <v>65507</v>
      </c>
      <c r="E519" t="s">
        <v>358</v>
      </c>
      <c r="F519">
        <f>1-134-653-6460</f>
        <v>-7246</v>
      </c>
      <c r="G519" t="s">
        <v>483</v>
      </c>
    </row>
    <row r="520" spans="1:7">
      <c r="A520" t="s">
        <v>1301</v>
      </c>
      <c r="B520">
        <v>42</v>
      </c>
      <c r="E520" t="s">
        <v>27</v>
      </c>
      <c r="F520">
        <f>1-165-330-4014</f>
        <v>-4508</v>
      </c>
      <c r="G520" s="1">
        <v>45068</v>
      </c>
    </row>
    <row r="521" spans="1:7">
      <c r="A521" t="s">
        <v>1302</v>
      </c>
      <c r="B521">
        <v>65</v>
      </c>
      <c r="C521" t="s">
        <v>1303</v>
      </c>
      <c r="E521" t="s">
        <v>27</v>
      </c>
      <c r="F521">
        <f>1-592-679-8144</f>
        <v>-9414</v>
      </c>
      <c r="G521" s="1">
        <v>45126</v>
      </c>
    </row>
    <row r="522" spans="1:7">
      <c r="A522" t="s">
        <v>1304</v>
      </c>
      <c r="B522">
        <v>66</v>
      </c>
      <c r="C522" t="s">
        <v>1305</v>
      </c>
      <c r="D522">
        <v>187828</v>
      </c>
      <c r="E522" t="s">
        <v>36</v>
      </c>
      <c r="F522">
        <f>1-445-966-9391</f>
        <v>-10801</v>
      </c>
      <c r="G522" s="1">
        <v>45005</v>
      </c>
    </row>
    <row r="523" spans="1:7">
      <c r="A523" t="s">
        <v>1306</v>
      </c>
      <c r="B523">
        <v>24</v>
      </c>
      <c r="C523" t="s">
        <v>1307</v>
      </c>
      <c r="D523">
        <v>99093</v>
      </c>
      <c r="E523" t="s">
        <v>9</v>
      </c>
      <c r="F523" t="s">
        <v>1308</v>
      </c>
      <c r="G523" s="1">
        <v>45232</v>
      </c>
    </row>
    <row r="524" spans="1:7">
      <c r="A524" t="s">
        <v>1309</v>
      </c>
      <c r="B524">
        <v>18</v>
      </c>
      <c r="C524" t="s">
        <v>1310</v>
      </c>
      <c r="D524">
        <v>95030</v>
      </c>
      <c r="E524" t="s">
        <v>27</v>
      </c>
      <c r="F524" t="s">
        <v>1311</v>
      </c>
      <c r="G524" s="1">
        <v>44927</v>
      </c>
    </row>
    <row r="525" spans="1:7">
      <c r="A525" t="s">
        <v>1312</v>
      </c>
      <c r="B525">
        <v>41</v>
      </c>
      <c r="D525">
        <v>197093</v>
      </c>
      <c r="E525" t="s">
        <v>36</v>
      </c>
      <c r="F525" t="s">
        <v>1313</v>
      </c>
      <c r="G525" s="1">
        <v>44989</v>
      </c>
    </row>
    <row r="526" spans="1:7">
      <c r="A526" t="s">
        <v>1314</v>
      </c>
      <c r="B526">
        <v>53</v>
      </c>
      <c r="C526" t="s">
        <v>1315</v>
      </c>
      <c r="D526">
        <v>92061</v>
      </c>
      <c r="E526" t="s">
        <v>9</v>
      </c>
      <c r="F526">
        <f>1-960-622-5609</f>
        <v>-7190</v>
      </c>
      <c r="G526" s="1">
        <v>45239</v>
      </c>
    </row>
    <row r="527" spans="1:7">
      <c r="A527" t="s">
        <v>1316</v>
      </c>
      <c r="B527">
        <v>64</v>
      </c>
      <c r="C527" t="s">
        <v>1317</v>
      </c>
      <c r="D527">
        <v>143550</v>
      </c>
      <c r="E527" t="s">
        <v>36</v>
      </c>
      <c r="F527" t="s">
        <v>1318</v>
      </c>
      <c r="G527" s="1">
        <v>45195</v>
      </c>
    </row>
    <row r="528" spans="1:7">
      <c r="A528" t="s">
        <v>1319</v>
      </c>
      <c r="B528">
        <v>26</v>
      </c>
      <c r="C528" t="s">
        <v>1320</v>
      </c>
      <c r="D528">
        <v>93059</v>
      </c>
      <c r="E528" t="s">
        <v>9</v>
      </c>
      <c r="G528" s="1">
        <v>45216</v>
      </c>
    </row>
    <row r="529" spans="1:7">
      <c r="A529" t="s">
        <v>1321</v>
      </c>
      <c r="B529">
        <v>26</v>
      </c>
      <c r="C529" t="s">
        <v>1322</v>
      </c>
      <c r="D529">
        <v>173704</v>
      </c>
      <c r="E529" t="s">
        <v>27</v>
      </c>
      <c r="F529">
        <v>4745332581</v>
      </c>
      <c r="G529" s="1">
        <v>45261</v>
      </c>
    </row>
    <row r="530" spans="1:7">
      <c r="B530">
        <v>35</v>
      </c>
      <c r="C530" t="s">
        <v>299</v>
      </c>
      <c r="D530">
        <v>161936</v>
      </c>
      <c r="E530" t="s">
        <v>12</v>
      </c>
      <c r="F530" t="s">
        <v>1323</v>
      </c>
      <c r="G530" s="1">
        <v>45259</v>
      </c>
    </row>
    <row r="531" spans="1:7">
      <c r="B531">
        <v>72</v>
      </c>
      <c r="C531" t="s">
        <v>1324</v>
      </c>
      <c r="D531">
        <v>178531</v>
      </c>
      <c r="E531" t="s">
        <v>27</v>
      </c>
      <c r="F531" t="s">
        <v>1325</v>
      </c>
      <c r="G531" s="1">
        <v>45152</v>
      </c>
    </row>
    <row r="532" spans="1:7">
      <c r="A532" t="s">
        <v>1326</v>
      </c>
      <c r="B532">
        <v>60</v>
      </c>
      <c r="C532" t="s">
        <v>1327</v>
      </c>
      <c r="D532">
        <v>83687</v>
      </c>
      <c r="E532" t="s">
        <v>9</v>
      </c>
      <c r="F532" t="s">
        <v>1328</v>
      </c>
      <c r="G532" s="1">
        <v>45285</v>
      </c>
    </row>
    <row r="533" spans="1:7">
      <c r="A533" t="s">
        <v>1329</v>
      </c>
      <c r="B533">
        <v>0</v>
      </c>
      <c r="C533" t="s">
        <v>1330</v>
      </c>
      <c r="D533">
        <v>129319</v>
      </c>
      <c r="E533" t="s">
        <v>36</v>
      </c>
      <c r="F533" t="s">
        <v>1331</v>
      </c>
      <c r="G533" s="1">
        <v>45268</v>
      </c>
    </row>
    <row r="534" spans="1:7">
      <c r="A534" t="s">
        <v>1332</v>
      </c>
      <c r="B534">
        <v>35</v>
      </c>
      <c r="C534" t="s">
        <v>1333</v>
      </c>
      <c r="E534" t="s">
        <v>27</v>
      </c>
      <c r="F534">
        <f>1-234-195-8672</f>
        <v>-9100</v>
      </c>
      <c r="G534" s="1">
        <v>45112</v>
      </c>
    </row>
    <row r="535" spans="1:7">
      <c r="A535" t="s">
        <v>1334</v>
      </c>
      <c r="B535">
        <v>31</v>
      </c>
      <c r="C535" t="s">
        <v>1335</v>
      </c>
      <c r="E535" t="s">
        <v>358</v>
      </c>
      <c r="F535" t="s">
        <v>1336</v>
      </c>
      <c r="G535" s="1">
        <v>45098</v>
      </c>
    </row>
    <row r="536" spans="1:7">
      <c r="A536" t="s">
        <v>1337</v>
      </c>
      <c r="B536">
        <v>20</v>
      </c>
      <c r="C536" t="s">
        <v>1338</v>
      </c>
      <c r="D536">
        <v>40589</v>
      </c>
      <c r="E536" t="s">
        <v>36</v>
      </c>
      <c r="F536" t="s">
        <v>1339</v>
      </c>
      <c r="G536" s="1">
        <v>45091</v>
      </c>
    </row>
    <row r="537" spans="1:7">
      <c r="A537" t="s">
        <v>1340</v>
      </c>
      <c r="B537">
        <v>46</v>
      </c>
      <c r="C537" t="s">
        <v>1341</v>
      </c>
      <c r="D537">
        <v>56654</v>
      </c>
      <c r="E537" t="s">
        <v>36</v>
      </c>
      <c r="F537" t="s">
        <v>1342</v>
      </c>
      <c r="G537" s="1">
        <v>45243</v>
      </c>
    </row>
    <row r="538" spans="1:7">
      <c r="A538" t="s">
        <v>1343</v>
      </c>
      <c r="C538" t="s">
        <v>1344</v>
      </c>
      <c r="D538">
        <v>95942</v>
      </c>
      <c r="E538" t="s">
        <v>12</v>
      </c>
      <c r="F538" t="s">
        <v>1345</v>
      </c>
      <c r="G538" s="1">
        <v>45142</v>
      </c>
    </row>
    <row r="539" spans="1:7">
      <c r="A539" t="s">
        <v>1346</v>
      </c>
      <c r="B539">
        <v>31</v>
      </c>
      <c r="C539" t="s">
        <v>1347</v>
      </c>
      <c r="D539">
        <v>188253</v>
      </c>
      <c r="E539" t="s">
        <v>36</v>
      </c>
      <c r="F539">
        <v>5885655423</v>
      </c>
      <c r="G539" s="1">
        <v>45158</v>
      </c>
    </row>
    <row r="540" spans="1:7">
      <c r="A540" t="s">
        <v>1348</v>
      </c>
      <c r="B540">
        <v>-25</v>
      </c>
      <c r="C540" t="s">
        <v>1349</v>
      </c>
      <c r="E540" t="s">
        <v>12</v>
      </c>
      <c r="F540">
        <v>9372856246</v>
      </c>
      <c r="G540" s="1">
        <v>44970</v>
      </c>
    </row>
    <row r="541" spans="1:7">
      <c r="A541" t="s">
        <v>1350</v>
      </c>
      <c r="B541">
        <v>52</v>
      </c>
      <c r="C541" t="s">
        <v>1351</v>
      </c>
      <c r="D541">
        <v>167207</v>
      </c>
      <c r="E541" t="s">
        <v>36</v>
      </c>
      <c r="F541" t="s">
        <v>1352</v>
      </c>
      <c r="G541" s="1">
        <v>45015</v>
      </c>
    </row>
    <row r="542" spans="1:7">
      <c r="B542">
        <v>42</v>
      </c>
      <c r="C542" t="s">
        <v>170</v>
      </c>
      <c r="D542">
        <v>102377</v>
      </c>
      <c r="E542" t="s">
        <v>873</v>
      </c>
      <c r="F542" t="s">
        <v>1353</v>
      </c>
      <c r="G542" s="1">
        <v>44965</v>
      </c>
    </row>
    <row r="543" spans="1:7">
      <c r="B543">
        <v>18</v>
      </c>
      <c r="C543" t="s">
        <v>1354</v>
      </c>
      <c r="D543">
        <v>161042</v>
      </c>
      <c r="E543" t="s">
        <v>27</v>
      </c>
      <c r="F543" t="s">
        <v>1355</v>
      </c>
      <c r="G543" s="1">
        <v>45046</v>
      </c>
    </row>
    <row r="544" spans="1:7">
      <c r="A544" t="s">
        <v>1356</v>
      </c>
      <c r="B544">
        <v>71</v>
      </c>
      <c r="C544" t="s">
        <v>1357</v>
      </c>
      <c r="D544">
        <v>61186</v>
      </c>
      <c r="E544" t="s">
        <v>27</v>
      </c>
      <c r="F544">
        <f>1-651-282-7520</f>
        <v>-8452</v>
      </c>
      <c r="G544" s="1">
        <v>45111</v>
      </c>
    </row>
    <row r="545" spans="1:7">
      <c r="A545" t="s">
        <v>1358</v>
      </c>
      <c r="B545">
        <v>76</v>
      </c>
      <c r="C545" t="s">
        <v>1359</v>
      </c>
      <c r="D545">
        <v>53816</v>
      </c>
      <c r="E545" t="s">
        <v>12</v>
      </c>
      <c r="F545" t="s">
        <v>1360</v>
      </c>
      <c r="G545" s="1">
        <v>44984</v>
      </c>
    </row>
    <row r="546" spans="1:7">
      <c r="A546" t="s">
        <v>1361</v>
      </c>
      <c r="B546">
        <v>68</v>
      </c>
      <c r="C546" t="s">
        <v>1362</v>
      </c>
      <c r="E546" t="s">
        <v>36</v>
      </c>
      <c r="F546" t="s">
        <v>1363</v>
      </c>
      <c r="G546" s="1">
        <v>44977</v>
      </c>
    </row>
    <row r="547" spans="1:7">
      <c r="A547" t="s">
        <v>1364</v>
      </c>
      <c r="B547">
        <v>150</v>
      </c>
      <c r="C547" t="s">
        <v>1365</v>
      </c>
      <c r="D547">
        <v>116436</v>
      </c>
      <c r="E547" t="s">
        <v>36</v>
      </c>
      <c r="F547" t="s">
        <v>1366</v>
      </c>
      <c r="G547" s="1">
        <v>45237</v>
      </c>
    </row>
    <row r="548" spans="1:7">
      <c r="A548" t="s">
        <v>1367</v>
      </c>
      <c r="B548">
        <v>23</v>
      </c>
      <c r="C548" t="s">
        <v>1368</v>
      </c>
      <c r="D548">
        <v>183885</v>
      </c>
      <c r="E548" t="s">
        <v>9</v>
      </c>
      <c r="F548" t="s">
        <v>1369</v>
      </c>
      <c r="G548" s="1">
        <v>45186</v>
      </c>
    </row>
    <row r="549" spans="1:7">
      <c r="A549" t="s">
        <v>1370</v>
      </c>
      <c r="B549">
        <v>53</v>
      </c>
      <c r="C549" t="s">
        <v>299</v>
      </c>
      <c r="D549">
        <v>34765</v>
      </c>
      <c r="E549" t="s">
        <v>12</v>
      </c>
      <c r="F549" t="s">
        <v>1371</v>
      </c>
      <c r="G549" s="1">
        <v>45089</v>
      </c>
    </row>
    <row r="550" spans="1:7">
      <c r="A550" t="s">
        <v>1372</v>
      </c>
      <c r="B550">
        <v>31</v>
      </c>
      <c r="C550" t="s">
        <v>1373</v>
      </c>
      <c r="D550">
        <v>43233</v>
      </c>
      <c r="E550" t="s">
        <v>36</v>
      </c>
      <c r="G550" t="s">
        <v>180</v>
      </c>
    </row>
    <row r="551" spans="1:7">
      <c r="A551" t="s">
        <v>1374</v>
      </c>
      <c r="B551">
        <v>53</v>
      </c>
      <c r="C551" t="s">
        <v>1375</v>
      </c>
      <c r="D551">
        <v>108537</v>
      </c>
      <c r="E551" t="s">
        <v>12</v>
      </c>
      <c r="F551">
        <v>3630098083</v>
      </c>
      <c r="G551" s="1">
        <v>45140</v>
      </c>
    </row>
    <row r="552" spans="1:7">
      <c r="A552" t="s">
        <v>1376</v>
      </c>
      <c r="B552">
        <v>45</v>
      </c>
      <c r="C552" t="s">
        <v>1377</v>
      </c>
      <c r="D552">
        <v>70643</v>
      </c>
      <c r="E552" t="s">
        <v>12</v>
      </c>
      <c r="F552">
        <f>1-230-740-4746</f>
        <v>-5715</v>
      </c>
      <c r="G552" s="1">
        <v>45004</v>
      </c>
    </row>
    <row r="553" spans="1:7">
      <c r="A553" t="s">
        <v>1378</v>
      </c>
      <c r="B553">
        <v>25</v>
      </c>
      <c r="C553" t="s">
        <v>1379</v>
      </c>
      <c r="E553" t="s">
        <v>9</v>
      </c>
      <c r="F553">
        <f>1-360-806-2619</f>
        <v>-3784</v>
      </c>
      <c r="G553" s="1">
        <v>44957</v>
      </c>
    </row>
    <row r="554" spans="1:7">
      <c r="A554" t="s">
        <v>1380</v>
      </c>
      <c r="B554">
        <v>50</v>
      </c>
      <c r="C554" t="s">
        <v>1381</v>
      </c>
      <c r="D554">
        <v>40211</v>
      </c>
      <c r="E554" t="s">
        <v>294</v>
      </c>
      <c r="F554" t="s">
        <v>1382</v>
      </c>
      <c r="G554" s="1">
        <v>45213</v>
      </c>
    </row>
    <row r="555" spans="1:7">
      <c r="A555" t="s">
        <v>1383</v>
      </c>
      <c r="B555">
        <v>72</v>
      </c>
      <c r="C555" t="s">
        <v>1384</v>
      </c>
      <c r="D555">
        <v>93928</v>
      </c>
      <c r="E555" t="s">
        <v>12</v>
      </c>
      <c r="F555">
        <f>1-722-980-7215</f>
        <v>-8916</v>
      </c>
      <c r="G555" s="1">
        <v>45261</v>
      </c>
    </row>
    <row r="556" spans="1:7">
      <c r="A556" t="s">
        <v>1385</v>
      </c>
      <c r="B556">
        <v>33</v>
      </c>
      <c r="C556" t="s">
        <v>518</v>
      </c>
      <c r="D556">
        <v>44671</v>
      </c>
      <c r="E556" t="s">
        <v>12</v>
      </c>
      <c r="F556" t="s">
        <v>1386</v>
      </c>
      <c r="G556" s="1">
        <v>45125</v>
      </c>
    </row>
    <row r="557" spans="1:7">
      <c r="A557" t="s">
        <v>1387</v>
      </c>
      <c r="B557">
        <v>63</v>
      </c>
      <c r="C557" t="s">
        <v>1388</v>
      </c>
      <c r="D557">
        <v>88002</v>
      </c>
      <c r="E557" t="s">
        <v>9</v>
      </c>
      <c r="F557" t="s">
        <v>1389</v>
      </c>
      <c r="G557" s="1">
        <v>44946</v>
      </c>
    </row>
    <row r="558" spans="1:7">
      <c r="A558" t="s">
        <v>1390</v>
      </c>
      <c r="B558">
        <v>53</v>
      </c>
      <c r="C558" t="s">
        <v>1391</v>
      </c>
      <c r="D558">
        <v>155266</v>
      </c>
      <c r="E558" t="s">
        <v>9</v>
      </c>
      <c r="G558" s="1">
        <v>45045</v>
      </c>
    </row>
    <row r="559" spans="1:7">
      <c r="A559" t="s">
        <v>1392</v>
      </c>
      <c r="B559">
        <v>55</v>
      </c>
      <c r="C559" t="s">
        <v>1393</v>
      </c>
      <c r="D559">
        <v>194005</v>
      </c>
      <c r="E559" t="s">
        <v>12</v>
      </c>
      <c r="F559">
        <v>4869746864</v>
      </c>
      <c r="G559" s="1">
        <v>45127</v>
      </c>
    </row>
    <row r="560" spans="1:7">
      <c r="A560" t="s">
        <v>1394</v>
      </c>
      <c r="B560">
        <v>66</v>
      </c>
      <c r="C560" t="s">
        <v>1395</v>
      </c>
      <c r="D560">
        <v>190206</v>
      </c>
      <c r="E560" t="s">
        <v>90</v>
      </c>
      <c r="F560" t="s">
        <v>1396</v>
      </c>
      <c r="G560" s="1">
        <v>45144</v>
      </c>
    </row>
    <row r="561" spans="1:7">
      <c r="A561" t="s">
        <v>1397</v>
      </c>
      <c r="B561">
        <v>63</v>
      </c>
      <c r="D561">
        <v>182948</v>
      </c>
      <c r="E561" t="s">
        <v>27</v>
      </c>
      <c r="F561">
        <v>8432663268</v>
      </c>
      <c r="G561" s="1">
        <v>45013</v>
      </c>
    </row>
    <row r="562" spans="1:7">
      <c r="A562" t="s">
        <v>1398</v>
      </c>
      <c r="B562">
        <v>45</v>
      </c>
      <c r="C562" t="s">
        <v>1399</v>
      </c>
      <c r="D562">
        <v>121321</v>
      </c>
      <c r="E562" t="s">
        <v>27</v>
      </c>
      <c r="F562">
        <v>4431481733</v>
      </c>
      <c r="G562" t="s">
        <v>81</v>
      </c>
    </row>
    <row r="563" spans="1:7">
      <c r="A563" t="s">
        <v>1400</v>
      </c>
      <c r="B563">
        <v>0</v>
      </c>
      <c r="C563" t="s">
        <v>1401</v>
      </c>
      <c r="D563">
        <v>181899</v>
      </c>
      <c r="E563" t="s">
        <v>9</v>
      </c>
      <c r="F563" t="s">
        <v>1402</v>
      </c>
      <c r="G563" s="1">
        <v>45185</v>
      </c>
    </row>
    <row r="564" spans="1:7">
      <c r="A564" t="s">
        <v>1403</v>
      </c>
      <c r="B564">
        <v>43</v>
      </c>
      <c r="C564" t="s">
        <v>1404</v>
      </c>
      <c r="D564">
        <v>46532</v>
      </c>
      <c r="E564" t="s">
        <v>9</v>
      </c>
      <c r="F564" t="s">
        <v>1405</v>
      </c>
      <c r="G564" s="1">
        <v>45053</v>
      </c>
    </row>
    <row r="565" spans="1:7">
      <c r="A565" t="s">
        <v>1406</v>
      </c>
      <c r="B565">
        <v>46</v>
      </c>
      <c r="C565" t="s">
        <v>1407</v>
      </c>
      <c r="D565">
        <v>137791</v>
      </c>
      <c r="E565" t="s">
        <v>12</v>
      </c>
      <c r="F565" t="s">
        <v>1408</v>
      </c>
      <c r="G565" s="1">
        <v>45251</v>
      </c>
    </row>
    <row r="566" spans="1:7">
      <c r="A566" t="s">
        <v>1409</v>
      </c>
      <c r="B566">
        <v>35</v>
      </c>
      <c r="C566" t="s">
        <v>1410</v>
      </c>
      <c r="D566">
        <v>37435</v>
      </c>
      <c r="E566" t="s">
        <v>27</v>
      </c>
      <c r="F566">
        <v>5731402291</v>
      </c>
      <c r="G566" s="1">
        <v>45265</v>
      </c>
    </row>
    <row r="567" spans="1:7">
      <c r="A567" t="s">
        <v>1411</v>
      </c>
      <c r="C567" t="s">
        <v>1412</v>
      </c>
      <c r="D567">
        <v>64485</v>
      </c>
      <c r="E567" t="s">
        <v>12</v>
      </c>
      <c r="F567" t="s">
        <v>1413</v>
      </c>
      <c r="G567" s="1">
        <v>45010</v>
      </c>
    </row>
    <row r="568" spans="1:7">
      <c r="A568" t="s">
        <v>1414</v>
      </c>
      <c r="B568">
        <v>30</v>
      </c>
      <c r="C568" t="s">
        <v>1415</v>
      </c>
      <c r="D568">
        <v>191304</v>
      </c>
      <c r="E568" t="s">
        <v>18</v>
      </c>
      <c r="F568" t="s">
        <v>1416</v>
      </c>
      <c r="G568" s="1">
        <v>45117</v>
      </c>
    </row>
    <row r="569" spans="1:7">
      <c r="A569" t="s">
        <v>1417</v>
      </c>
      <c r="B569">
        <v>51</v>
      </c>
      <c r="C569" t="s">
        <v>1418</v>
      </c>
      <c r="D569">
        <v>167521</v>
      </c>
      <c r="E569" t="s">
        <v>12</v>
      </c>
      <c r="F569" t="s">
        <v>1419</v>
      </c>
      <c r="G569" s="1">
        <v>44964</v>
      </c>
    </row>
    <row r="570" spans="1:7">
      <c r="A570" t="s">
        <v>1420</v>
      </c>
      <c r="B570">
        <v>27</v>
      </c>
      <c r="C570" t="s">
        <v>1421</v>
      </c>
      <c r="D570">
        <v>42963</v>
      </c>
      <c r="E570" t="s">
        <v>9</v>
      </c>
      <c r="F570" t="s">
        <v>1422</v>
      </c>
      <c r="G570" s="1">
        <v>45152</v>
      </c>
    </row>
    <row r="571" spans="1:7">
      <c r="A571" t="s">
        <v>1423</v>
      </c>
      <c r="B571">
        <v>66</v>
      </c>
      <c r="C571" t="s">
        <v>1424</v>
      </c>
      <c r="D571">
        <v>110863</v>
      </c>
      <c r="E571" t="s">
        <v>36</v>
      </c>
      <c r="F571" t="s">
        <v>1425</v>
      </c>
      <c r="G571" s="1">
        <v>45172</v>
      </c>
    </row>
    <row r="572" spans="1:7">
      <c r="B572">
        <v>24</v>
      </c>
      <c r="C572" t="s">
        <v>1426</v>
      </c>
      <c r="D572">
        <v>143627</v>
      </c>
      <c r="E572" t="s">
        <v>12</v>
      </c>
      <c r="F572" t="s">
        <v>1427</v>
      </c>
      <c r="G572" s="1">
        <v>45108</v>
      </c>
    </row>
    <row r="573" spans="1:7">
      <c r="A573" t="s">
        <v>1428</v>
      </c>
      <c r="B573">
        <v>38</v>
      </c>
      <c r="C573" t="s">
        <v>594</v>
      </c>
      <c r="E573" t="s">
        <v>12</v>
      </c>
      <c r="F573" t="s">
        <v>1429</v>
      </c>
      <c r="G573" s="1">
        <v>45042</v>
      </c>
    </row>
    <row r="574" spans="1:7">
      <c r="A574" t="s">
        <v>1430</v>
      </c>
      <c r="B574">
        <v>27</v>
      </c>
      <c r="C574" t="s">
        <v>1431</v>
      </c>
      <c r="D574">
        <v>120697</v>
      </c>
      <c r="E574" t="s">
        <v>9</v>
      </c>
      <c r="F574" t="s">
        <v>1432</v>
      </c>
      <c r="G574" s="1">
        <v>44974</v>
      </c>
    </row>
    <row r="575" spans="1:7">
      <c r="B575">
        <v>22</v>
      </c>
      <c r="C575" t="s">
        <v>1433</v>
      </c>
      <c r="D575">
        <v>65362</v>
      </c>
      <c r="E575" t="s">
        <v>27</v>
      </c>
      <c r="G575" s="1">
        <v>44965</v>
      </c>
    </row>
    <row r="576" spans="1:7">
      <c r="A576" t="s">
        <v>1434</v>
      </c>
      <c r="B576">
        <v>71</v>
      </c>
      <c r="C576" t="s">
        <v>1435</v>
      </c>
      <c r="D576">
        <v>162040</v>
      </c>
      <c r="E576" t="s">
        <v>27</v>
      </c>
      <c r="F576">
        <f>1-425-852-2792</f>
        <v>-4068</v>
      </c>
      <c r="G576" s="1">
        <v>44930</v>
      </c>
    </row>
    <row r="577" spans="1:7">
      <c r="A577" t="s">
        <v>1436</v>
      </c>
      <c r="B577">
        <v>999</v>
      </c>
      <c r="C577" t="s">
        <v>1437</v>
      </c>
      <c r="D577">
        <v>55020</v>
      </c>
      <c r="E577" t="s">
        <v>9</v>
      </c>
      <c r="G577" s="1">
        <v>44978</v>
      </c>
    </row>
    <row r="578" spans="1:7">
      <c r="A578" t="s">
        <v>1438</v>
      </c>
      <c r="B578">
        <v>28</v>
      </c>
      <c r="C578" t="s">
        <v>1439</v>
      </c>
      <c r="D578">
        <v>101820</v>
      </c>
      <c r="E578" t="s">
        <v>12</v>
      </c>
      <c r="F578">
        <f>1-614-609-8245</f>
        <v>-9467</v>
      </c>
      <c r="G578" s="1">
        <v>45240</v>
      </c>
    </row>
    <row r="579" spans="1:7">
      <c r="A579" t="s">
        <v>1440</v>
      </c>
      <c r="B579">
        <v>39</v>
      </c>
      <c r="C579" t="s">
        <v>1441</v>
      </c>
      <c r="D579">
        <v>31306</v>
      </c>
      <c r="E579" t="s">
        <v>9</v>
      </c>
      <c r="F579">
        <f>1-116-216-8583</f>
        <v>-8914</v>
      </c>
      <c r="G579" s="1">
        <v>44991</v>
      </c>
    </row>
    <row r="580" spans="1:7">
      <c r="A580" t="s">
        <v>1442</v>
      </c>
      <c r="B580">
        <v>21</v>
      </c>
      <c r="C580" t="s">
        <v>1443</v>
      </c>
      <c r="E580" t="s">
        <v>12</v>
      </c>
      <c r="F580" t="s">
        <v>1444</v>
      </c>
      <c r="G580" s="1">
        <v>45163</v>
      </c>
    </row>
    <row r="581" spans="1:7">
      <c r="A581" t="s">
        <v>1445</v>
      </c>
      <c r="B581">
        <v>300</v>
      </c>
      <c r="C581" t="s">
        <v>1446</v>
      </c>
      <c r="D581">
        <v>119719</v>
      </c>
      <c r="E581" t="s">
        <v>36</v>
      </c>
      <c r="F581" t="s">
        <v>1447</v>
      </c>
      <c r="G581" s="1">
        <v>45245</v>
      </c>
    </row>
    <row r="582" spans="1:7">
      <c r="A582" t="s">
        <v>1448</v>
      </c>
      <c r="B582">
        <v>72</v>
      </c>
      <c r="C582" t="s">
        <v>1449</v>
      </c>
      <c r="D582">
        <v>47199</v>
      </c>
      <c r="E582" t="s">
        <v>9</v>
      </c>
      <c r="F582" t="s">
        <v>1450</v>
      </c>
      <c r="G582" s="1">
        <v>45089</v>
      </c>
    </row>
    <row r="583" spans="1:7">
      <c r="A583" t="s">
        <v>1451</v>
      </c>
      <c r="B583">
        <v>65</v>
      </c>
      <c r="C583" t="s">
        <v>1452</v>
      </c>
      <c r="D583">
        <v>117736</v>
      </c>
      <c r="E583" t="s">
        <v>9</v>
      </c>
      <c r="F583" t="s">
        <v>1453</v>
      </c>
      <c r="G583" s="1">
        <v>45155</v>
      </c>
    </row>
    <row r="584" spans="1:7">
      <c r="A584" t="s">
        <v>1454</v>
      </c>
      <c r="B584">
        <v>79</v>
      </c>
      <c r="C584" t="s">
        <v>1455</v>
      </c>
      <c r="E584" t="s">
        <v>36</v>
      </c>
      <c r="F584" t="s">
        <v>1456</v>
      </c>
      <c r="G584" s="1">
        <v>45262</v>
      </c>
    </row>
    <row r="585" spans="1:7">
      <c r="A585" t="s">
        <v>1457</v>
      </c>
      <c r="B585">
        <v>25</v>
      </c>
      <c r="C585" t="s">
        <v>1458</v>
      </c>
      <c r="D585">
        <v>51498</v>
      </c>
      <c r="E585" t="s">
        <v>12</v>
      </c>
      <c r="F585">
        <f>1-840-403-3947</f>
        <v>-5189</v>
      </c>
      <c r="G585" t="s">
        <v>1459</v>
      </c>
    </row>
    <row r="586" spans="1:7">
      <c r="A586" t="s">
        <v>1460</v>
      </c>
      <c r="B586">
        <v>56</v>
      </c>
      <c r="C586" t="s">
        <v>1461</v>
      </c>
      <c r="D586">
        <v>167605</v>
      </c>
      <c r="E586" t="s">
        <v>9</v>
      </c>
      <c r="F586">
        <f>1-619-493-8449</f>
        <v>-9560</v>
      </c>
      <c r="G586" s="1">
        <v>45027</v>
      </c>
    </row>
    <row r="587" spans="1:7">
      <c r="A587" t="s">
        <v>1462</v>
      </c>
      <c r="B587">
        <v>40</v>
      </c>
      <c r="C587" t="s">
        <v>1463</v>
      </c>
      <c r="D587">
        <v>170148</v>
      </c>
      <c r="E587" t="s">
        <v>36</v>
      </c>
      <c r="F587" t="s">
        <v>1464</v>
      </c>
      <c r="G587" s="1">
        <v>45246</v>
      </c>
    </row>
    <row r="588" spans="1:7">
      <c r="A588" t="s">
        <v>1465</v>
      </c>
      <c r="B588">
        <v>42</v>
      </c>
      <c r="C588" t="s">
        <v>1466</v>
      </c>
      <c r="D588">
        <v>140361</v>
      </c>
      <c r="E588" t="s">
        <v>9</v>
      </c>
      <c r="F588">
        <f>1-571-455-6350</f>
        <v>-7375</v>
      </c>
      <c r="G588" s="1">
        <v>45101</v>
      </c>
    </row>
    <row r="589" spans="1:7">
      <c r="A589" t="s">
        <v>1467</v>
      </c>
      <c r="B589">
        <v>75</v>
      </c>
      <c r="C589" t="s">
        <v>1468</v>
      </c>
      <c r="D589">
        <v>129694</v>
      </c>
      <c r="E589" t="s">
        <v>12</v>
      </c>
      <c r="F589" t="s">
        <v>1469</v>
      </c>
      <c r="G589" s="1">
        <v>45223</v>
      </c>
    </row>
    <row r="590" spans="1:7">
      <c r="A590" t="s">
        <v>1470</v>
      </c>
      <c r="B590">
        <v>21</v>
      </c>
      <c r="C590" t="s">
        <v>1471</v>
      </c>
      <c r="D590">
        <v>62574</v>
      </c>
      <c r="E590" t="s">
        <v>12</v>
      </c>
      <c r="F590" t="s">
        <v>1472</v>
      </c>
      <c r="G590" t="s">
        <v>81</v>
      </c>
    </row>
    <row r="591" spans="1:7">
      <c r="A591" t="s">
        <v>1473</v>
      </c>
      <c r="B591">
        <v>63</v>
      </c>
      <c r="C591" t="s">
        <v>1474</v>
      </c>
      <c r="E591" t="s">
        <v>36</v>
      </c>
      <c r="F591">
        <v>4005855396</v>
      </c>
      <c r="G591" s="1">
        <v>45050</v>
      </c>
    </row>
    <row r="592" spans="1:7">
      <c r="A592" t="s">
        <v>1475</v>
      </c>
      <c r="B592">
        <v>34</v>
      </c>
      <c r="C592" t="s">
        <v>1476</v>
      </c>
      <c r="D592">
        <v>143985</v>
      </c>
      <c r="E592" t="s">
        <v>9</v>
      </c>
      <c r="F592">
        <v>7055585266</v>
      </c>
      <c r="G592" s="1">
        <v>45114</v>
      </c>
    </row>
    <row r="593" spans="1:7">
      <c r="A593" t="s">
        <v>1477</v>
      </c>
      <c r="B593">
        <v>-10</v>
      </c>
      <c r="C593" t="s">
        <v>1478</v>
      </c>
      <c r="D593">
        <v>45791</v>
      </c>
      <c r="E593" t="s">
        <v>27</v>
      </c>
      <c r="F593">
        <f>1-843-681-7639</f>
        <v>-9162</v>
      </c>
      <c r="G593" s="1">
        <v>45059</v>
      </c>
    </row>
    <row r="594" spans="1:7">
      <c r="A594" t="s">
        <v>1479</v>
      </c>
      <c r="B594">
        <v>50</v>
      </c>
      <c r="C594" t="s">
        <v>1480</v>
      </c>
      <c r="D594">
        <v>125082</v>
      </c>
      <c r="E594" t="s">
        <v>36</v>
      </c>
      <c r="F594" t="s">
        <v>1481</v>
      </c>
      <c r="G594" s="1">
        <v>45009</v>
      </c>
    </row>
    <row r="595" spans="1:7">
      <c r="A595" t="s">
        <v>1482</v>
      </c>
      <c r="B595">
        <v>51</v>
      </c>
      <c r="C595" t="s">
        <v>1483</v>
      </c>
      <c r="D595">
        <v>177764</v>
      </c>
      <c r="E595" t="s">
        <v>36</v>
      </c>
      <c r="F595" t="s">
        <v>1484</v>
      </c>
      <c r="G595" s="1">
        <v>45024</v>
      </c>
    </row>
    <row r="596" spans="1:7">
      <c r="A596" t="s">
        <v>1485</v>
      </c>
      <c r="B596">
        <v>130</v>
      </c>
      <c r="C596" t="s">
        <v>1486</v>
      </c>
      <c r="D596">
        <v>105357</v>
      </c>
      <c r="E596" t="s">
        <v>9</v>
      </c>
      <c r="F596">
        <f>1-205-515-2752</f>
        <v>-3471</v>
      </c>
      <c r="G596" s="1">
        <v>45173</v>
      </c>
    </row>
    <row r="597" spans="1:7">
      <c r="A597" t="s">
        <v>1487</v>
      </c>
      <c r="B597">
        <v>75</v>
      </c>
      <c r="C597" t="s">
        <v>1488</v>
      </c>
      <c r="D597">
        <v>142138</v>
      </c>
      <c r="E597" t="s">
        <v>9</v>
      </c>
      <c r="F597" t="s">
        <v>1489</v>
      </c>
      <c r="G597" s="1">
        <v>45079</v>
      </c>
    </row>
    <row r="598" spans="1:7">
      <c r="A598" t="s">
        <v>1490</v>
      </c>
      <c r="B598">
        <v>20</v>
      </c>
      <c r="C598" t="s">
        <v>1491</v>
      </c>
      <c r="D598">
        <v>161642</v>
      </c>
      <c r="E598" t="s">
        <v>36</v>
      </c>
      <c r="F598" t="s">
        <v>1492</v>
      </c>
      <c r="G598" s="1">
        <v>44970</v>
      </c>
    </row>
    <row r="599" spans="1:7">
      <c r="A599" t="s">
        <v>1493</v>
      </c>
      <c r="B599">
        <v>46</v>
      </c>
      <c r="C599" t="s">
        <v>1494</v>
      </c>
      <c r="D599">
        <v>100246</v>
      </c>
      <c r="E599" t="s">
        <v>27</v>
      </c>
      <c r="F599" t="s">
        <v>1495</v>
      </c>
      <c r="G599" s="1">
        <v>45128</v>
      </c>
    </row>
    <row r="600" spans="1:7">
      <c r="A600" t="s">
        <v>1496</v>
      </c>
      <c r="B600">
        <v>32</v>
      </c>
      <c r="C600" t="s">
        <v>1497</v>
      </c>
      <c r="D600">
        <v>54503</v>
      </c>
      <c r="E600" t="s">
        <v>27</v>
      </c>
      <c r="F600" t="s">
        <v>1498</v>
      </c>
      <c r="G600" s="1">
        <v>45107</v>
      </c>
    </row>
    <row r="601" spans="1:7">
      <c r="A601" t="s">
        <v>1499</v>
      </c>
      <c r="B601">
        <v>40</v>
      </c>
      <c r="C601" t="s">
        <v>1500</v>
      </c>
      <c r="D601">
        <v>93580</v>
      </c>
      <c r="E601" t="s">
        <v>12</v>
      </c>
      <c r="F601" t="s">
        <v>1501</v>
      </c>
      <c r="G601" s="1">
        <v>45286</v>
      </c>
    </row>
    <row r="602" spans="1:7">
      <c r="A602" t="s">
        <v>1502</v>
      </c>
      <c r="B602">
        <v>0</v>
      </c>
      <c r="C602" t="s">
        <v>1503</v>
      </c>
      <c r="D602">
        <v>50187</v>
      </c>
      <c r="E602" t="s">
        <v>9</v>
      </c>
      <c r="F602" t="s">
        <v>1504</v>
      </c>
      <c r="G602" s="1">
        <v>45104</v>
      </c>
    </row>
    <row r="603" spans="1:7">
      <c r="A603" t="s">
        <v>1505</v>
      </c>
      <c r="B603">
        <v>49</v>
      </c>
      <c r="C603" t="s">
        <v>1506</v>
      </c>
      <c r="D603">
        <v>91822</v>
      </c>
      <c r="E603" t="s">
        <v>294</v>
      </c>
      <c r="F603">
        <v>2394184320</v>
      </c>
      <c r="G603" s="1">
        <v>44937</v>
      </c>
    </row>
    <row r="604" spans="1:7">
      <c r="A604" t="s">
        <v>1507</v>
      </c>
      <c r="B604">
        <v>61</v>
      </c>
      <c r="C604" t="s">
        <v>1508</v>
      </c>
      <c r="D604">
        <v>65030</v>
      </c>
      <c r="E604" t="s">
        <v>36</v>
      </c>
      <c r="F604">
        <f>1-912-838-9432</f>
        <v>-11181</v>
      </c>
      <c r="G604" s="1">
        <v>45069</v>
      </c>
    </row>
    <row r="605" spans="1:7">
      <c r="A605" t="s">
        <v>1509</v>
      </c>
      <c r="B605">
        <v>32</v>
      </c>
      <c r="C605" t="s">
        <v>1510</v>
      </c>
      <c r="D605">
        <v>41781</v>
      </c>
      <c r="E605" t="s">
        <v>36</v>
      </c>
      <c r="F605" t="s">
        <v>1511</v>
      </c>
      <c r="G605" s="1">
        <v>45278</v>
      </c>
    </row>
    <row r="606" spans="1:7">
      <c r="A606" t="s">
        <v>1512</v>
      </c>
      <c r="B606">
        <v>39</v>
      </c>
      <c r="C606" t="s">
        <v>1513</v>
      </c>
      <c r="D606">
        <v>82446</v>
      </c>
      <c r="E606" t="s">
        <v>12</v>
      </c>
      <c r="F606" t="s">
        <v>1514</v>
      </c>
      <c r="G606" s="1">
        <v>45184</v>
      </c>
    </row>
    <row r="607" spans="1:7">
      <c r="B607">
        <v>47</v>
      </c>
      <c r="C607" t="s">
        <v>1515</v>
      </c>
      <c r="D607">
        <v>196536</v>
      </c>
      <c r="E607" t="s">
        <v>9</v>
      </c>
      <c r="F607">
        <v>3334799664</v>
      </c>
      <c r="G607" s="1">
        <v>44932</v>
      </c>
    </row>
    <row r="608" spans="1:7">
      <c r="A608" t="s">
        <v>1516</v>
      </c>
      <c r="B608">
        <v>68</v>
      </c>
      <c r="C608" t="s">
        <v>61</v>
      </c>
      <c r="D608">
        <v>172482</v>
      </c>
      <c r="E608" t="s">
        <v>27</v>
      </c>
      <c r="F608" t="s">
        <v>1517</v>
      </c>
      <c r="G608" s="1">
        <v>44952</v>
      </c>
    </row>
    <row r="609" spans="1:7">
      <c r="A609" t="s">
        <v>1518</v>
      </c>
      <c r="B609">
        <v>64</v>
      </c>
      <c r="C609" t="s">
        <v>1519</v>
      </c>
      <c r="D609">
        <v>188124</v>
      </c>
      <c r="E609" t="s">
        <v>9</v>
      </c>
      <c r="F609" t="s">
        <v>1520</v>
      </c>
      <c r="G609" s="1">
        <v>45145</v>
      </c>
    </row>
    <row r="610" spans="1:7">
      <c r="A610" t="s">
        <v>1521</v>
      </c>
      <c r="B610">
        <v>20</v>
      </c>
      <c r="C610" t="s">
        <v>1522</v>
      </c>
      <c r="D610">
        <v>117924</v>
      </c>
      <c r="E610" t="s">
        <v>36</v>
      </c>
      <c r="F610">
        <f>1-483-687-3898</f>
        <v>-5067</v>
      </c>
      <c r="G610" s="1">
        <v>45017</v>
      </c>
    </row>
    <row r="611" spans="1:7">
      <c r="A611" t="s">
        <v>1523</v>
      </c>
      <c r="B611">
        <v>79</v>
      </c>
      <c r="E611" t="s">
        <v>12</v>
      </c>
      <c r="G611" s="1">
        <v>45014</v>
      </c>
    </row>
    <row r="612" spans="1:7">
      <c r="A612" t="s">
        <v>1524</v>
      </c>
      <c r="B612">
        <v>48</v>
      </c>
      <c r="C612" t="s">
        <v>1525</v>
      </c>
      <c r="D612">
        <v>153714</v>
      </c>
      <c r="F612" t="s">
        <v>1526</v>
      </c>
      <c r="G612" s="1">
        <v>45166</v>
      </c>
    </row>
    <row r="613" spans="1:7">
      <c r="A613" t="s">
        <v>1527</v>
      </c>
      <c r="B613">
        <v>29</v>
      </c>
      <c r="C613" t="s">
        <v>1528</v>
      </c>
      <c r="D613">
        <v>147116</v>
      </c>
      <c r="E613" t="s">
        <v>9</v>
      </c>
      <c r="F613" t="s">
        <v>1529</v>
      </c>
      <c r="G613" t="s">
        <v>1459</v>
      </c>
    </row>
    <row r="614" spans="1:7">
      <c r="A614" t="s">
        <v>1530</v>
      </c>
      <c r="B614">
        <v>34</v>
      </c>
      <c r="C614" t="s">
        <v>1531</v>
      </c>
      <c r="D614">
        <v>67755</v>
      </c>
      <c r="E614" t="s">
        <v>36</v>
      </c>
      <c r="F614" t="s">
        <v>1532</v>
      </c>
      <c r="G614" s="1">
        <v>45154</v>
      </c>
    </row>
    <row r="615" spans="1:7">
      <c r="A615" t="s">
        <v>1533</v>
      </c>
      <c r="B615">
        <v>54</v>
      </c>
      <c r="D615">
        <v>64754</v>
      </c>
      <c r="E615" t="s">
        <v>294</v>
      </c>
      <c r="F615" t="s">
        <v>1534</v>
      </c>
      <c r="G615" s="1">
        <v>45216</v>
      </c>
    </row>
    <row r="616" spans="1:7">
      <c r="A616" t="s">
        <v>1535</v>
      </c>
      <c r="B616">
        <v>0</v>
      </c>
      <c r="C616" t="s">
        <v>1536</v>
      </c>
      <c r="D616">
        <v>101947</v>
      </c>
      <c r="E616" t="s">
        <v>27</v>
      </c>
      <c r="F616" t="s">
        <v>1537</v>
      </c>
      <c r="G616" s="1">
        <v>44948</v>
      </c>
    </row>
    <row r="617" spans="1:7">
      <c r="A617" t="s">
        <v>1538</v>
      </c>
      <c r="B617">
        <v>30</v>
      </c>
      <c r="D617">
        <v>183939</v>
      </c>
      <c r="E617" t="s">
        <v>27</v>
      </c>
      <c r="F617" t="s">
        <v>1539</v>
      </c>
      <c r="G617" s="1">
        <v>45240</v>
      </c>
    </row>
    <row r="618" spans="1:7">
      <c r="A618" t="s">
        <v>1540</v>
      </c>
      <c r="B618">
        <v>42</v>
      </c>
      <c r="C618" t="s">
        <v>1541</v>
      </c>
      <c r="D618">
        <v>175399</v>
      </c>
      <c r="E618" t="s">
        <v>12</v>
      </c>
      <c r="F618">
        <f>1-303-805-9281</f>
        <v>-10388</v>
      </c>
      <c r="G618" s="1">
        <v>44951</v>
      </c>
    </row>
    <row r="619" spans="1:7">
      <c r="A619" t="s">
        <v>1542</v>
      </c>
      <c r="B619">
        <v>41</v>
      </c>
      <c r="C619" t="s">
        <v>1543</v>
      </c>
      <c r="D619">
        <v>165530</v>
      </c>
      <c r="E619" t="s">
        <v>12</v>
      </c>
      <c r="F619">
        <v>6208260061</v>
      </c>
      <c r="G619" s="1">
        <v>45017</v>
      </c>
    </row>
    <row r="620" spans="1:7">
      <c r="A620" t="s">
        <v>1544</v>
      </c>
      <c r="C620" t="s">
        <v>1545</v>
      </c>
      <c r="D620">
        <v>185242</v>
      </c>
      <c r="E620" t="s">
        <v>27</v>
      </c>
      <c r="F620" t="s">
        <v>1546</v>
      </c>
      <c r="G620" s="1">
        <v>45086</v>
      </c>
    </row>
    <row r="621" spans="1:7">
      <c r="A621" t="s">
        <v>1547</v>
      </c>
      <c r="B621">
        <v>59</v>
      </c>
      <c r="C621" t="s">
        <v>1548</v>
      </c>
      <c r="D621">
        <v>33178</v>
      </c>
      <c r="E621" t="s">
        <v>27</v>
      </c>
      <c r="F621">
        <f>1-153-776-5999</f>
        <v>-6927</v>
      </c>
      <c r="G621" s="1">
        <v>44930</v>
      </c>
    </row>
    <row r="622" spans="1:7">
      <c r="A622" t="s">
        <v>1549</v>
      </c>
      <c r="B622">
        <v>58</v>
      </c>
      <c r="C622" t="s">
        <v>1550</v>
      </c>
      <c r="D622">
        <v>42191</v>
      </c>
      <c r="E622" t="s">
        <v>36</v>
      </c>
      <c r="F622" t="s">
        <v>1551</v>
      </c>
      <c r="G622" s="1">
        <v>45238</v>
      </c>
    </row>
    <row r="623" spans="1:7">
      <c r="A623" t="s">
        <v>1552</v>
      </c>
      <c r="B623">
        <v>500</v>
      </c>
      <c r="C623" t="s">
        <v>1553</v>
      </c>
      <c r="D623">
        <v>190399</v>
      </c>
      <c r="E623" t="s">
        <v>12</v>
      </c>
      <c r="F623" t="s">
        <v>1554</v>
      </c>
      <c r="G623" s="1">
        <v>44948</v>
      </c>
    </row>
    <row r="624" spans="1:7">
      <c r="A624" t="s">
        <v>1555</v>
      </c>
      <c r="B624">
        <v>74</v>
      </c>
      <c r="C624" t="s">
        <v>1556</v>
      </c>
      <c r="D624">
        <v>143753</v>
      </c>
      <c r="E624" t="s">
        <v>36</v>
      </c>
      <c r="G624" s="1">
        <v>45170</v>
      </c>
    </row>
    <row r="625" spans="1:7">
      <c r="A625" t="s">
        <v>1557</v>
      </c>
      <c r="B625">
        <v>55</v>
      </c>
      <c r="C625" t="s">
        <v>17</v>
      </c>
      <c r="D625">
        <v>35454</v>
      </c>
      <c r="E625" t="s">
        <v>27</v>
      </c>
      <c r="G625" s="1">
        <v>44993</v>
      </c>
    </row>
    <row r="626" spans="1:7">
      <c r="A626" t="s">
        <v>1558</v>
      </c>
      <c r="B626">
        <v>35</v>
      </c>
      <c r="C626" t="s">
        <v>1559</v>
      </c>
      <c r="D626">
        <v>178178</v>
      </c>
      <c r="E626" t="s">
        <v>9</v>
      </c>
      <c r="F626">
        <f>1-123-890-4700</f>
        <v>-5712</v>
      </c>
      <c r="G626" s="1">
        <v>45017</v>
      </c>
    </row>
    <row r="627" spans="1:7">
      <c r="A627" t="s">
        <v>1560</v>
      </c>
      <c r="B627">
        <v>71</v>
      </c>
      <c r="C627" t="s">
        <v>1561</v>
      </c>
      <c r="D627">
        <v>82227</v>
      </c>
      <c r="E627" t="s">
        <v>27</v>
      </c>
      <c r="F627" t="s">
        <v>1562</v>
      </c>
      <c r="G627" s="1">
        <v>44932</v>
      </c>
    </row>
    <row r="628" spans="1:7">
      <c r="A628" t="s">
        <v>1563</v>
      </c>
      <c r="B628">
        <v>72</v>
      </c>
      <c r="C628" t="s">
        <v>1564</v>
      </c>
      <c r="E628" t="s">
        <v>36</v>
      </c>
      <c r="F628" t="s">
        <v>1565</v>
      </c>
      <c r="G628" s="1">
        <v>45067</v>
      </c>
    </row>
    <row r="629" spans="1:7">
      <c r="A629" t="s">
        <v>1566</v>
      </c>
      <c r="B629">
        <v>66</v>
      </c>
      <c r="C629" t="s">
        <v>1567</v>
      </c>
      <c r="D629">
        <v>67425</v>
      </c>
      <c r="E629" t="s">
        <v>36</v>
      </c>
      <c r="F629" t="s">
        <v>1568</v>
      </c>
      <c r="G629" s="1">
        <v>45094</v>
      </c>
    </row>
    <row r="630" spans="1:7">
      <c r="A630" t="s">
        <v>1569</v>
      </c>
      <c r="B630">
        <v>42</v>
      </c>
      <c r="C630" t="s">
        <v>1570</v>
      </c>
      <c r="D630">
        <v>146680</v>
      </c>
      <c r="E630" t="s">
        <v>36</v>
      </c>
      <c r="F630" t="s">
        <v>1571</v>
      </c>
      <c r="G630" s="1">
        <v>44948</v>
      </c>
    </row>
    <row r="631" spans="1:7">
      <c r="A631" t="s">
        <v>1572</v>
      </c>
      <c r="B631">
        <v>21</v>
      </c>
      <c r="C631" t="s">
        <v>1573</v>
      </c>
      <c r="D631">
        <v>75927</v>
      </c>
      <c r="E631" t="s">
        <v>36</v>
      </c>
      <c r="F631" t="s">
        <v>1574</v>
      </c>
      <c r="G631" s="1">
        <v>45004</v>
      </c>
    </row>
    <row r="632" spans="1:7">
      <c r="A632" t="s">
        <v>1575</v>
      </c>
      <c r="B632">
        <v>45</v>
      </c>
      <c r="C632" t="s">
        <v>1576</v>
      </c>
      <c r="D632">
        <v>114703</v>
      </c>
      <c r="E632" t="s">
        <v>27</v>
      </c>
      <c r="F632">
        <v>6588610432</v>
      </c>
      <c r="G632" s="1">
        <v>45247</v>
      </c>
    </row>
    <row r="633" spans="1:7">
      <c r="A633" t="s">
        <v>1577</v>
      </c>
      <c r="B633">
        <v>18</v>
      </c>
      <c r="C633" t="s">
        <v>1578</v>
      </c>
      <c r="D633">
        <v>155695</v>
      </c>
      <c r="E633" t="s">
        <v>12</v>
      </c>
      <c r="F633" t="s">
        <v>1579</v>
      </c>
      <c r="G633" s="1">
        <v>45125</v>
      </c>
    </row>
    <row r="634" spans="1:7">
      <c r="A634" t="s">
        <v>1580</v>
      </c>
      <c r="B634">
        <v>67</v>
      </c>
      <c r="C634" t="s">
        <v>1581</v>
      </c>
      <c r="D634">
        <v>100219</v>
      </c>
      <c r="E634" t="s">
        <v>27</v>
      </c>
      <c r="F634">
        <f>1-354-449-5510</f>
        <v>-6312</v>
      </c>
      <c r="G634" s="1">
        <v>45111</v>
      </c>
    </row>
    <row r="635" spans="1:7">
      <c r="A635" t="s">
        <v>1582</v>
      </c>
      <c r="B635">
        <v>21</v>
      </c>
      <c r="C635" t="s">
        <v>1583</v>
      </c>
      <c r="D635">
        <v>0</v>
      </c>
      <c r="E635" t="s">
        <v>9</v>
      </c>
      <c r="F635" t="s">
        <v>1584</v>
      </c>
      <c r="G635" s="1">
        <v>45126</v>
      </c>
    </row>
    <row r="636" spans="1:7">
      <c r="A636" t="s">
        <v>1585</v>
      </c>
      <c r="B636">
        <v>26</v>
      </c>
      <c r="C636" t="s">
        <v>1586</v>
      </c>
      <c r="D636">
        <v>129214</v>
      </c>
      <c r="E636" t="s">
        <v>9</v>
      </c>
      <c r="F636" t="s">
        <v>1587</v>
      </c>
      <c r="G636" s="1">
        <v>44963</v>
      </c>
    </row>
    <row r="637" spans="1:7">
      <c r="A637" t="s">
        <v>1588</v>
      </c>
      <c r="B637">
        <v>-1</v>
      </c>
      <c r="C637" t="s">
        <v>1589</v>
      </c>
      <c r="D637">
        <v>123027</v>
      </c>
      <c r="E637" t="s">
        <v>36</v>
      </c>
      <c r="F637">
        <f>1-348-306-5830</f>
        <v>-6483</v>
      </c>
      <c r="G637" s="1">
        <v>45208</v>
      </c>
    </row>
    <row r="638" spans="1:7">
      <c r="A638" t="s">
        <v>1590</v>
      </c>
      <c r="B638">
        <v>51</v>
      </c>
      <c r="C638" t="s">
        <v>1591</v>
      </c>
      <c r="E638" t="s">
        <v>27</v>
      </c>
      <c r="F638" t="s">
        <v>1592</v>
      </c>
      <c r="G638" s="1">
        <v>44946</v>
      </c>
    </row>
    <row r="639" spans="1:7">
      <c r="A639" t="s">
        <v>1593</v>
      </c>
      <c r="B639">
        <v>42</v>
      </c>
      <c r="C639" t="s">
        <v>1594</v>
      </c>
      <c r="D639">
        <v>125119</v>
      </c>
      <c r="E639" t="s">
        <v>27</v>
      </c>
      <c r="F639">
        <v>1032545020</v>
      </c>
      <c r="G639" s="1">
        <v>45093</v>
      </c>
    </row>
    <row r="640" spans="1:7">
      <c r="A640" t="s">
        <v>1595</v>
      </c>
      <c r="B640">
        <v>57</v>
      </c>
      <c r="C640" t="s">
        <v>1596</v>
      </c>
      <c r="D640">
        <v>114227</v>
      </c>
      <c r="E640" t="s">
        <v>27</v>
      </c>
      <c r="F640">
        <v>7532959755</v>
      </c>
      <c r="G640" s="1">
        <v>45147</v>
      </c>
    </row>
    <row r="641" spans="1:7">
      <c r="A641" t="s">
        <v>1597</v>
      </c>
      <c r="B641">
        <v>64</v>
      </c>
      <c r="C641" t="s">
        <v>1598</v>
      </c>
      <c r="D641">
        <v>147305</v>
      </c>
      <c r="E641" t="s">
        <v>27</v>
      </c>
      <c r="F641">
        <v>1692392816</v>
      </c>
      <c r="G641" s="1">
        <v>44932</v>
      </c>
    </row>
    <row r="642" spans="1:7">
      <c r="A642" t="s">
        <v>1599</v>
      </c>
      <c r="B642">
        <v>71</v>
      </c>
      <c r="C642" t="s">
        <v>1600</v>
      </c>
      <c r="D642">
        <v>73461</v>
      </c>
      <c r="E642" t="s">
        <v>27</v>
      </c>
      <c r="F642">
        <f>1-363-779-8970</f>
        <v>-10111</v>
      </c>
      <c r="G642" s="1">
        <v>45269</v>
      </c>
    </row>
    <row r="643" spans="1:7">
      <c r="A643" t="s">
        <v>1601</v>
      </c>
      <c r="B643">
        <v>45</v>
      </c>
      <c r="C643" t="s">
        <v>1602</v>
      </c>
      <c r="D643">
        <v>187371</v>
      </c>
      <c r="E643" t="s">
        <v>9</v>
      </c>
      <c r="F643" t="s">
        <v>1603</v>
      </c>
      <c r="G643" s="1">
        <v>45161</v>
      </c>
    </row>
    <row r="644" spans="1:7">
      <c r="A644" t="s">
        <v>1604</v>
      </c>
      <c r="B644">
        <v>43</v>
      </c>
      <c r="C644" t="s">
        <v>1605</v>
      </c>
      <c r="D644">
        <v>171633</v>
      </c>
      <c r="E644" t="s">
        <v>27</v>
      </c>
      <c r="F644" t="s">
        <v>1606</v>
      </c>
      <c r="G644" s="1">
        <v>44942</v>
      </c>
    </row>
    <row r="645" spans="1:7">
      <c r="A645" t="s">
        <v>1607</v>
      </c>
      <c r="B645">
        <v>-50</v>
      </c>
      <c r="C645" t="s">
        <v>1608</v>
      </c>
      <c r="D645">
        <v>34551</v>
      </c>
      <c r="E645" t="s">
        <v>873</v>
      </c>
      <c r="F645" t="s">
        <v>1609</v>
      </c>
      <c r="G645" s="1">
        <v>45021</v>
      </c>
    </row>
    <row r="646" spans="1:7">
      <c r="A646" t="s">
        <v>1610</v>
      </c>
      <c r="B646">
        <v>30</v>
      </c>
      <c r="C646" t="s">
        <v>1611</v>
      </c>
      <c r="D646">
        <v>97163</v>
      </c>
      <c r="E646" t="s">
        <v>49</v>
      </c>
      <c r="F646">
        <f>1-934-227-2521</f>
        <v>-3681</v>
      </c>
      <c r="G646" s="1">
        <v>45042</v>
      </c>
    </row>
    <row r="647" spans="1:7">
      <c r="A647" t="s">
        <v>1612</v>
      </c>
      <c r="B647">
        <v>34</v>
      </c>
      <c r="C647" t="s">
        <v>1613</v>
      </c>
      <c r="D647">
        <v>63665</v>
      </c>
      <c r="E647" t="s">
        <v>9</v>
      </c>
      <c r="F647">
        <f>1-495-292-8778</f>
        <v>-9564</v>
      </c>
      <c r="G647" s="1">
        <v>45269</v>
      </c>
    </row>
    <row r="648" spans="1:7">
      <c r="A648" t="s">
        <v>1614</v>
      </c>
      <c r="B648">
        <v>0</v>
      </c>
      <c r="C648" t="s">
        <v>1615</v>
      </c>
      <c r="D648">
        <v>48157</v>
      </c>
      <c r="E648" t="s">
        <v>9</v>
      </c>
      <c r="F648">
        <v>8148953034</v>
      </c>
      <c r="G648" s="1">
        <v>45266</v>
      </c>
    </row>
    <row r="649" spans="1:7">
      <c r="A649" t="s">
        <v>1616</v>
      </c>
      <c r="B649">
        <v>50</v>
      </c>
      <c r="C649" t="s">
        <v>1617</v>
      </c>
      <c r="D649">
        <v>43682</v>
      </c>
      <c r="E649" t="s">
        <v>27</v>
      </c>
      <c r="F649">
        <f>1-646-604-9724</f>
        <v>-10973</v>
      </c>
      <c r="G649" s="1">
        <v>45196</v>
      </c>
    </row>
    <row r="650" spans="1:7">
      <c r="A650" t="s">
        <v>1618</v>
      </c>
      <c r="B650">
        <v>58</v>
      </c>
      <c r="C650" t="s">
        <v>1619</v>
      </c>
      <c r="D650">
        <v>59831</v>
      </c>
      <c r="E650" t="s">
        <v>9</v>
      </c>
      <c r="F650" t="s">
        <v>1620</v>
      </c>
      <c r="G650" s="1">
        <v>44931</v>
      </c>
    </row>
    <row r="651" spans="1:7">
      <c r="A651" t="s">
        <v>1621</v>
      </c>
      <c r="B651">
        <v>54</v>
      </c>
      <c r="C651" t="s">
        <v>1622</v>
      </c>
      <c r="D651">
        <v>96668</v>
      </c>
      <c r="E651" t="s">
        <v>27</v>
      </c>
      <c r="F651" t="s">
        <v>1623</v>
      </c>
      <c r="G651" s="1">
        <v>45241</v>
      </c>
    </row>
    <row r="652" spans="1:7">
      <c r="A652" t="s">
        <v>1624</v>
      </c>
      <c r="C652" t="s">
        <v>1625</v>
      </c>
      <c r="D652">
        <v>40878</v>
      </c>
      <c r="E652" t="s">
        <v>12</v>
      </c>
      <c r="F652" t="s">
        <v>1626</v>
      </c>
      <c r="G652" t="s">
        <v>1627</v>
      </c>
    </row>
    <row r="653" spans="1:7">
      <c r="A653" t="s">
        <v>1628</v>
      </c>
      <c r="B653">
        <v>999</v>
      </c>
      <c r="C653" t="s">
        <v>1629</v>
      </c>
      <c r="D653">
        <v>125556</v>
      </c>
      <c r="E653" t="s">
        <v>873</v>
      </c>
      <c r="F653">
        <f>1-104-638-3958</f>
        <v>-4699</v>
      </c>
      <c r="G653" s="1">
        <v>45182</v>
      </c>
    </row>
    <row r="654" spans="1:7">
      <c r="A654" t="s">
        <v>1630</v>
      </c>
      <c r="B654">
        <v>18</v>
      </c>
      <c r="C654" t="s">
        <v>1631</v>
      </c>
      <c r="D654">
        <v>114565</v>
      </c>
      <c r="E654" t="s">
        <v>27</v>
      </c>
      <c r="F654" t="s">
        <v>1632</v>
      </c>
      <c r="G654" s="1">
        <v>45198</v>
      </c>
    </row>
    <row r="655" spans="1:7">
      <c r="A655" t="s">
        <v>1633</v>
      </c>
      <c r="B655">
        <v>40</v>
      </c>
      <c r="C655" t="s">
        <v>1634</v>
      </c>
      <c r="D655">
        <v>196862</v>
      </c>
      <c r="E655" t="s">
        <v>9</v>
      </c>
      <c r="F655" t="s">
        <v>1635</v>
      </c>
      <c r="G655" s="1">
        <v>45048</v>
      </c>
    </row>
    <row r="656" spans="1:7">
      <c r="A656" t="s">
        <v>1636</v>
      </c>
      <c r="B656">
        <v>63</v>
      </c>
      <c r="C656" t="s">
        <v>1637</v>
      </c>
      <c r="D656">
        <v>56639</v>
      </c>
      <c r="E656" t="s">
        <v>36</v>
      </c>
      <c r="F656" t="s">
        <v>1638</v>
      </c>
      <c r="G656" s="1">
        <v>45021</v>
      </c>
    </row>
    <row r="657" spans="1:7">
      <c r="A657" t="s">
        <v>1639</v>
      </c>
      <c r="B657">
        <v>150</v>
      </c>
      <c r="C657" t="s">
        <v>1640</v>
      </c>
      <c r="D657">
        <v>102373</v>
      </c>
      <c r="E657" t="s">
        <v>12</v>
      </c>
      <c r="F657">
        <v>4153232553</v>
      </c>
      <c r="G657" s="1">
        <v>45006</v>
      </c>
    </row>
    <row r="658" spans="1:7">
      <c r="A658" t="s">
        <v>1641</v>
      </c>
      <c r="B658">
        <v>35</v>
      </c>
      <c r="C658" t="s">
        <v>1642</v>
      </c>
      <c r="D658">
        <v>-10000</v>
      </c>
      <c r="E658" t="s">
        <v>27</v>
      </c>
      <c r="F658" t="s">
        <v>1643</v>
      </c>
      <c r="G658" s="1">
        <v>45163</v>
      </c>
    </row>
    <row r="659" spans="1:7">
      <c r="A659" t="s">
        <v>1644</v>
      </c>
      <c r="B659">
        <v>30</v>
      </c>
      <c r="C659" t="s">
        <v>299</v>
      </c>
      <c r="D659">
        <v>152066</v>
      </c>
      <c r="E659" t="s">
        <v>12</v>
      </c>
      <c r="F659">
        <f>1-577-838-3027</f>
        <v>-4441</v>
      </c>
    </row>
    <row r="660" spans="1:7">
      <c r="A660" t="s">
        <v>1645</v>
      </c>
      <c r="C660" t="s">
        <v>1646</v>
      </c>
      <c r="D660">
        <v>117132</v>
      </c>
      <c r="E660" t="s">
        <v>12</v>
      </c>
      <c r="F660" t="s">
        <v>1647</v>
      </c>
      <c r="G660" s="1">
        <v>45082</v>
      </c>
    </row>
    <row r="661" spans="1:7">
      <c r="A661" t="s">
        <v>1648</v>
      </c>
      <c r="B661">
        <v>73</v>
      </c>
      <c r="C661" t="s">
        <v>169</v>
      </c>
      <c r="D661">
        <v>159626</v>
      </c>
      <c r="E661" t="s">
        <v>27</v>
      </c>
      <c r="F661" t="s">
        <v>1649</v>
      </c>
      <c r="G661" s="1">
        <v>45270</v>
      </c>
    </row>
    <row r="662" spans="1:7">
      <c r="A662" t="s">
        <v>1650</v>
      </c>
      <c r="B662">
        <v>66</v>
      </c>
      <c r="C662" t="s">
        <v>1651</v>
      </c>
      <c r="D662">
        <v>195278</v>
      </c>
      <c r="E662" t="s">
        <v>12</v>
      </c>
      <c r="F662" t="s">
        <v>1652</v>
      </c>
      <c r="G662" s="1">
        <v>45252</v>
      </c>
    </row>
    <row r="663" spans="1:7">
      <c r="A663" t="s">
        <v>1653</v>
      </c>
      <c r="B663">
        <v>62</v>
      </c>
      <c r="D663">
        <v>89946</v>
      </c>
      <c r="E663" t="s">
        <v>9</v>
      </c>
      <c r="F663" t="s">
        <v>1654</v>
      </c>
      <c r="G663" t="s">
        <v>1627</v>
      </c>
    </row>
    <row r="664" spans="1:7">
      <c r="A664" t="s">
        <v>1655</v>
      </c>
      <c r="B664">
        <v>60</v>
      </c>
      <c r="C664" t="s">
        <v>1656</v>
      </c>
      <c r="D664">
        <v>195767</v>
      </c>
      <c r="E664" t="s">
        <v>873</v>
      </c>
      <c r="F664">
        <v>3456709521</v>
      </c>
      <c r="G664" s="1">
        <v>45052</v>
      </c>
    </row>
    <row r="665" spans="1:7">
      <c r="A665" t="s">
        <v>1657</v>
      </c>
      <c r="B665">
        <v>57</v>
      </c>
      <c r="C665" t="s">
        <v>1658</v>
      </c>
      <c r="D665">
        <v>115469</v>
      </c>
      <c r="E665" t="s">
        <v>27</v>
      </c>
      <c r="F665" t="s">
        <v>1659</v>
      </c>
      <c r="G665" s="1">
        <v>45259</v>
      </c>
    </row>
    <row r="666" spans="1:7">
      <c r="A666" t="s">
        <v>1660</v>
      </c>
      <c r="B666">
        <v>43</v>
      </c>
      <c r="C666" t="s">
        <v>1661</v>
      </c>
      <c r="D666">
        <v>44924</v>
      </c>
      <c r="E666" t="s">
        <v>12</v>
      </c>
      <c r="F666" t="s">
        <v>1662</v>
      </c>
      <c r="G666" s="1">
        <v>45230</v>
      </c>
    </row>
    <row r="667" spans="1:7">
      <c r="A667" t="s">
        <v>1663</v>
      </c>
      <c r="B667">
        <v>57</v>
      </c>
      <c r="C667" t="s">
        <v>1664</v>
      </c>
      <c r="D667">
        <v>174989</v>
      </c>
      <c r="E667" t="s">
        <v>36</v>
      </c>
      <c r="F667" t="s">
        <v>1665</v>
      </c>
      <c r="G667" s="1">
        <v>45069</v>
      </c>
    </row>
    <row r="668" spans="1:7">
      <c r="A668" t="s">
        <v>1666</v>
      </c>
      <c r="B668">
        <v>25</v>
      </c>
      <c r="D668">
        <v>83592</v>
      </c>
      <c r="E668" t="s">
        <v>12</v>
      </c>
      <c r="F668">
        <f>1-839-103-8381</f>
        <v>-9322</v>
      </c>
      <c r="G668" s="1">
        <v>45230</v>
      </c>
    </row>
    <row r="669" spans="1:7">
      <c r="A669" t="s">
        <v>1667</v>
      </c>
      <c r="B669">
        <v>51</v>
      </c>
      <c r="C669" t="s">
        <v>1668</v>
      </c>
      <c r="E669" t="s">
        <v>9</v>
      </c>
      <c r="F669">
        <v>4019219484</v>
      </c>
      <c r="G669" s="1">
        <v>45101</v>
      </c>
    </row>
    <row r="670" spans="1:7">
      <c r="A670" t="s">
        <v>1669</v>
      </c>
      <c r="B670">
        <v>47</v>
      </c>
      <c r="C670" t="s">
        <v>1670</v>
      </c>
      <c r="D670">
        <v>104255</v>
      </c>
      <c r="E670" t="s">
        <v>27</v>
      </c>
      <c r="F670" t="s">
        <v>1671</v>
      </c>
      <c r="G670" s="1">
        <v>45289</v>
      </c>
    </row>
    <row r="671" spans="1:7">
      <c r="A671" t="s">
        <v>1672</v>
      </c>
      <c r="B671">
        <v>26</v>
      </c>
      <c r="C671" t="s">
        <v>1673</v>
      </c>
      <c r="D671">
        <v>123422</v>
      </c>
      <c r="E671" t="s">
        <v>27</v>
      </c>
      <c r="F671">
        <v>1949822055</v>
      </c>
      <c r="G671" s="1">
        <v>45174</v>
      </c>
    </row>
    <row r="672" spans="1:7">
      <c r="A672" t="s">
        <v>1674</v>
      </c>
      <c r="B672">
        <v>48</v>
      </c>
      <c r="D672">
        <v>144919</v>
      </c>
      <c r="E672" t="s">
        <v>27</v>
      </c>
      <c r="G672" s="1">
        <v>44990</v>
      </c>
    </row>
    <row r="673" spans="1:7">
      <c r="A673" t="s">
        <v>1675</v>
      </c>
      <c r="B673">
        <v>46</v>
      </c>
      <c r="C673" t="s">
        <v>1676</v>
      </c>
      <c r="D673">
        <v>0</v>
      </c>
      <c r="E673" t="s">
        <v>12</v>
      </c>
      <c r="F673" t="s">
        <v>1677</v>
      </c>
      <c r="G673" s="1">
        <v>45131</v>
      </c>
    </row>
    <row r="674" spans="1:7">
      <c r="A674" t="s">
        <v>1678</v>
      </c>
      <c r="B674">
        <v>72</v>
      </c>
      <c r="C674" t="s">
        <v>1679</v>
      </c>
      <c r="E674" t="s">
        <v>36</v>
      </c>
      <c r="F674">
        <f>1-493-882-3798</f>
        <v>-5172</v>
      </c>
      <c r="G674" s="1">
        <v>45126</v>
      </c>
    </row>
    <row r="675" spans="1:7">
      <c r="A675" t="s">
        <v>1680</v>
      </c>
      <c r="B675">
        <v>43</v>
      </c>
      <c r="C675" t="s">
        <v>1681</v>
      </c>
      <c r="D675">
        <v>158308</v>
      </c>
      <c r="E675" t="s">
        <v>27</v>
      </c>
      <c r="G675" s="1">
        <v>44973</v>
      </c>
    </row>
    <row r="676" spans="1:7">
      <c r="A676" t="s">
        <v>1682</v>
      </c>
      <c r="B676">
        <v>77</v>
      </c>
      <c r="C676" t="s">
        <v>1683</v>
      </c>
      <c r="D676">
        <v>51673</v>
      </c>
      <c r="E676" t="s">
        <v>27</v>
      </c>
      <c r="F676" t="s">
        <v>1684</v>
      </c>
      <c r="G676" s="1">
        <v>45130</v>
      </c>
    </row>
    <row r="677" spans="1:7">
      <c r="B677">
        <v>78</v>
      </c>
      <c r="C677" t="s">
        <v>1685</v>
      </c>
      <c r="D677">
        <v>60949</v>
      </c>
      <c r="E677" t="s">
        <v>9</v>
      </c>
      <c r="F677" t="s">
        <v>1686</v>
      </c>
      <c r="G677" s="1">
        <v>45214</v>
      </c>
    </row>
    <row r="678" spans="1:7">
      <c r="A678" t="s">
        <v>1687</v>
      </c>
      <c r="C678" t="s">
        <v>1688</v>
      </c>
      <c r="E678" t="s">
        <v>36</v>
      </c>
      <c r="F678" t="s">
        <v>1689</v>
      </c>
      <c r="G678" s="1">
        <v>45131</v>
      </c>
    </row>
    <row r="679" spans="1:7">
      <c r="A679" t="s">
        <v>1690</v>
      </c>
      <c r="B679">
        <v>61</v>
      </c>
      <c r="C679" t="s">
        <v>1691</v>
      </c>
      <c r="D679">
        <v>188517</v>
      </c>
      <c r="E679" t="s">
        <v>36</v>
      </c>
      <c r="F679" t="s">
        <v>1692</v>
      </c>
      <c r="G679" s="1">
        <v>44944</v>
      </c>
    </row>
    <row r="680" spans="1:7">
      <c r="A680" t="s">
        <v>1693</v>
      </c>
      <c r="B680">
        <v>130</v>
      </c>
      <c r="C680" t="s">
        <v>1694</v>
      </c>
      <c r="D680">
        <v>96960</v>
      </c>
      <c r="E680" t="s">
        <v>9</v>
      </c>
      <c r="F680" t="s">
        <v>1695</v>
      </c>
      <c r="G680" s="1">
        <v>45280</v>
      </c>
    </row>
    <row r="681" spans="1:7">
      <c r="A681" t="s">
        <v>1696</v>
      </c>
      <c r="B681">
        <v>53</v>
      </c>
      <c r="C681" t="s">
        <v>1697</v>
      </c>
      <c r="D681">
        <v>154857</v>
      </c>
      <c r="E681" t="s">
        <v>27</v>
      </c>
      <c r="G681" s="1">
        <v>45258</v>
      </c>
    </row>
    <row r="682" spans="1:7">
      <c r="A682" t="s">
        <v>1698</v>
      </c>
      <c r="C682" t="s">
        <v>1699</v>
      </c>
      <c r="D682">
        <v>149779</v>
      </c>
      <c r="E682" t="s">
        <v>27</v>
      </c>
      <c r="F682" t="s">
        <v>1700</v>
      </c>
      <c r="G682" s="1">
        <v>45253</v>
      </c>
    </row>
    <row r="683" spans="1:7">
      <c r="A683" t="s">
        <v>1701</v>
      </c>
      <c r="B683">
        <v>37</v>
      </c>
      <c r="C683" t="s">
        <v>1702</v>
      </c>
      <c r="D683">
        <v>148623</v>
      </c>
      <c r="E683" t="s">
        <v>36</v>
      </c>
      <c r="F683" t="s">
        <v>1703</v>
      </c>
      <c r="G683" s="1">
        <v>45218</v>
      </c>
    </row>
    <row r="684" spans="1:7">
      <c r="A684" t="s">
        <v>1704</v>
      </c>
      <c r="B684">
        <v>72</v>
      </c>
      <c r="C684" t="s">
        <v>1705</v>
      </c>
      <c r="D684">
        <v>-20000</v>
      </c>
      <c r="E684" t="s">
        <v>9</v>
      </c>
      <c r="F684">
        <v>8748133196</v>
      </c>
      <c r="G684" s="1">
        <v>44935</v>
      </c>
    </row>
    <row r="685" spans="1:7">
      <c r="A685" t="s">
        <v>1706</v>
      </c>
      <c r="B685">
        <v>24</v>
      </c>
      <c r="C685" t="s">
        <v>1707</v>
      </c>
      <c r="D685">
        <v>176429</v>
      </c>
      <c r="E685" t="s">
        <v>18</v>
      </c>
      <c r="F685">
        <v>3906427807</v>
      </c>
      <c r="G685" s="1">
        <v>45224</v>
      </c>
    </row>
    <row r="686" spans="1:7">
      <c r="A686" t="s">
        <v>1708</v>
      </c>
      <c r="C686" t="s">
        <v>1709</v>
      </c>
      <c r="D686">
        <v>124455</v>
      </c>
      <c r="E686" t="s">
        <v>9</v>
      </c>
      <c r="F686">
        <f>1-832-842-2908</f>
        <v>-4581</v>
      </c>
      <c r="G686" s="1">
        <v>45050</v>
      </c>
    </row>
    <row r="687" spans="1:7">
      <c r="A687" t="s">
        <v>1710</v>
      </c>
      <c r="B687">
        <v>37</v>
      </c>
      <c r="C687" t="s">
        <v>478</v>
      </c>
      <c r="D687">
        <v>132739</v>
      </c>
      <c r="E687" t="s">
        <v>12</v>
      </c>
      <c r="F687" t="s">
        <v>1711</v>
      </c>
      <c r="G687" s="1">
        <v>45271</v>
      </c>
    </row>
    <row r="688" spans="1:7">
      <c r="A688" t="s">
        <v>1712</v>
      </c>
      <c r="B688">
        <v>42</v>
      </c>
      <c r="C688" t="s">
        <v>1713</v>
      </c>
      <c r="D688">
        <v>190625</v>
      </c>
      <c r="E688" t="s">
        <v>27</v>
      </c>
      <c r="F688">
        <v>8150869292</v>
      </c>
      <c r="G688" s="1">
        <v>44954</v>
      </c>
    </row>
    <row r="689" spans="1:7">
      <c r="A689" t="s">
        <v>1714</v>
      </c>
      <c r="B689">
        <v>33</v>
      </c>
      <c r="C689" t="s">
        <v>1715</v>
      </c>
      <c r="D689">
        <v>65531</v>
      </c>
      <c r="E689" t="s">
        <v>27</v>
      </c>
      <c r="F689" t="s">
        <v>1716</v>
      </c>
      <c r="G689" s="1">
        <v>44969</v>
      </c>
    </row>
    <row r="690" spans="1:7">
      <c r="A690" t="s">
        <v>1717</v>
      </c>
      <c r="B690">
        <v>19</v>
      </c>
      <c r="C690" t="s">
        <v>1718</v>
      </c>
      <c r="D690">
        <v>180685</v>
      </c>
      <c r="E690" t="s">
        <v>12</v>
      </c>
      <c r="F690" t="s">
        <v>1719</v>
      </c>
      <c r="G690" s="1">
        <v>45037</v>
      </c>
    </row>
    <row r="691" spans="1:7">
      <c r="A691" t="s">
        <v>1720</v>
      </c>
      <c r="B691">
        <v>24</v>
      </c>
      <c r="C691" t="s">
        <v>1721</v>
      </c>
      <c r="D691">
        <v>47241</v>
      </c>
      <c r="E691" t="s">
        <v>12</v>
      </c>
      <c r="F691" t="s">
        <v>1722</v>
      </c>
      <c r="G691" s="1">
        <v>45243</v>
      </c>
    </row>
    <row r="692" spans="1:7">
      <c r="A692" t="s">
        <v>1723</v>
      </c>
      <c r="B692">
        <v>44</v>
      </c>
      <c r="C692" t="s">
        <v>1724</v>
      </c>
      <c r="D692">
        <v>58884</v>
      </c>
      <c r="E692" t="s">
        <v>12</v>
      </c>
      <c r="F692" t="s">
        <v>1725</v>
      </c>
      <c r="G692" s="1">
        <v>45003</v>
      </c>
    </row>
    <row r="693" spans="1:7">
      <c r="B693">
        <v>70</v>
      </c>
      <c r="C693" t="s">
        <v>1726</v>
      </c>
      <c r="D693">
        <v>35209</v>
      </c>
      <c r="E693" t="s">
        <v>9</v>
      </c>
      <c r="F693">
        <v>8999232625</v>
      </c>
      <c r="G693" s="1">
        <v>45044</v>
      </c>
    </row>
    <row r="694" spans="1:7">
      <c r="A694" t="s">
        <v>1727</v>
      </c>
      <c r="B694">
        <v>66</v>
      </c>
      <c r="C694" t="s">
        <v>1728</v>
      </c>
      <c r="D694">
        <v>172980</v>
      </c>
      <c r="E694" t="s">
        <v>12</v>
      </c>
      <c r="F694">
        <v>8253523668</v>
      </c>
      <c r="G694" s="1">
        <v>45111</v>
      </c>
    </row>
    <row r="695" spans="1:7">
      <c r="A695" t="s">
        <v>1729</v>
      </c>
      <c r="B695">
        <v>19</v>
      </c>
      <c r="C695" t="s">
        <v>1730</v>
      </c>
      <c r="D695">
        <v>88123</v>
      </c>
      <c r="E695" t="s">
        <v>27</v>
      </c>
      <c r="F695">
        <v>5762969204</v>
      </c>
      <c r="G695" s="1">
        <v>45124</v>
      </c>
    </row>
    <row r="696" spans="1:7">
      <c r="A696" t="s">
        <v>1599</v>
      </c>
      <c r="B696">
        <v>29</v>
      </c>
      <c r="D696">
        <v>30320</v>
      </c>
      <c r="E696" t="s">
        <v>9</v>
      </c>
      <c r="F696" t="s">
        <v>1731</v>
      </c>
      <c r="G696" s="1">
        <v>45128</v>
      </c>
    </row>
    <row r="697" spans="1:7">
      <c r="A697" t="s">
        <v>1732</v>
      </c>
      <c r="B697">
        <v>72</v>
      </c>
      <c r="C697" t="s">
        <v>1733</v>
      </c>
      <c r="E697" t="s">
        <v>12</v>
      </c>
      <c r="F697">
        <v>8938293777</v>
      </c>
      <c r="G697" s="1">
        <v>45003</v>
      </c>
    </row>
    <row r="698" spans="1:7">
      <c r="A698" t="s">
        <v>1734</v>
      </c>
      <c r="B698">
        <v>33</v>
      </c>
      <c r="C698" t="s">
        <v>1735</v>
      </c>
      <c r="D698">
        <v>49585</v>
      </c>
      <c r="E698" t="s">
        <v>9</v>
      </c>
      <c r="F698">
        <f>1-145-772-2032</f>
        <v>-2948</v>
      </c>
      <c r="G698" s="1">
        <v>45138</v>
      </c>
    </row>
    <row r="699" spans="1:7">
      <c r="A699" t="s">
        <v>1736</v>
      </c>
      <c r="B699">
        <v>500</v>
      </c>
      <c r="C699" t="s">
        <v>1737</v>
      </c>
      <c r="D699">
        <v>45479</v>
      </c>
      <c r="E699" t="s">
        <v>12</v>
      </c>
      <c r="F699" t="s">
        <v>1738</v>
      </c>
      <c r="G699" s="1">
        <v>45157</v>
      </c>
    </row>
    <row r="700" spans="1:7">
      <c r="A700" t="s">
        <v>1739</v>
      </c>
      <c r="B700">
        <v>63</v>
      </c>
      <c r="C700" t="s">
        <v>1740</v>
      </c>
      <c r="D700">
        <v>158713</v>
      </c>
      <c r="E700" t="s">
        <v>36</v>
      </c>
      <c r="F700" t="s">
        <v>1741</v>
      </c>
      <c r="G700" s="1">
        <v>45044</v>
      </c>
    </row>
    <row r="701" spans="1:7">
      <c r="A701" t="s">
        <v>1742</v>
      </c>
      <c r="B701">
        <v>30</v>
      </c>
      <c r="C701" t="s">
        <v>1743</v>
      </c>
      <c r="D701">
        <v>172432</v>
      </c>
      <c r="E701" t="s">
        <v>36</v>
      </c>
      <c r="F701" t="s">
        <v>1744</v>
      </c>
      <c r="G701" s="1">
        <v>44974</v>
      </c>
    </row>
    <row r="702" spans="1:7">
      <c r="A702" t="s">
        <v>1745</v>
      </c>
      <c r="B702">
        <v>-50</v>
      </c>
      <c r="C702" t="s">
        <v>1746</v>
      </c>
      <c r="D702">
        <v>188376</v>
      </c>
      <c r="E702" t="s">
        <v>9</v>
      </c>
      <c r="F702">
        <v>1164565091</v>
      </c>
      <c r="G702" s="1">
        <v>45194</v>
      </c>
    </row>
    <row r="703" spans="1:7">
      <c r="A703" t="s">
        <v>1747</v>
      </c>
      <c r="B703">
        <v>-1</v>
      </c>
      <c r="C703" t="s">
        <v>1748</v>
      </c>
      <c r="D703">
        <v>79699</v>
      </c>
      <c r="E703" t="s">
        <v>9</v>
      </c>
      <c r="F703">
        <v>9850050482</v>
      </c>
      <c r="G703" s="1">
        <v>45120</v>
      </c>
    </row>
    <row r="704" spans="1:7">
      <c r="A704" t="s">
        <v>1749</v>
      </c>
      <c r="B704">
        <v>69</v>
      </c>
      <c r="C704" t="s">
        <v>1750</v>
      </c>
      <c r="D704">
        <v>104816</v>
      </c>
      <c r="E704" t="s">
        <v>12</v>
      </c>
      <c r="F704" t="s">
        <v>1751</v>
      </c>
      <c r="G704" s="1">
        <v>45056</v>
      </c>
    </row>
    <row r="705" spans="1:7">
      <c r="A705" t="s">
        <v>1752</v>
      </c>
      <c r="B705">
        <v>40</v>
      </c>
      <c r="C705" t="s">
        <v>1753</v>
      </c>
      <c r="D705">
        <v>91753</v>
      </c>
      <c r="E705" t="s">
        <v>36</v>
      </c>
      <c r="F705">
        <f>1-171-407-2469</f>
        <v>-3046</v>
      </c>
      <c r="G705" s="1">
        <v>44969</v>
      </c>
    </row>
    <row r="706" spans="1:7">
      <c r="A706" t="s">
        <v>1754</v>
      </c>
      <c r="B706">
        <v>75</v>
      </c>
      <c r="D706">
        <v>196969</v>
      </c>
      <c r="E706" t="s">
        <v>27</v>
      </c>
      <c r="F706">
        <v>3436507567</v>
      </c>
      <c r="G706" s="1">
        <v>45049</v>
      </c>
    </row>
    <row r="707" spans="1:7">
      <c r="A707" t="s">
        <v>1755</v>
      </c>
      <c r="B707">
        <v>37</v>
      </c>
      <c r="C707" t="s">
        <v>1756</v>
      </c>
      <c r="D707">
        <v>37957</v>
      </c>
      <c r="E707" t="s">
        <v>36</v>
      </c>
      <c r="F707" t="s">
        <v>1757</v>
      </c>
      <c r="G707" s="1">
        <v>45154</v>
      </c>
    </row>
    <row r="708" spans="1:7">
      <c r="A708" t="s">
        <v>1758</v>
      </c>
      <c r="B708">
        <v>23</v>
      </c>
      <c r="D708">
        <v>169195</v>
      </c>
      <c r="E708" t="s">
        <v>12</v>
      </c>
      <c r="F708" t="s">
        <v>1759</v>
      </c>
      <c r="G708" s="1">
        <v>45244</v>
      </c>
    </row>
    <row r="709" spans="1:7">
      <c r="A709" t="s">
        <v>1760</v>
      </c>
      <c r="B709">
        <v>41</v>
      </c>
      <c r="C709" t="s">
        <v>1761</v>
      </c>
      <c r="E709" t="s">
        <v>12</v>
      </c>
      <c r="F709" t="s">
        <v>1762</v>
      </c>
      <c r="G709" s="1">
        <v>45264</v>
      </c>
    </row>
    <row r="710" spans="1:7">
      <c r="A710" t="s">
        <v>1763</v>
      </c>
      <c r="B710">
        <v>19</v>
      </c>
      <c r="C710" t="s">
        <v>1764</v>
      </c>
      <c r="E710" t="s">
        <v>27</v>
      </c>
      <c r="F710" t="s">
        <v>1765</v>
      </c>
      <c r="G710" s="1">
        <v>45157</v>
      </c>
    </row>
    <row r="711" spans="1:7">
      <c r="A711" t="s">
        <v>1766</v>
      </c>
      <c r="B711">
        <v>31</v>
      </c>
      <c r="C711" t="s">
        <v>1767</v>
      </c>
      <c r="D711">
        <v>166319</v>
      </c>
      <c r="E711" t="s">
        <v>36</v>
      </c>
      <c r="F711" t="s">
        <v>1768</v>
      </c>
      <c r="G711" s="1">
        <v>45036</v>
      </c>
    </row>
    <row r="712" spans="1:7">
      <c r="B712">
        <v>57</v>
      </c>
      <c r="C712" t="s">
        <v>1769</v>
      </c>
      <c r="D712">
        <v>-50000</v>
      </c>
      <c r="E712" t="s">
        <v>12</v>
      </c>
      <c r="F712" t="s">
        <v>1770</v>
      </c>
      <c r="G712" s="1">
        <v>45146</v>
      </c>
    </row>
    <row r="713" spans="1:7">
      <c r="A713" t="s">
        <v>1771</v>
      </c>
      <c r="B713">
        <v>21</v>
      </c>
      <c r="C713" t="s">
        <v>1772</v>
      </c>
      <c r="D713">
        <v>68871</v>
      </c>
      <c r="E713" t="s">
        <v>27</v>
      </c>
      <c r="F713">
        <v>6906189747</v>
      </c>
      <c r="G713" s="1">
        <v>45120</v>
      </c>
    </row>
    <row r="714" spans="1:7">
      <c r="A714" t="s">
        <v>1773</v>
      </c>
      <c r="B714">
        <v>77</v>
      </c>
      <c r="C714" t="s">
        <v>1774</v>
      </c>
      <c r="E714" t="s">
        <v>9</v>
      </c>
      <c r="F714" t="s">
        <v>1775</v>
      </c>
      <c r="G714" s="1">
        <v>45187</v>
      </c>
    </row>
    <row r="715" spans="1:7">
      <c r="A715" t="s">
        <v>1776</v>
      </c>
      <c r="B715">
        <v>26</v>
      </c>
      <c r="C715" t="s">
        <v>1777</v>
      </c>
      <c r="D715">
        <v>-1000</v>
      </c>
      <c r="E715" t="s">
        <v>9</v>
      </c>
      <c r="F715" t="s">
        <v>1778</v>
      </c>
      <c r="G715" t="s">
        <v>301</v>
      </c>
    </row>
    <row r="716" spans="1:7">
      <c r="A716" t="s">
        <v>1779</v>
      </c>
      <c r="B716">
        <v>150</v>
      </c>
      <c r="C716" t="s">
        <v>1780</v>
      </c>
      <c r="D716">
        <v>72025</v>
      </c>
      <c r="E716" t="s">
        <v>36</v>
      </c>
      <c r="F716" t="s">
        <v>1781</v>
      </c>
      <c r="G716" s="1">
        <v>44970</v>
      </c>
    </row>
    <row r="717" spans="1:7">
      <c r="A717" t="s">
        <v>1782</v>
      </c>
      <c r="B717">
        <v>47</v>
      </c>
      <c r="C717" t="s">
        <v>1783</v>
      </c>
      <c r="D717">
        <v>141462</v>
      </c>
      <c r="E717" t="s">
        <v>27</v>
      </c>
      <c r="F717" t="s">
        <v>1784</v>
      </c>
      <c r="G717" s="1">
        <v>44945</v>
      </c>
    </row>
    <row r="718" spans="1:7">
      <c r="A718" t="s">
        <v>1785</v>
      </c>
      <c r="B718">
        <v>25</v>
      </c>
      <c r="C718" t="s">
        <v>61</v>
      </c>
      <c r="D718">
        <v>64159</v>
      </c>
      <c r="E718" t="s">
        <v>9</v>
      </c>
      <c r="F718" t="s">
        <v>1786</v>
      </c>
      <c r="G718" s="1">
        <v>45101</v>
      </c>
    </row>
    <row r="719" spans="1:7">
      <c r="A719" t="s">
        <v>1787</v>
      </c>
      <c r="B719">
        <v>44</v>
      </c>
      <c r="C719" t="s">
        <v>1788</v>
      </c>
      <c r="D719">
        <v>122769</v>
      </c>
      <c r="E719" t="s">
        <v>36</v>
      </c>
      <c r="G719" s="1">
        <v>45211</v>
      </c>
    </row>
    <row r="720" spans="1:7">
      <c r="A720" t="s">
        <v>1789</v>
      </c>
      <c r="B720">
        <v>50</v>
      </c>
      <c r="C720" t="s">
        <v>1790</v>
      </c>
      <c r="D720">
        <v>135227</v>
      </c>
      <c r="E720" t="s">
        <v>27</v>
      </c>
      <c r="G720" s="1">
        <v>45021</v>
      </c>
    </row>
    <row r="721" spans="1:7">
      <c r="A721" t="s">
        <v>1791</v>
      </c>
      <c r="B721">
        <v>62</v>
      </c>
      <c r="C721" t="s">
        <v>1792</v>
      </c>
      <c r="D721">
        <v>167080</v>
      </c>
      <c r="E721" t="s">
        <v>27</v>
      </c>
      <c r="F721" t="s">
        <v>1793</v>
      </c>
      <c r="G721" s="1">
        <v>45291</v>
      </c>
    </row>
    <row r="722" spans="1:7">
      <c r="A722" t="s">
        <v>177</v>
      </c>
      <c r="B722">
        <v>60</v>
      </c>
      <c r="C722" t="s">
        <v>1794</v>
      </c>
      <c r="D722">
        <v>54618</v>
      </c>
      <c r="E722" t="s">
        <v>36</v>
      </c>
      <c r="F722" t="s">
        <v>1795</v>
      </c>
      <c r="G722" t="s">
        <v>301</v>
      </c>
    </row>
    <row r="723" spans="1:7">
      <c r="A723" t="s">
        <v>1796</v>
      </c>
      <c r="B723">
        <v>67</v>
      </c>
      <c r="C723" t="s">
        <v>1797</v>
      </c>
      <c r="D723">
        <v>100269</v>
      </c>
      <c r="E723" t="s">
        <v>27</v>
      </c>
      <c r="F723" t="s">
        <v>1798</v>
      </c>
      <c r="G723" s="1">
        <v>45042</v>
      </c>
    </row>
    <row r="724" spans="1:7">
      <c r="A724" t="s">
        <v>1799</v>
      </c>
      <c r="B724">
        <v>77</v>
      </c>
      <c r="C724" t="s">
        <v>1800</v>
      </c>
      <c r="D724">
        <v>88959</v>
      </c>
      <c r="E724" t="s">
        <v>9</v>
      </c>
      <c r="F724" t="s">
        <v>1801</v>
      </c>
      <c r="G724" s="1">
        <v>45176</v>
      </c>
    </row>
    <row r="725" spans="1:7">
      <c r="A725" t="s">
        <v>1802</v>
      </c>
      <c r="B725">
        <v>72</v>
      </c>
      <c r="E725" t="s">
        <v>12</v>
      </c>
      <c r="F725">
        <f>1-908-748-6527</f>
        <v>-8182</v>
      </c>
      <c r="G725" s="1">
        <v>44998</v>
      </c>
    </row>
    <row r="726" spans="1:7">
      <c r="A726" t="s">
        <v>1803</v>
      </c>
      <c r="B726">
        <v>18</v>
      </c>
      <c r="C726" t="s">
        <v>1804</v>
      </c>
      <c r="D726">
        <v>76694</v>
      </c>
      <c r="E726" t="s">
        <v>27</v>
      </c>
      <c r="F726" t="s">
        <v>1805</v>
      </c>
      <c r="G726" s="1">
        <v>45075</v>
      </c>
    </row>
    <row r="727" spans="1:7">
      <c r="A727" t="s">
        <v>1806</v>
      </c>
      <c r="B727">
        <v>34</v>
      </c>
      <c r="C727" t="s">
        <v>1807</v>
      </c>
      <c r="D727">
        <v>58552</v>
      </c>
      <c r="E727" t="s">
        <v>27</v>
      </c>
      <c r="F727">
        <f>1-378-741-1664</f>
        <v>-2782</v>
      </c>
      <c r="G727" s="1">
        <v>45127</v>
      </c>
    </row>
    <row r="728" spans="1:7">
      <c r="A728" t="s">
        <v>1808</v>
      </c>
      <c r="B728">
        <v>77</v>
      </c>
      <c r="C728" t="s">
        <v>1809</v>
      </c>
      <c r="E728" t="s">
        <v>27</v>
      </c>
      <c r="F728" t="s">
        <v>1810</v>
      </c>
      <c r="G728" s="1">
        <v>45102</v>
      </c>
    </row>
    <row r="729" spans="1:7">
      <c r="A729" t="s">
        <v>1811</v>
      </c>
      <c r="B729">
        <v>0</v>
      </c>
      <c r="C729" t="s">
        <v>1812</v>
      </c>
      <c r="D729">
        <v>132811</v>
      </c>
      <c r="E729" t="s">
        <v>27</v>
      </c>
      <c r="F729" t="s">
        <v>1813</v>
      </c>
      <c r="G729" s="1">
        <v>45011</v>
      </c>
    </row>
    <row r="730" spans="1:7">
      <c r="A730" t="s">
        <v>1814</v>
      </c>
      <c r="B730">
        <v>26</v>
      </c>
      <c r="C730" t="s">
        <v>1815</v>
      </c>
      <c r="E730" t="s">
        <v>12</v>
      </c>
      <c r="F730" t="s">
        <v>1816</v>
      </c>
      <c r="G730" s="1">
        <v>45270</v>
      </c>
    </row>
    <row r="731" spans="1:7">
      <c r="A731" t="s">
        <v>1817</v>
      </c>
      <c r="B731">
        <v>67</v>
      </c>
      <c r="D731">
        <v>45804</v>
      </c>
      <c r="E731" t="s">
        <v>9</v>
      </c>
      <c r="F731">
        <f>1-887-142-9251</f>
        <v>-10279</v>
      </c>
      <c r="G731" s="1">
        <v>45189</v>
      </c>
    </row>
    <row r="732" spans="1:7">
      <c r="A732" t="s">
        <v>1818</v>
      </c>
      <c r="B732">
        <v>50</v>
      </c>
      <c r="C732" t="s">
        <v>169</v>
      </c>
      <c r="D732">
        <v>125027</v>
      </c>
      <c r="E732" t="s">
        <v>12</v>
      </c>
      <c r="F732" t="s">
        <v>1819</v>
      </c>
      <c r="G732" s="1">
        <v>45140</v>
      </c>
    </row>
    <row r="733" spans="1:7">
      <c r="A733" t="s">
        <v>1820</v>
      </c>
      <c r="B733">
        <v>130</v>
      </c>
      <c r="C733" t="s">
        <v>1821</v>
      </c>
      <c r="D733">
        <v>178868</v>
      </c>
      <c r="E733" t="s">
        <v>27</v>
      </c>
      <c r="F733">
        <f>1-445-565-9978</f>
        <v>-10987</v>
      </c>
      <c r="G733" s="1">
        <v>44970</v>
      </c>
    </row>
    <row r="734" spans="1:7">
      <c r="A734" t="s">
        <v>1822</v>
      </c>
      <c r="B734">
        <v>42</v>
      </c>
      <c r="C734" t="s">
        <v>1823</v>
      </c>
      <c r="D734">
        <v>166109</v>
      </c>
      <c r="E734" t="s">
        <v>9</v>
      </c>
      <c r="F734" t="s">
        <v>1824</v>
      </c>
      <c r="G734" s="1">
        <v>45212</v>
      </c>
    </row>
    <row r="735" spans="1:7">
      <c r="A735" t="s">
        <v>1825</v>
      </c>
      <c r="B735">
        <v>42</v>
      </c>
      <c r="C735" t="s">
        <v>1826</v>
      </c>
      <c r="D735">
        <v>56672</v>
      </c>
      <c r="E735" t="s">
        <v>12</v>
      </c>
      <c r="F735" t="s">
        <v>1827</v>
      </c>
      <c r="G735" s="1">
        <v>45076</v>
      </c>
    </row>
    <row r="736" spans="1:7">
      <c r="A736" t="s">
        <v>1828</v>
      </c>
      <c r="B736">
        <v>72</v>
      </c>
      <c r="C736" t="s">
        <v>1829</v>
      </c>
      <c r="D736">
        <v>64474</v>
      </c>
      <c r="E736" t="s">
        <v>27</v>
      </c>
      <c r="F736" t="s">
        <v>1830</v>
      </c>
      <c r="G736" s="1">
        <v>45107</v>
      </c>
    </row>
    <row r="737" spans="1:7">
      <c r="A737" t="s">
        <v>1831</v>
      </c>
      <c r="B737">
        <v>23</v>
      </c>
      <c r="C737" t="s">
        <v>1832</v>
      </c>
      <c r="D737">
        <v>123948</v>
      </c>
      <c r="E737" t="s">
        <v>27</v>
      </c>
      <c r="F737" t="s">
        <v>1833</v>
      </c>
      <c r="G737" s="1">
        <v>44936</v>
      </c>
    </row>
    <row r="738" spans="1:7">
      <c r="A738" t="s">
        <v>1834</v>
      </c>
      <c r="B738">
        <v>43</v>
      </c>
      <c r="C738" t="s">
        <v>1835</v>
      </c>
      <c r="D738">
        <v>115058</v>
      </c>
      <c r="E738" t="s">
        <v>36</v>
      </c>
      <c r="F738" t="s">
        <v>1836</v>
      </c>
      <c r="G738" s="1">
        <v>45046</v>
      </c>
    </row>
    <row r="739" spans="1:7">
      <c r="B739">
        <v>71</v>
      </c>
      <c r="C739" t="s">
        <v>1837</v>
      </c>
      <c r="D739">
        <v>164917</v>
      </c>
      <c r="E739" t="s">
        <v>12</v>
      </c>
      <c r="F739" t="s">
        <v>1838</v>
      </c>
      <c r="G739" s="1">
        <v>45142</v>
      </c>
    </row>
    <row r="740" spans="1:7">
      <c r="A740" t="s">
        <v>1839</v>
      </c>
      <c r="B740">
        <v>77</v>
      </c>
      <c r="C740" t="s">
        <v>1840</v>
      </c>
      <c r="D740">
        <v>49552</v>
      </c>
      <c r="E740" t="s">
        <v>12</v>
      </c>
      <c r="F740" t="s">
        <v>1841</v>
      </c>
      <c r="G740" s="1">
        <v>45050</v>
      </c>
    </row>
    <row r="741" spans="1:7">
      <c r="A741" t="s">
        <v>1842</v>
      </c>
      <c r="B741">
        <v>52</v>
      </c>
      <c r="C741" t="s">
        <v>1843</v>
      </c>
      <c r="D741">
        <v>60676</v>
      </c>
      <c r="E741" t="s">
        <v>9</v>
      </c>
      <c r="F741" t="s">
        <v>1844</v>
      </c>
      <c r="G741" t="s">
        <v>87</v>
      </c>
    </row>
    <row r="742" spans="1:7">
      <c r="A742" t="s">
        <v>1845</v>
      </c>
      <c r="B742">
        <v>53</v>
      </c>
      <c r="C742" t="s">
        <v>1846</v>
      </c>
      <c r="D742">
        <v>51584</v>
      </c>
      <c r="E742" t="s">
        <v>12</v>
      </c>
      <c r="F742" t="s">
        <v>1847</v>
      </c>
      <c r="G742" s="1">
        <v>45261</v>
      </c>
    </row>
    <row r="743" spans="1:7">
      <c r="A743" t="s">
        <v>1848</v>
      </c>
      <c r="B743">
        <v>37</v>
      </c>
      <c r="C743" t="s">
        <v>1849</v>
      </c>
      <c r="D743">
        <v>178137</v>
      </c>
      <c r="E743" t="s">
        <v>36</v>
      </c>
      <c r="F743" t="s">
        <v>1850</v>
      </c>
      <c r="G743" s="1">
        <v>45044</v>
      </c>
    </row>
    <row r="744" spans="1:7">
      <c r="A744" t="s">
        <v>1851</v>
      </c>
      <c r="B744">
        <v>-1</v>
      </c>
      <c r="C744" t="s">
        <v>1852</v>
      </c>
      <c r="D744">
        <v>89658</v>
      </c>
      <c r="E744" t="s">
        <v>27</v>
      </c>
      <c r="F744">
        <v>7094598442</v>
      </c>
      <c r="G744" t="s">
        <v>87</v>
      </c>
    </row>
    <row r="745" spans="1:7">
      <c r="A745" t="s">
        <v>1853</v>
      </c>
      <c r="B745">
        <v>69</v>
      </c>
      <c r="C745" t="s">
        <v>1854</v>
      </c>
      <c r="D745">
        <v>164199</v>
      </c>
      <c r="E745" t="s">
        <v>27</v>
      </c>
      <c r="F745">
        <v>3241147073</v>
      </c>
      <c r="G745" s="1">
        <v>45146</v>
      </c>
    </row>
    <row r="746" spans="1:7">
      <c r="A746" t="s">
        <v>1855</v>
      </c>
      <c r="B746">
        <v>49</v>
      </c>
      <c r="C746" t="s">
        <v>1856</v>
      </c>
      <c r="D746">
        <v>44390</v>
      </c>
      <c r="E746" t="s">
        <v>12</v>
      </c>
      <c r="F746" t="s">
        <v>1857</v>
      </c>
      <c r="G746" s="1">
        <v>45087</v>
      </c>
    </row>
    <row r="747" spans="1:7">
      <c r="A747" t="s">
        <v>1858</v>
      </c>
      <c r="B747">
        <v>27</v>
      </c>
      <c r="C747" t="s">
        <v>1859</v>
      </c>
      <c r="E747" t="s">
        <v>9</v>
      </c>
      <c r="F747">
        <f>1-909-595-1748</f>
        <v>-3251</v>
      </c>
      <c r="G747" s="1">
        <v>44991</v>
      </c>
    </row>
    <row r="748" spans="1:7">
      <c r="A748" t="s">
        <v>1860</v>
      </c>
      <c r="B748">
        <v>65</v>
      </c>
      <c r="C748" t="s">
        <v>1861</v>
      </c>
      <c r="D748">
        <v>151631</v>
      </c>
      <c r="E748" t="s">
        <v>12</v>
      </c>
      <c r="F748" t="s">
        <v>1862</v>
      </c>
      <c r="G748" s="1">
        <v>45129</v>
      </c>
    </row>
    <row r="749" spans="1:7">
      <c r="A749" t="s">
        <v>1863</v>
      </c>
      <c r="B749">
        <v>37</v>
      </c>
      <c r="C749" t="s">
        <v>170</v>
      </c>
      <c r="D749">
        <v>137205</v>
      </c>
      <c r="E749" t="s">
        <v>36</v>
      </c>
      <c r="F749" t="s">
        <v>1864</v>
      </c>
      <c r="G749" s="1">
        <v>45029</v>
      </c>
    </row>
    <row r="750" spans="1:7">
      <c r="A750" t="s">
        <v>1865</v>
      </c>
      <c r="B750">
        <v>46</v>
      </c>
      <c r="D750">
        <v>168682</v>
      </c>
      <c r="E750" t="s">
        <v>9</v>
      </c>
      <c r="F750">
        <f>1-653-390-4501</f>
        <v>-5543</v>
      </c>
      <c r="G750" s="1">
        <v>45029</v>
      </c>
    </row>
    <row r="751" spans="1:7">
      <c r="A751" t="s">
        <v>1866</v>
      </c>
      <c r="B751">
        <v>18</v>
      </c>
      <c r="C751" t="s">
        <v>1867</v>
      </c>
      <c r="D751">
        <v>31301</v>
      </c>
      <c r="E751" t="s">
        <v>36</v>
      </c>
      <c r="F751" t="s">
        <v>1868</v>
      </c>
      <c r="G751" s="1">
        <v>45188</v>
      </c>
    </row>
    <row r="752" spans="1:7">
      <c r="A752" t="s">
        <v>1869</v>
      </c>
      <c r="B752">
        <v>64</v>
      </c>
      <c r="C752" t="s">
        <v>1870</v>
      </c>
      <c r="D752">
        <v>51316</v>
      </c>
      <c r="E752" t="s">
        <v>9</v>
      </c>
      <c r="F752" t="s">
        <v>1871</v>
      </c>
      <c r="G752" s="1">
        <v>45280</v>
      </c>
    </row>
    <row r="753" spans="1:7">
      <c r="A753" t="s">
        <v>1872</v>
      </c>
      <c r="B753">
        <v>32</v>
      </c>
      <c r="C753" t="s">
        <v>1873</v>
      </c>
      <c r="D753">
        <v>138464</v>
      </c>
      <c r="E753" t="s">
        <v>27</v>
      </c>
      <c r="F753" t="s">
        <v>1874</v>
      </c>
      <c r="G753" s="1">
        <v>45126</v>
      </c>
    </row>
    <row r="754" spans="1:7">
      <c r="A754" t="s">
        <v>1875</v>
      </c>
      <c r="B754">
        <v>28</v>
      </c>
      <c r="C754" t="s">
        <v>1876</v>
      </c>
      <c r="E754" t="s">
        <v>27</v>
      </c>
      <c r="F754" t="s">
        <v>1877</v>
      </c>
      <c r="G754" s="1">
        <v>44968</v>
      </c>
    </row>
    <row r="755" spans="1:7">
      <c r="A755" t="s">
        <v>1878</v>
      </c>
      <c r="B755">
        <v>26</v>
      </c>
      <c r="C755" t="s">
        <v>1879</v>
      </c>
      <c r="D755">
        <v>163060</v>
      </c>
      <c r="E755" t="s">
        <v>36</v>
      </c>
      <c r="F755" t="s">
        <v>1880</v>
      </c>
      <c r="G755" s="1">
        <v>45010</v>
      </c>
    </row>
    <row r="756" spans="1:7">
      <c r="A756" t="s">
        <v>1881</v>
      </c>
      <c r="B756">
        <v>63</v>
      </c>
      <c r="C756" t="s">
        <v>1882</v>
      </c>
      <c r="D756">
        <v>142669</v>
      </c>
      <c r="E756" t="s">
        <v>27</v>
      </c>
      <c r="F756">
        <f>1-490-217-4204</f>
        <v>-4910</v>
      </c>
      <c r="G756" s="1">
        <v>45143</v>
      </c>
    </row>
    <row r="757" spans="1:7">
      <c r="A757" t="s">
        <v>1883</v>
      </c>
      <c r="B757">
        <v>38</v>
      </c>
      <c r="C757" t="s">
        <v>1884</v>
      </c>
      <c r="D757">
        <v>160908</v>
      </c>
      <c r="E757" t="s">
        <v>12</v>
      </c>
      <c r="G757" s="1">
        <v>44972</v>
      </c>
    </row>
    <row r="758" spans="1:7">
      <c r="A758" t="s">
        <v>1885</v>
      </c>
      <c r="B758">
        <v>74</v>
      </c>
      <c r="C758" t="s">
        <v>1886</v>
      </c>
      <c r="D758">
        <v>82949</v>
      </c>
      <c r="E758" t="s">
        <v>12</v>
      </c>
      <c r="F758">
        <v>5808216311</v>
      </c>
      <c r="G758" s="1">
        <v>45267</v>
      </c>
    </row>
    <row r="759" spans="1:7">
      <c r="A759" t="s">
        <v>1887</v>
      </c>
      <c r="B759">
        <v>61</v>
      </c>
      <c r="C759" t="s">
        <v>1888</v>
      </c>
      <c r="D759">
        <v>116704</v>
      </c>
      <c r="E759" t="s">
        <v>27</v>
      </c>
      <c r="G759" s="1">
        <v>45064</v>
      </c>
    </row>
    <row r="760" spans="1:7">
      <c r="A760" t="s">
        <v>1889</v>
      </c>
      <c r="B760">
        <v>33</v>
      </c>
      <c r="D760">
        <v>0</v>
      </c>
      <c r="E760" t="s">
        <v>9</v>
      </c>
      <c r="F760" t="s">
        <v>1890</v>
      </c>
      <c r="G760" s="1">
        <v>45189</v>
      </c>
    </row>
    <row r="761" spans="1:7">
      <c r="A761" t="s">
        <v>1891</v>
      </c>
      <c r="B761">
        <v>38</v>
      </c>
      <c r="C761" t="s">
        <v>1892</v>
      </c>
      <c r="D761">
        <v>141259</v>
      </c>
      <c r="E761" t="s">
        <v>9</v>
      </c>
      <c r="F761" t="s">
        <v>1893</v>
      </c>
      <c r="G761" s="1">
        <v>45015</v>
      </c>
    </row>
    <row r="762" spans="1:7">
      <c r="A762" t="s">
        <v>1894</v>
      </c>
      <c r="B762">
        <v>78</v>
      </c>
      <c r="C762" t="s">
        <v>1895</v>
      </c>
      <c r="D762">
        <v>146908</v>
      </c>
      <c r="E762" t="s">
        <v>9</v>
      </c>
      <c r="F762" t="s">
        <v>1896</v>
      </c>
      <c r="G762" s="1">
        <v>45226</v>
      </c>
    </row>
    <row r="763" spans="1:7">
      <c r="A763" t="s">
        <v>1897</v>
      </c>
      <c r="B763">
        <v>56</v>
      </c>
      <c r="C763" t="s">
        <v>1898</v>
      </c>
      <c r="D763">
        <v>154881</v>
      </c>
      <c r="E763" t="s">
        <v>9</v>
      </c>
      <c r="F763" t="s">
        <v>1899</v>
      </c>
      <c r="G763" s="1">
        <v>45128</v>
      </c>
    </row>
    <row r="764" spans="1:7">
      <c r="A764" t="s">
        <v>1900</v>
      </c>
      <c r="B764">
        <v>37</v>
      </c>
      <c r="C764" t="s">
        <v>1901</v>
      </c>
      <c r="D764">
        <v>90380</v>
      </c>
      <c r="E764" t="s">
        <v>27</v>
      </c>
      <c r="F764" t="s">
        <v>1902</v>
      </c>
      <c r="G764" s="1">
        <v>45086</v>
      </c>
    </row>
    <row r="765" spans="1:7">
      <c r="A765" t="s">
        <v>1903</v>
      </c>
      <c r="B765">
        <v>79</v>
      </c>
      <c r="C765" t="s">
        <v>1904</v>
      </c>
      <c r="D765">
        <v>172961</v>
      </c>
      <c r="E765" t="s">
        <v>9</v>
      </c>
      <c r="F765" t="s">
        <v>1905</v>
      </c>
      <c r="G765" s="1">
        <v>45242</v>
      </c>
    </row>
    <row r="766" spans="1:7">
      <c r="A766" t="s">
        <v>1906</v>
      </c>
      <c r="B766">
        <v>500</v>
      </c>
      <c r="C766" t="s">
        <v>1907</v>
      </c>
      <c r="D766">
        <v>165969</v>
      </c>
      <c r="E766" t="s">
        <v>27</v>
      </c>
      <c r="F766">
        <v>9741553924</v>
      </c>
      <c r="G766" s="1">
        <v>44976</v>
      </c>
    </row>
    <row r="767" spans="1:7">
      <c r="A767" t="s">
        <v>1908</v>
      </c>
      <c r="B767">
        <v>54</v>
      </c>
      <c r="C767" t="s">
        <v>1909</v>
      </c>
      <c r="D767">
        <v>95133</v>
      </c>
      <c r="E767" t="s">
        <v>9</v>
      </c>
      <c r="F767" t="s">
        <v>1910</v>
      </c>
      <c r="G767" s="1">
        <v>45163</v>
      </c>
    </row>
    <row r="768" spans="1:7">
      <c r="A768" t="s">
        <v>1911</v>
      </c>
      <c r="B768">
        <v>20</v>
      </c>
      <c r="C768" t="s">
        <v>1912</v>
      </c>
      <c r="D768">
        <v>141695</v>
      </c>
      <c r="E768" t="s">
        <v>36</v>
      </c>
      <c r="F768" t="s">
        <v>1913</v>
      </c>
      <c r="G768" s="1">
        <v>44927</v>
      </c>
    </row>
    <row r="769" spans="1:7">
      <c r="A769" t="s">
        <v>1914</v>
      </c>
      <c r="B769">
        <v>31</v>
      </c>
      <c r="C769" t="s">
        <v>170</v>
      </c>
      <c r="D769">
        <v>136102</v>
      </c>
      <c r="E769" t="s">
        <v>12</v>
      </c>
      <c r="F769" t="s">
        <v>1915</v>
      </c>
      <c r="G769" s="1">
        <v>45075</v>
      </c>
    </row>
    <row r="770" spans="1:7">
      <c r="A770" t="s">
        <v>1916</v>
      </c>
      <c r="B770">
        <v>18</v>
      </c>
      <c r="C770" t="s">
        <v>1917</v>
      </c>
      <c r="D770">
        <v>175328</v>
      </c>
      <c r="E770" t="s">
        <v>27</v>
      </c>
      <c r="F770" t="s">
        <v>1918</v>
      </c>
      <c r="G770" s="1">
        <v>45029</v>
      </c>
    </row>
    <row r="771" spans="1:7">
      <c r="A771" t="s">
        <v>1919</v>
      </c>
      <c r="B771">
        <v>70</v>
      </c>
      <c r="C771" t="s">
        <v>1920</v>
      </c>
      <c r="D771">
        <v>58633</v>
      </c>
      <c r="E771" t="s">
        <v>27</v>
      </c>
      <c r="F771" t="s">
        <v>1921</v>
      </c>
      <c r="G771" s="1">
        <v>45132</v>
      </c>
    </row>
    <row r="772" spans="1:7">
      <c r="A772" t="s">
        <v>1922</v>
      </c>
      <c r="B772">
        <v>74</v>
      </c>
      <c r="C772" t="s">
        <v>1923</v>
      </c>
      <c r="D772">
        <v>139903</v>
      </c>
      <c r="E772" t="s">
        <v>9</v>
      </c>
      <c r="F772">
        <v>5040912587</v>
      </c>
      <c r="G772" s="1">
        <v>45071</v>
      </c>
    </row>
    <row r="773" spans="1:7">
      <c r="A773" t="s">
        <v>1924</v>
      </c>
      <c r="B773">
        <v>30</v>
      </c>
      <c r="C773" t="s">
        <v>1925</v>
      </c>
      <c r="D773">
        <v>86754</v>
      </c>
      <c r="E773" t="s">
        <v>27</v>
      </c>
      <c r="F773">
        <f>1-132-233-1174</f>
        <v>-1538</v>
      </c>
      <c r="G773" s="1">
        <v>45176</v>
      </c>
    </row>
    <row r="774" spans="1:7">
      <c r="A774" t="s">
        <v>1926</v>
      </c>
      <c r="B774">
        <v>79</v>
      </c>
      <c r="C774" t="s">
        <v>1927</v>
      </c>
      <c r="D774">
        <v>194145</v>
      </c>
      <c r="E774" t="s">
        <v>12</v>
      </c>
      <c r="F774" t="s">
        <v>1928</v>
      </c>
      <c r="G774" s="1">
        <v>45267</v>
      </c>
    </row>
    <row r="775" spans="1:7">
      <c r="A775" t="s">
        <v>1929</v>
      </c>
      <c r="B775">
        <v>79</v>
      </c>
      <c r="C775" t="s">
        <v>1930</v>
      </c>
      <c r="D775">
        <v>98369</v>
      </c>
      <c r="E775" t="s">
        <v>9</v>
      </c>
      <c r="F775" t="s">
        <v>1931</v>
      </c>
      <c r="G775" s="1">
        <v>44986</v>
      </c>
    </row>
    <row r="776" spans="1:7">
      <c r="A776" t="s">
        <v>1932</v>
      </c>
      <c r="B776">
        <v>62</v>
      </c>
      <c r="C776" t="s">
        <v>1933</v>
      </c>
      <c r="D776">
        <v>153402</v>
      </c>
      <c r="E776" t="s">
        <v>36</v>
      </c>
      <c r="F776">
        <f>1-348-997-2883</f>
        <v>-4227</v>
      </c>
      <c r="G776" t="s">
        <v>301</v>
      </c>
    </row>
    <row r="777" spans="1:7">
      <c r="A777" t="s">
        <v>1934</v>
      </c>
      <c r="B777">
        <v>44</v>
      </c>
      <c r="C777" t="s">
        <v>1935</v>
      </c>
      <c r="D777">
        <v>88645</v>
      </c>
      <c r="E777" t="s">
        <v>18</v>
      </c>
      <c r="F777" t="s">
        <v>1936</v>
      </c>
      <c r="G777" s="1">
        <v>44952</v>
      </c>
    </row>
    <row r="778" spans="1:7">
      <c r="A778" t="s">
        <v>1937</v>
      </c>
      <c r="B778">
        <v>-10</v>
      </c>
      <c r="D778">
        <v>156244</v>
      </c>
      <c r="E778" t="s">
        <v>12</v>
      </c>
      <c r="F778" t="s">
        <v>1938</v>
      </c>
      <c r="G778" s="1">
        <v>45114</v>
      </c>
    </row>
    <row r="779" spans="1:7">
      <c r="A779" t="s">
        <v>1939</v>
      </c>
      <c r="B779">
        <v>0</v>
      </c>
      <c r="C779" t="s">
        <v>1940</v>
      </c>
      <c r="D779">
        <v>117893</v>
      </c>
      <c r="E779" t="s">
        <v>9</v>
      </c>
      <c r="F779" t="s">
        <v>1941</v>
      </c>
      <c r="G779" s="1">
        <v>45194</v>
      </c>
    </row>
    <row r="780" spans="1:7">
      <c r="A780" t="s">
        <v>1942</v>
      </c>
      <c r="B780">
        <v>-5</v>
      </c>
      <c r="C780" t="s">
        <v>1943</v>
      </c>
      <c r="D780">
        <v>148647</v>
      </c>
      <c r="E780" t="s">
        <v>12</v>
      </c>
      <c r="F780" t="s">
        <v>1944</v>
      </c>
      <c r="G780" s="1">
        <v>45074</v>
      </c>
    </row>
    <row r="781" spans="1:7">
      <c r="A781" t="s">
        <v>1945</v>
      </c>
      <c r="B781">
        <v>300</v>
      </c>
      <c r="C781" t="s">
        <v>1946</v>
      </c>
      <c r="D781">
        <v>101833</v>
      </c>
      <c r="E781" t="s">
        <v>36</v>
      </c>
      <c r="F781" t="s">
        <v>1947</v>
      </c>
      <c r="G781" t="s">
        <v>1459</v>
      </c>
    </row>
    <row r="782" spans="1:7">
      <c r="A782" t="s">
        <v>1948</v>
      </c>
      <c r="B782">
        <v>24</v>
      </c>
      <c r="C782" t="s">
        <v>389</v>
      </c>
      <c r="D782">
        <v>132421</v>
      </c>
      <c r="E782" t="s">
        <v>9</v>
      </c>
      <c r="F782" t="s">
        <v>1949</v>
      </c>
      <c r="G782" s="1">
        <v>45065</v>
      </c>
    </row>
    <row r="783" spans="1:7">
      <c r="A783" t="s">
        <v>1950</v>
      </c>
      <c r="B783">
        <v>26</v>
      </c>
      <c r="C783" t="s">
        <v>1951</v>
      </c>
      <c r="D783">
        <v>199871</v>
      </c>
      <c r="E783" t="s">
        <v>36</v>
      </c>
      <c r="F783">
        <v>6831030525</v>
      </c>
      <c r="G783" s="1">
        <v>44952</v>
      </c>
    </row>
    <row r="784" spans="1:7">
      <c r="A784" t="s">
        <v>1952</v>
      </c>
      <c r="B784">
        <v>72</v>
      </c>
      <c r="C784" t="s">
        <v>1953</v>
      </c>
      <c r="D784">
        <v>72462</v>
      </c>
      <c r="E784" t="s">
        <v>12</v>
      </c>
      <c r="F784" t="s">
        <v>1954</v>
      </c>
      <c r="G784" s="1">
        <v>45091</v>
      </c>
    </row>
    <row r="785" spans="1:7">
      <c r="A785" t="s">
        <v>1955</v>
      </c>
      <c r="B785">
        <v>78</v>
      </c>
      <c r="C785" t="s">
        <v>1956</v>
      </c>
      <c r="D785">
        <v>115711</v>
      </c>
      <c r="E785" t="s">
        <v>9</v>
      </c>
      <c r="F785" t="s">
        <v>1957</v>
      </c>
      <c r="G785" s="1">
        <v>45277</v>
      </c>
    </row>
    <row r="786" spans="1:7">
      <c r="A786" t="s">
        <v>1958</v>
      </c>
      <c r="B786">
        <v>69</v>
      </c>
      <c r="C786" t="s">
        <v>1959</v>
      </c>
      <c r="D786">
        <v>162659</v>
      </c>
      <c r="E786" t="s">
        <v>9</v>
      </c>
      <c r="F786">
        <f>1-221-746-7422</f>
        <v>-8388</v>
      </c>
      <c r="G786" s="1">
        <v>45243</v>
      </c>
    </row>
    <row r="787" spans="1:7">
      <c r="A787" t="s">
        <v>1960</v>
      </c>
      <c r="B787">
        <v>73</v>
      </c>
      <c r="C787" t="s">
        <v>1961</v>
      </c>
      <c r="D787">
        <v>166873</v>
      </c>
      <c r="E787" t="s">
        <v>36</v>
      </c>
      <c r="F787" t="s">
        <v>1962</v>
      </c>
      <c r="G787" s="1">
        <v>45268</v>
      </c>
    </row>
    <row r="788" spans="1:7">
      <c r="A788" t="s">
        <v>1963</v>
      </c>
      <c r="B788">
        <v>30</v>
      </c>
      <c r="D788">
        <v>68225</v>
      </c>
      <c r="E788" t="s">
        <v>9</v>
      </c>
      <c r="G788" s="1">
        <v>45045</v>
      </c>
    </row>
    <row r="789" spans="1:7">
      <c r="A789" t="s">
        <v>1964</v>
      </c>
      <c r="B789">
        <v>41</v>
      </c>
      <c r="C789" t="s">
        <v>1965</v>
      </c>
      <c r="D789">
        <v>136133</v>
      </c>
      <c r="E789" t="s">
        <v>27</v>
      </c>
      <c r="F789" t="s">
        <v>1966</v>
      </c>
      <c r="G789" s="1">
        <v>44943</v>
      </c>
    </row>
    <row r="790" spans="1:7">
      <c r="A790" t="s">
        <v>1967</v>
      </c>
      <c r="B790">
        <v>38</v>
      </c>
      <c r="C790" t="s">
        <v>1968</v>
      </c>
      <c r="D790">
        <v>73395</v>
      </c>
      <c r="E790" t="s">
        <v>9</v>
      </c>
      <c r="G790" s="1">
        <v>45136</v>
      </c>
    </row>
    <row r="791" spans="1:7">
      <c r="A791" t="s">
        <v>1969</v>
      </c>
      <c r="B791">
        <v>66</v>
      </c>
      <c r="C791" t="s">
        <v>1970</v>
      </c>
      <c r="D791">
        <v>66901</v>
      </c>
      <c r="E791" t="s">
        <v>9</v>
      </c>
      <c r="F791" t="s">
        <v>1971</v>
      </c>
      <c r="G791" s="1">
        <v>45168</v>
      </c>
    </row>
    <row r="792" spans="1:7">
      <c r="A792" t="s">
        <v>1972</v>
      </c>
      <c r="B792">
        <v>78</v>
      </c>
      <c r="C792" t="s">
        <v>1973</v>
      </c>
      <c r="D792">
        <v>116126</v>
      </c>
      <c r="E792" t="s">
        <v>9</v>
      </c>
      <c r="F792" t="s">
        <v>1974</v>
      </c>
      <c r="G792" s="1">
        <v>45270</v>
      </c>
    </row>
    <row r="793" spans="1:7">
      <c r="A793" t="s">
        <v>1975</v>
      </c>
      <c r="B793">
        <v>42</v>
      </c>
      <c r="C793" t="s">
        <v>1976</v>
      </c>
      <c r="D793">
        <v>41349</v>
      </c>
      <c r="E793" t="s">
        <v>36</v>
      </c>
      <c r="F793" t="s">
        <v>1977</v>
      </c>
      <c r="G793" s="1">
        <v>44997</v>
      </c>
    </row>
    <row r="794" spans="1:7">
      <c r="A794" t="s">
        <v>1978</v>
      </c>
      <c r="B794">
        <v>48</v>
      </c>
      <c r="C794" t="s">
        <v>1979</v>
      </c>
      <c r="D794">
        <v>99783</v>
      </c>
      <c r="E794" t="s">
        <v>27</v>
      </c>
      <c r="F794" t="s">
        <v>1980</v>
      </c>
      <c r="G794" s="1">
        <v>45062</v>
      </c>
    </row>
    <row r="795" spans="1:7">
      <c r="A795" t="s">
        <v>1981</v>
      </c>
      <c r="B795">
        <v>-25</v>
      </c>
      <c r="C795" t="s">
        <v>1982</v>
      </c>
      <c r="D795">
        <v>0</v>
      </c>
      <c r="E795" t="s">
        <v>9</v>
      </c>
      <c r="F795">
        <v>3797045905</v>
      </c>
      <c r="G795" s="1">
        <v>45102</v>
      </c>
    </row>
    <row r="796" spans="1:7">
      <c r="A796" t="s">
        <v>1983</v>
      </c>
      <c r="B796">
        <v>57</v>
      </c>
      <c r="C796" t="s">
        <v>1984</v>
      </c>
      <c r="D796">
        <v>137325</v>
      </c>
      <c r="E796" t="s">
        <v>90</v>
      </c>
      <c r="F796" t="s">
        <v>1985</v>
      </c>
      <c r="G796" s="1">
        <v>45052</v>
      </c>
    </row>
    <row r="797" spans="1:7">
      <c r="A797" t="s">
        <v>1986</v>
      </c>
      <c r="B797">
        <v>58</v>
      </c>
      <c r="C797" t="s">
        <v>1987</v>
      </c>
      <c r="D797">
        <v>91844</v>
      </c>
      <c r="E797" t="s">
        <v>27</v>
      </c>
      <c r="F797">
        <v>5021451005</v>
      </c>
      <c r="G797" s="1">
        <v>45261</v>
      </c>
    </row>
    <row r="798" spans="1:7">
      <c r="A798" t="s">
        <v>1988</v>
      </c>
      <c r="B798">
        <v>36</v>
      </c>
      <c r="C798" t="s">
        <v>1989</v>
      </c>
      <c r="D798">
        <v>188598</v>
      </c>
      <c r="E798" t="s">
        <v>27</v>
      </c>
      <c r="F798" t="s">
        <v>1990</v>
      </c>
      <c r="G798" s="1">
        <v>45264</v>
      </c>
    </row>
    <row r="799" spans="1:7">
      <c r="A799" t="s">
        <v>1991</v>
      </c>
      <c r="B799">
        <v>37</v>
      </c>
      <c r="C799" t="s">
        <v>1992</v>
      </c>
      <c r="D799">
        <v>58718</v>
      </c>
      <c r="E799" t="s">
        <v>9</v>
      </c>
      <c r="G799" s="1">
        <v>45076</v>
      </c>
    </row>
    <row r="800" spans="1:7">
      <c r="B800">
        <v>0</v>
      </c>
      <c r="C800" t="s">
        <v>1993</v>
      </c>
      <c r="D800">
        <v>176104</v>
      </c>
      <c r="E800" t="s">
        <v>18</v>
      </c>
      <c r="G800" s="1">
        <v>44962</v>
      </c>
    </row>
    <row r="801" spans="1:7">
      <c r="A801" t="s">
        <v>1994</v>
      </c>
      <c r="B801">
        <v>49</v>
      </c>
      <c r="D801">
        <v>30917</v>
      </c>
      <c r="E801" t="s">
        <v>9</v>
      </c>
      <c r="F801" t="s">
        <v>1995</v>
      </c>
      <c r="G801" s="1">
        <v>45059</v>
      </c>
    </row>
    <row r="802" spans="1:7">
      <c r="A802" t="s">
        <v>1996</v>
      </c>
      <c r="B802">
        <v>36</v>
      </c>
      <c r="C802" t="s">
        <v>299</v>
      </c>
      <c r="D802">
        <v>104601</v>
      </c>
      <c r="E802" t="s">
        <v>36</v>
      </c>
      <c r="F802" t="s">
        <v>1997</v>
      </c>
      <c r="G802" s="1">
        <v>45021</v>
      </c>
    </row>
    <row r="803" spans="1:7">
      <c r="A803" t="s">
        <v>1998</v>
      </c>
      <c r="B803">
        <v>250</v>
      </c>
      <c r="C803" t="s">
        <v>1999</v>
      </c>
      <c r="D803">
        <v>130766</v>
      </c>
      <c r="E803" t="s">
        <v>9</v>
      </c>
      <c r="F803" t="s">
        <v>2000</v>
      </c>
      <c r="G803" s="1">
        <v>45282</v>
      </c>
    </row>
    <row r="804" spans="1:7">
      <c r="B804">
        <v>31</v>
      </c>
      <c r="D804">
        <v>-50000</v>
      </c>
      <c r="E804" t="s">
        <v>27</v>
      </c>
      <c r="F804" t="s">
        <v>2001</v>
      </c>
      <c r="G804" s="1">
        <v>45113</v>
      </c>
    </row>
    <row r="805" spans="1:7">
      <c r="A805" t="s">
        <v>2002</v>
      </c>
      <c r="B805">
        <v>54</v>
      </c>
      <c r="C805" t="s">
        <v>2003</v>
      </c>
      <c r="D805">
        <v>189788</v>
      </c>
      <c r="E805" t="s">
        <v>12</v>
      </c>
      <c r="F805" t="s">
        <v>2004</v>
      </c>
      <c r="G805" s="1">
        <v>45093</v>
      </c>
    </row>
    <row r="806" spans="1:7">
      <c r="A806" t="s">
        <v>2005</v>
      </c>
      <c r="D806">
        <v>194726</v>
      </c>
      <c r="E806" t="s">
        <v>27</v>
      </c>
      <c r="F806" t="s">
        <v>2006</v>
      </c>
      <c r="G806" s="1">
        <v>45282</v>
      </c>
    </row>
    <row r="807" spans="1:7">
      <c r="A807" t="s">
        <v>2007</v>
      </c>
      <c r="B807">
        <v>75</v>
      </c>
      <c r="C807" t="s">
        <v>2008</v>
      </c>
      <c r="D807">
        <v>33748</v>
      </c>
      <c r="E807" t="s">
        <v>9</v>
      </c>
      <c r="F807">
        <f>1-110-332-7767</f>
        <v>-8208</v>
      </c>
      <c r="G807" s="1">
        <v>45104</v>
      </c>
    </row>
    <row r="808" spans="1:7">
      <c r="A808" t="s">
        <v>2009</v>
      </c>
      <c r="B808">
        <v>51</v>
      </c>
      <c r="C808" t="s">
        <v>2010</v>
      </c>
      <c r="D808">
        <v>0</v>
      </c>
      <c r="E808" t="s">
        <v>36</v>
      </c>
      <c r="F808" t="s">
        <v>2011</v>
      </c>
      <c r="G808" s="1">
        <v>45156</v>
      </c>
    </row>
    <row r="809" spans="1:7">
      <c r="A809" t="s">
        <v>2012</v>
      </c>
      <c r="B809">
        <v>76</v>
      </c>
      <c r="C809" t="s">
        <v>2013</v>
      </c>
      <c r="D809">
        <v>83639</v>
      </c>
      <c r="E809" t="s">
        <v>36</v>
      </c>
      <c r="F809">
        <v>7005242777</v>
      </c>
      <c r="G809" s="1">
        <v>45030</v>
      </c>
    </row>
    <row r="810" spans="1:7">
      <c r="A810" t="s">
        <v>2014</v>
      </c>
      <c r="B810">
        <v>25</v>
      </c>
      <c r="C810" t="s">
        <v>2015</v>
      </c>
      <c r="D810">
        <v>67011</v>
      </c>
      <c r="E810" t="s">
        <v>36</v>
      </c>
      <c r="F810" t="s">
        <v>2016</v>
      </c>
      <c r="G810" s="1">
        <v>44999</v>
      </c>
    </row>
    <row r="811" spans="1:7">
      <c r="A811" t="s">
        <v>2017</v>
      </c>
      <c r="B811">
        <v>36</v>
      </c>
      <c r="C811" t="s">
        <v>2018</v>
      </c>
      <c r="D811">
        <v>110729</v>
      </c>
      <c r="E811" t="s">
        <v>36</v>
      </c>
      <c r="G811" s="1">
        <v>45222</v>
      </c>
    </row>
    <row r="812" spans="1:7">
      <c r="A812" t="s">
        <v>2019</v>
      </c>
      <c r="B812">
        <v>30</v>
      </c>
      <c r="C812" t="s">
        <v>2020</v>
      </c>
      <c r="D812">
        <v>76705</v>
      </c>
      <c r="E812" t="s">
        <v>36</v>
      </c>
      <c r="F812">
        <v>9457072430</v>
      </c>
      <c r="G812" s="1">
        <v>44973</v>
      </c>
    </row>
    <row r="813" spans="1:7">
      <c r="A813" t="s">
        <v>2021</v>
      </c>
      <c r="B813">
        <v>42</v>
      </c>
      <c r="C813" t="s">
        <v>2022</v>
      </c>
      <c r="D813">
        <v>0</v>
      </c>
      <c r="E813" t="s">
        <v>12</v>
      </c>
      <c r="F813">
        <f>1-771-696-4049</f>
        <v>-5515</v>
      </c>
      <c r="G813" t="s">
        <v>483</v>
      </c>
    </row>
    <row r="814" spans="1:7">
      <c r="A814" t="s">
        <v>2023</v>
      </c>
      <c r="B814">
        <v>-100</v>
      </c>
      <c r="C814" t="s">
        <v>2024</v>
      </c>
      <c r="D814">
        <v>158848</v>
      </c>
      <c r="E814" t="s">
        <v>12</v>
      </c>
      <c r="F814">
        <f>1-825-587-9771</f>
        <v>-11182</v>
      </c>
      <c r="G814" s="1">
        <v>45077</v>
      </c>
    </row>
    <row r="815" spans="1:7">
      <c r="A815" t="s">
        <v>2025</v>
      </c>
      <c r="B815">
        <v>75</v>
      </c>
      <c r="C815" t="s">
        <v>2026</v>
      </c>
      <c r="D815">
        <v>65098</v>
      </c>
      <c r="E815" t="s">
        <v>36</v>
      </c>
      <c r="F815" t="s">
        <v>2027</v>
      </c>
      <c r="G815" s="1">
        <v>45198</v>
      </c>
    </row>
    <row r="816" spans="1:7">
      <c r="A816" t="s">
        <v>2028</v>
      </c>
      <c r="B816">
        <v>56</v>
      </c>
      <c r="C816" t="s">
        <v>2029</v>
      </c>
      <c r="D816">
        <v>95756</v>
      </c>
      <c r="E816" t="s">
        <v>36</v>
      </c>
      <c r="F816" t="s">
        <v>2030</v>
      </c>
      <c r="G816" s="1">
        <v>45041</v>
      </c>
    </row>
    <row r="817" spans="1:7">
      <c r="A817" t="s">
        <v>2031</v>
      </c>
      <c r="B817">
        <v>62</v>
      </c>
      <c r="C817" t="s">
        <v>2032</v>
      </c>
      <c r="E817" t="s">
        <v>12</v>
      </c>
      <c r="F817" t="s">
        <v>2033</v>
      </c>
      <c r="G817" s="1">
        <v>45290</v>
      </c>
    </row>
    <row r="818" spans="1:7">
      <c r="A818" t="s">
        <v>2034</v>
      </c>
      <c r="B818">
        <v>67</v>
      </c>
      <c r="C818" t="s">
        <v>2035</v>
      </c>
      <c r="D818">
        <v>63896</v>
      </c>
      <c r="E818" t="s">
        <v>36</v>
      </c>
      <c r="F818">
        <v>1849586427</v>
      </c>
      <c r="G818" s="1">
        <v>44941</v>
      </c>
    </row>
    <row r="819" spans="1:7">
      <c r="A819" t="s">
        <v>2036</v>
      </c>
      <c r="B819">
        <v>64</v>
      </c>
      <c r="C819" t="s">
        <v>2037</v>
      </c>
      <c r="D819">
        <v>182008</v>
      </c>
      <c r="E819" t="s">
        <v>9</v>
      </c>
      <c r="G819" s="1">
        <v>44980</v>
      </c>
    </row>
    <row r="820" spans="1:7">
      <c r="A820" t="s">
        <v>2038</v>
      </c>
      <c r="B820">
        <v>18</v>
      </c>
      <c r="C820" t="s">
        <v>2039</v>
      </c>
      <c r="D820">
        <v>176971</v>
      </c>
      <c r="E820" t="s">
        <v>12</v>
      </c>
      <c r="F820" t="s">
        <v>2040</v>
      </c>
      <c r="G820" s="1">
        <v>45107</v>
      </c>
    </row>
    <row r="821" spans="1:7">
      <c r="A821" t="s">
        <v>2041</v>
      </c>
      <c r="B821">
        <v>68</v>
      </c>
      <c r="C821" t="s">
        <v>2042</v>
      </c>
      <c r="D821">
        <v>142313</v>
      </c>
      <c r="E821" t="s">
        <v>9</v>
      </c>
      <c r="F821" t="s">
        <v>2043</v>
      </c>
      <c r="G821" s="1">
        <v>45102</v>
      </c>
    </row>
    <row r="822" spans="1:7">
      <c r="A822" t="s">
        <v>2044</v>
      </c>
      <c r="B822">
        <v>38</v>
      </c>
      <c r="C822" t="s">
        <v>2045</v>
      </c>
      <c r="D822">
        <v>131489</v>
      </c>
      <c r="E822" t="s">
        <v>36</v>
      </c>
      <c r="F822" t="s">
        <v>2046</v>
      </c>
      <c r="G822" s="1">
        <v>45093</v>
      </c>
    </row>
    <row r="823" spans="1:7">
      <c r="A823" t="s">
        <v>2047</v>
      </c>
      <c r="B823">
        <v>79</v>
      </c>
      <c r="C823" t="s">
        <v>2048</v>
      </c>
      <c r="E823" t="s">
        <v>9</v>
      </c>
      <c r="F823" t="s">
        <v>2049</v>
      </c>
      <c r="G823" s="1">
        <v>45029</v>
      </c>
    </row>
    <row r="824" spans="1:7">
      <c r="B824">
        <v>73</v>
      </c>
      <c r="C824" t="s">
        <v>2050</v>
      </c>
      <c r="D824">
        <v>198065</v>
      </c>
      <c r="E824" t="s">
        <v>36</v>
      </c>
      <c r="F824" t="s">
        <v>2051</v>
      </c>
      <c r="G824" s="1">
        <v>45215</v>
      </c>
    </row>
    <row r="825" spans="1:7">
      <c r="A825" t="s">
        <v>2052</v>
      </c>
      <c r="B825">
        <v>57</v>
      </c>
      <c r="C825" t="s">
        <v>2053</v>
      </c>
      <c r="E825" t="s">
        <v>27</v>
      </c>
      <c r="G825" s="1">
        <v>45115</v>
      </c>
    </row>
    <row r="826" spans="1:7">
      <c r="A826" t="s">
        <v>2054</v>
      </c>
      <c r="B826">
        <v>27</v>
      </c>
      <c r="C826" t="s">
        <v>2055</v>
      </c>
      <c r="D826">
        <v>46766</v>
      </c>
      <c r="E826" t="s">
        <v>36</v>
      </c>
      <c r="F826" t="s">
        <v>2056</v>
      </c>
      <c r="G826" s="1">
        <v>44959</v>
      </c>
    </row>
    <row r="827" spans="1:7">
      <c r="A827" t="s">
        <v>2057</v>
      </c>
      <c r="B827">
        <v>26</v>
      </c>
      <c r="C827" t="s">
        <v>2058</v>
      </c>
      <c r="D827">
        <v>116442</v>
      </c>
      <c r="E827" t="s">
        <v>12</v>
      </c>
      <c r="F827" t="s">
        <v>2059</v>
      </c>
      <c r="G827" s="1">
        <v>45156</v>
      </c>
    </row>
    <row r="828" spans="1:7">
      <c r="A828" t="s">
        <v>2060</v>
      </c>
      <c r="B828">
        <v>0</v>
      </c>
      <c r="C828" t="s">
        <v>2061</v>
      </c>
      <c r="D828">
        <v>158041</v>
      </c>
      <c r="E828" t="s">
        <v>36</v>
      </c>
      <c r="F828" t="s">
        <v>2062</v>
      </c>
      <c r="G828" s="1">
        <v>45059</v>
      </c>
    </row>
    <row r="829" spans="1:7">
      <c r="A829" t="s">
        <v>2063</v>
      </c>
      <c r="B829">
        <v>20</v>
      </c>
      <c r="C829" t="s">
        <v>2064</v>
      </c>
      <c r="E829" t="s">
        <v>12</v>
      </c>
      <c r="F829" t="s">
        <v>2065</v>
      </c>
      <c r="G829" s="1">
        <v>45029</v>
      </c>
    </row>
    <row r="830" spans="1:7">
      <c r="A830" t="s">
        <v>2066</v>
      </c>
      <c r="B830">
        <v>32</v>
      </c>
      <c r="C830" t="s">
        <v>2067</v>
      </c>
      <c r="D830">
        <v>190840</v>
      </c>
      <c r="E830" t="s">
        <v>12</v>
      </c>
      <c r="F830" t="s">
        <v>2068</v>
      </c>
      <c r="G830" s="1">
        <v>45142</v>
      </c>
    </row>
    <row r="831" spans="1:7">
      <c r="A831" t="s">
        <v>2069</v>
      </c>
      <c r="B831">
        <v>73</v>
      </c>
      <c r="C831" t="s">
        <v>2070</v>
      </c>
      <c r="D831">
        <v>44389</v>
      </c>
      <c r="E831" t="s">
        <v>36</v>
      </c>
      <c r="F831" t="s">
        <v>2071</v>
      </c>
      <c r="G831" s="1">
        <v>45175</v>
      </c>
    </row>
    <row r="832" spans="1:7">
      <c r="A832" t="s">
        <v>2072</v>
      </c>
      <c r="B832">
        <v>68</v>
      </c>
      <c r="C832" t="s">
        <v>2073</v>
      </c>
      <c r="D832">
        <v>186863</v>
      </c>
      <c r="E832" t="s">
        <v>27</v>
      </c>
      <c r="F832" t="s">
        <v>2074</v>
      </c>
      <c r="G832" s="1">
        <v>44966</v>
      </c>
    </row>
    <row r="833" spans="1:7">
      <c r="A833" t="s">
        <v>2075</v>
      </c>
      <c r="B833">
        <v>64</v>
      </c>
      <c r="D833">
        <v>123078</v>
      </c>
      <c r="E833" t="s">
        <v>12</v>
      </c>
      <c r="G833" s="1">
        <v>45071</v>
      </c>
    </row>
    <row r="834" spans="1:7">
      <c r="A834" t="s">
        <v>2076</v>
      </c>
      <c r="B834">
        <v>22</v>
      </c>
      <c r="C834" t="s">
        <v>2077</v>
      </c>
      <c r="D834">
        <v>55739</v>
      </c>
      <c r="E834" t="s">
        <v>12</v>
      </c>
      <c r="F834" t="s">
        <v>2078</v>
      </c>
      <c r="G834" s="1">
        <v>45121</v>
      </c>
    </row>
    <row r="835" spans="1:7">
      <c r="B835">
        <v>-10</v>
      </c>
      <c r="C835" t="s">
        <v>169</v>
      </c>
      <c r="D835">
        <v>178246</v>
      </c>
      <c r="E835" t="s">
        <v>27</v>
      </c>
      <c r="F835" t="s">
        <v>2079</v>
      </c>
      <c r="G835" s="1">
        <v>45229</v>
      </c>
    </row>
    <row r="836" spans="1:7">
      <c r="A836" t="s">
        <v>2080</v>
      </c>
      <c r="B836">
        <v>66</v>
      </c>
      <c r="C836" t="s">
        <v>2081</v>
      </c>
      <c r="D836">
        <v>98431</v>
      </c>
      <c r="E836" t="s">
        <v>18</v>
      </c>
      <c r="F836" t="s">
        <v>2082</v>
      </c>
      <c r="G836" s="1">
        <v>45093</v>
      </c>
    </row>
    <row r="837" spans="1:7">
      <c r="A837" t="s">
        <v>2083</v>
      </c>
      <c r="B837">
        <v>38</v>
      </c>
      <c r="C837" t="s">
        <v>2084</v>
      </c>
      <c r="D837">
        <v>96060</v>
      </c>
      <c r="E837" t="s">
        <v>27</v>
      </c>
      <c r="F837" t="s">
        <v>2085</v>
      </c>
      <c r="G837" s="1">
        <v>45091</v>
      </c>
    </row>
    <row r="838" spans="1:7">
      <c r="A838" t="s">
        <v>2086</v>
      </c>
      <c r="B838">
        <v>36</v>
      </c>
      <c r="C838" t="s">
        <v>2087</v>
      </c>
      <c r="D838">
        <v>43731</v>
      </c>
      <c r="F838">
        <v>9001594091</v>
      </c>
      <c r="G838" s="1">
        <v>45030</v>
      </c>
    </row>
    <row r="839" spans="1:7">
      <c r="A839" t="s">
        <v>2088</v>
      </c>
      <c r="B839">
        <v>72</v>
      </c>
      <c r="C839" t="s">
        <v>2089</v>
      </c>
      <c r="D839">
        <v>74247</v>
      </c>
      <c r="E839" t="s">
        <v>12</v>
      </c>
      <c r="F839" t="s">
        <v>2090</v>
      </c>
      <c r="G839" s="1">
        <v>44982</v>
      </c>
    </row>
    <row r="840" spans="1:7">
      <c r="B840">
        <v>78</v>
      </c>
      <c r="C840" t="s">
        <v>2091</v>
      </c>
      <c r="D840">
        <v>182191</v>
      </c>
      <c r="E840" t="s">
        <v>12</v>
      </c>
      <c r="F840" t="s">
        <v>2092</v>
      </c>
      <c r="G840" s="1">
        <v>45273</v>
      </c>
    </row>
    <row r="841" spans="1:7">
      <c r="A841" t="s">
        <v>2093</v>
      </c>
      <c r="B841">
        <v>57</v>
      </c>
      <c r="C841" t="s">
        <v>61</v>
      </c>
      <c r="D841">
        <v>96983</v>
      </c>
      <c r="E841" t="s">
        <v>9</v>
      </c>
      <c r="F841">
        <v>1542747974</v>
      </c>
      <c r="G841" s="1">
        <v>44948</v>
      </c>
    </row>
    <row r="842" spans="1:7">
      <c r="A842" t="s">
        <v>2094</v>
      </c>
      <c r="B842">
        <v>78</v>
      </c>
      <c r="C842" t="s">
        <v>2095</v>
      </c>
      <c r="D842">
        <v>66839</v>
      </c>
      <c r="E842" t="s">
        <v>12</v>
      </c>
      <c r="F842" t="s">
        <v>2096</v>
      </c>
      <c r="G842" s="1">
        <v>45269</v>
      </c>
    </row>
    <row r="843" spans="1:7">
      <c r="A843" t="s">
        <v>2097</v>
      </c>
      <c r="B843">
        <v>75</v>
      </c>
      <c r="C843" t="s">
        <v>2098</v>
      </c>
      <c r="D843">
        <v>35594</v>
      </c>
      <c r="E843" t="s">
        <v>27</v>
      </c>
      <c r="F843" t="s">
        <v>2099</v>
      </c>
      <c r="G843" s="1">
        <v>45252</v>
      </c>
    </row>
    <row r="844" spans="1:7">
      <c r="A844" t="s">
        <v>2100</v>
      </c>
      <c r="B844">
        <v>70</v>
      </c>
      <c r="C844" t="s">
        <v>2101</v>
      </c>
      <c r="D844">
        <v>37465</v>
      </c>
      <c r="E844" t="s">
        <v>9</v>
      </c>
      <c r="F844">
        <v>5639613442</v>
      </c>
      <c r="G844" s="1">
        <v>45148</v>
      </c>
    </row>
    <row r="845" spans="1:7">
      <c r="A845" t="s">
        <v>2102</v>
      </c>
      <c r="B845">
        <v>-5</v>
      </c>
      <c r="C845" t="s">
        <v>2103</v>
      </c>
      <c r="D845">
        <v>125864</v>
      </c>
      <c r="E845" t="s">
        <v>36</v>
      </c>
      <c r="G845" s="1">
        <v>45134</v>
      </c>
    </row>
    <row r="846" spans="1:7">
      <c r="A846" t="s">
        <v>2104</v>
      </c>
      <c r="B846">
        <v>34</v>
      </c>
      <c r="C846" t="s">
        <v>2105</v>
      </c>
      <c r="D846">
        <v>58931</v>
      </c>
      <c r="E846" t="s">
        <v>12</v>
      </c>
      <c r="F846">
        <f>1-180-719-4504</f>
        <v>-5402</v>
      </c>
      <c r="G846" s="1">
        <v>45266</v>
      </c>
    </row>
    <row r="847" spans="1:7">
      <c r="A847" t="s">
        <v>2106</v>
      </c>
      <c r="B847">
        <v>28</v>
      </c>
      <c r="C847" t="s">
        <v>2107</v>
      </c>
      <c r="D847">
        <v>152013</v>
      </c>
      <c r="E847" t="s">
        <v>12</v>
      </c>
      <c r="F847">
        <v>4979553207</v>
      </c>
      <c r="G847" s="1">
        <v>45226</v>
      </c>
    </row>
    <row r="848" spans="1:7">
      <c r="A848" t="s">
        <v>2108</v>
      </c>
      <c r="B848">
        <v>76</v>
      </c>
      <c r="D848">
        <v>175778</v>
      </c>
      <c r="E848" t="s">
        <v>9</v>
      </c>
      <c r="F848">
        <f>1-445-316-7088</f>
        <v>-7848</v>
      </c>
      <c r="G848" s="1">
        <v>45089</v>
      </c>
    </row>
    <row r="849" spans="1:7">
      <c r="A849" t="s">
        <v>2109</v>
      </c>
      <c r="B849">
        <v>62</v>
      </c>
      <c r="C849" t="s">
        <v>2110</v>
      </c>
      <c r="D849">
        <v>146545</v>
      </c>
      <c r="E849" t="s">
        <v>9</v>
      </c>
      <c r="F849">
        <v>4559184883</v>
      </c>
      <c r="G849" s="1">
        <v>45149</v>
      </c>
    </row>
    <row r="850" spans="1:7">
      <c r="A850" t="s">
        <v>2111</v>
      </c>
      <c r="B850">
        <v>27</v>
      </c>
      <c r="C850" t="s">
        <v>2112</v>
      </c>
      <c r="D850">
        <v>0</v>
      </c>
      <c r="E850" t="s">
        <v>27</v>
      </c>
      <c r="F850" t="s">
        <v>2113</v>
      </c>
      <c r="G850" s="1">
        <v>45020</v>
      </c>
    </row>
    <row r="851" spans="1:7">
      <c r="A851" t="s">
        <v>2114</v>
      </c>
      <c r="B851">
        <v>53</v>
      </c>
      <c r="C851" t="s">
        <v>2115</v>
      </c>
      <c r="D851">
        <v>174098</v>
      </c>
      <c r="F851" t="s">
        <v>2116</v>
      </c>
      <c r="G851" s="1">
        <v>45045</v>
      </c>
    </row>
    <row r="852" spans="1:7">
      <c r="A852" t="s">
        <v>2117</v>
      </c>
      <c r="B852">
        <v>19</v>
      </c>
      <c r="C852" t="s">
        <v>2118</v>
      </c>
      <c r="D852">
        <v>66021</v>
      </c>
      <c r="E852" t="s">
        <v>12</v>
      </c>
      <c r="F852" t="s">
        <v>2119</v>
      </c>
      <c r="G852" s="1">
        <v>45056</v>
      </c>
    </row>
    <row r="853" spans="1:7">
      <c r="A853" t="s">
        <v>2120</v>
      </c>
      <c r="B853">
        <v>51</v>
      </c>
      <c r="C853" t="s">
        <v>2121</v>
      </c>
      <c r="D853">
        <v>152035</v>
      </c>
      <c r="E853" t="s">
        <v>90</v>
      </c>
      <c r="F853" t="s">
        <v>2122</v>
      </c>
      <c r="G853" s="1">
        <v>44940</v>
      </c>
    </row>
    <row r="854" spans="1:7">
      <c r="A854" t="s">
        <v>2123</v>
      </c>
      <c r="B854">
        <v>25</v>
      </c>
      <c r="C854" t="s">
        <v>2124</v>
      </c>
      <c r="D854">
        <v>69531</v>
      </c>
      <c r="E854" t="s">
        <v>36</v>
      </c>
      <c r="F854" t="s">
        <v>2125</v>
      </c>
      <c r="G854" s="1">
        <v>45224</v>
      </c>
    </row>
    <row r="855" spans="1:7">
      <c r="A855" t="s">
        <v>2126</v>
      </c>
      <c r="B855">
        <v>38</v>
      </c>
      <c r="C855" t="s">
        <v>2127</v>
      </c>
      <c r="D855">
        <v>180823</v>
      </c>
      <c r="E855" t="s">
        <v>27</v>
      </c>
      <c r="G855" s="1">
        <v>45168</v>
      </c>
    </row>
    <row r="856" spans="1:7">
      <c r="A856" t="s">
        <v>263</v>
      </c>
      <c r="B856">
        <v>51</v>
      </c>
      <c r="C856" t="s">
        <v>2128</v>
      </c>
      <c r="D856">
        <v>82389</v>
      </c>
      <c r="E856" t="s">
        <v>12</v>
      </c>
      <c r="F856" t="s">
        <v>2129</v>
      </c>
      <c r="G856" s="1">
        <v>44956</v>
      </c>
    </row>
    <row r="857" spans="1:7">
      <c r="A857" t="s">
        <v>2130</v>
      </c>
      <c r="B857">
        <v>32</v>
      </c>
      <c r="C857" t="s">
        <v>2131</v>
      </c>
      <c r="D857">
        <v>65503</v>
      </c>
      <c r="E857" t="s">
        <v>27</v>
      </c>
      <c r="F857" t="s">
        <v>2132</v>
      </c>
      <c r="G857" s="1">
        <v>45032</v>
      </c>
    </row>
    <row r="858" spans="1:7">
      <c r="A858" t="s">
        <v>2133</v>
      </c>
      <c r="B858">
        <v>37</v>
      </c>
      <c r="C858" t="s">
        <v>2134</v>
      </c>
      <c r="D858">
        <v>38597</v>
      </c>
      <c r="E858" t="s">
        <v>9</v>
      </c>
      <c r="F858" t="s">
        <v>2135</v>
      </c>
      <c r="G858" t="s">
        <v>715</v>
      </c>
    </row>
    <row r="859" spans="1:7">
      <c r="A859" t="s">
        <v>2136</v>
      </c>
      <c r="B859">
        <v>47</v>
      </c>
      <c r="C859" t="s">
        <v>2137</v>
      </c>
      <c r="D859">
        <v>86747</v>
      </c>
      <c r="E859" t="s">
        <v>27</v>
      </c>
      <c r="F859" t="s">
        <v>2138</v>
      </c>
      <c r="G859" s="1">
        <v>45224</v>
      </c>
    </row>
    <row r="860" spans="1:7">
      <c r="A860" t="s">
        <v>2139</v>
      </c>
      <c r="B860">
        <v>22</v>
      </c>
      <c r="C860" t="s">
        <v>2140</v>
      </c>
      <c r="D860">
        <v>161567</v>
      </c>
      <c r="E860" t="s">
        <v>12</v>
      </c>
      <c r="F860">
        <f>1-449-653-3612</f>
        <v>-4713</v>
      </c>
      <c r="G860" t="s">
        <v>1459</v>
      </c>
    </row>
    <row r="861" spans="1:7">
      <c r="A861" t="s">
        <v>2141</v>
      </c>
      <c r="B861">
        <v>40</v>
      </c>
      <c r="C861" t="s">
        <v>2142</v>
      </c>
      <c r="E861" t="s">
        <v>27</v>
      </c>
      <c r="F861" t="s">
        <v>2143</v>
      </c>
      <c r="G861" s="1">
        <v>45165</v>
      </c>
    </row>
    <row r="862" spans="1:7">
      <c r="A862" t="s">
        <v>2144</v>
      </c>
      <c r="B862">
        <v>-999</v>
      </c>
      <c r="C862" t="s">
        <v>531</v>
      </c>
      <c r="D862">
        <v>-1</v>
      </c>
      <c r="E862" t="s">
        <v>532</v>
      </c>
      <c r="G862" t="s">
        <v>493</v>
      </c>
    </row>
    <row r="863" spans="1:7">
      <c r="A863" t="s">
        <v>2145</v>
      </c>
      <c r="B863">
        <v>46</v>
      </c>
      <c r="C863" t="s">
        <v>2146</v>
      </c>
      <c r="D863">
        <v>107242</v>
      </c>
      <c r="E863" t="s">
        <v>27</v>
      </c>
      <c r="F863">
        <f>1-396-282-3606</f>
        <v>-4283</v>
      </c>
      <c r="G863" s="1">
        <v>45101</v>
      </c>
    </row>
    <row r="864" spans="1:7">
      <c r="A864" t="s">
        <v>2147</v>
      </c>
      <c r="B864">
        <v>66</v>
      </c>
      <c r="C864" t="s">
        <v>2148</v>
      </c>
      <c r="D864">
        <v>80940</v>
      </c>
      <c r="E864" t="s">
        <v>36</v>
      </c>
      <c r="G864" t="s">
        <v>1459</v>
      </c>
    </row>
    <row r="865" spans="1:7">
      <c r="A865" t="s">
        <v>2149</v>
      </c>
      <c r="B865">
        <v>37</v>
      </c>
      <c r="C865" t="s">
        <v>2150</v>
      </c>
      <c r="D865">
        <v>188571</v>
      </c>
      <c r="E865" t="s">
        <v>36</v>
      </c>
      <c r="F865" t="s">
        <v>2151</v>
      </c>
      <c r="G865" s="1">
        <v>45210</v>
      </c>
    </row>
    <row r="866" spans="1:7">
      <c r="A866" t="s">
        <v>2152</v>
      </c>
      <c r="B866">
        <v>43</v>
      </c>
      <c r="C866" t="s">
        <v>2153</v>
      </c>
      <c r="D866">
        <v>187221</v>
      </c>
      <c r="E866" t="s">
        <v>36</v>
      </c>
      <c r="F866" t="s">
        <v>2154</v>
      </c>
      <c r="G866" s="1">
        <v>45285</v>
      </c>
    </row>
    <row r="867" spans="1:7">
      <c r="A867" t="s">
        <v>2155</v>
      </c>
      <c r="B867">
        <v>58</v>
      </c>
      <c r="C867" t="s">
        <v>2156</v>
      </c>
      <c r="D867">
        <v>183832</v>
      </c>
      <c r="E867" t="s">
        <v>36</v>
      </c>
      <c r="F867" t="s">
        <v>2157</v>
      </c>
      <c r="G867" s="1">
        <v>45038</v>
      </c>
    </row>
    <row r="868" spans="1:7">
      <c r="A868" t="s">
        <v>2158</v>
      </c>
      <c r="B868">
        <v>43</v>
      </c>
      <c r="C868" t="s">
        <v>2159</v>
      </c>
      <c r="F868" t="s">
        <v>2160</v>
      </c>
      <c r="G868" s="1">
        <v>45183</v>
      </c>
    </row>
    <row r="869" spans="1:7">
      <c r="A869" t="s">
        <v>2161</v>
      </c>
      <c r="B869">
        <v>500</v>
      </c>
      <c r="D869">
        <v>67344</v>
      </c>
      <c r="E869" t="s">
        <v>36</v>
      </c>
      <c r="F869" t="s">
        <v>2162</v>
      </c>
      <c r="G869" s="1">
        <v>45218</v>
      </c>
    </row>
    <row r="870" spans="1:7">
      <c r="A870" t="s">
        <v>2163</v>
      </c>
      <c r="B870">
        <v>34</v>
      </c>
      <c r="C870" t="s">
        <v>2164</v>
      </c>
      <c r="D870">
        <v>185604</v>
      </c>
      <c r="E870" t="s">
        <v>12</v>
      </c>
      <c r="F870" t="s">
        <v>2165</v>
      </c>
      <c r="G870" s="1">
        <v>45253</v>
      </c>
    </row>
    <row r="871" spans="1:7">
      <c r="A871" t="s">
        <v>2166</v>
      </c>
      <c r="B871">
        <v>-1</v>
      </c>
      <c r="C871" t="s">
        <v>2167</v>
      </c>
      <c r="D871">
        <v>163059</v>
      </c>
      <c r="E871" t="s">
        <v>12</v>
      </c>
      <c r="F871" t="s">
        <v>2168</v>
      </c>
      <c r="G871" t="s">
        <v>87</v>
      </c>
    </row>
    <row r="872" spans="1:7">
      <c r="A872" t="s">
        <v>148</v>
      </c>
      <c r="B872">
        <v>78</v>
      </c>
      <c r="C872" t="s">
        <v>2169</v>
      </c>
      <c r="E872" t="s">
        <v>36</v>
      </c>
      <c r="F872" t="s">
        <v>2170</v>
      </c>
      <c r="G872" s="1">
        <v>44931</v>
      </c>
    </row>
    <row r="873" spans="1:7">
      <c r="A873" t="s">
        <v>2171</v>
      </c>
      <c r="B873">
        <v>18</v>
      </c>
      <c r="C873" t="s">
        <v>2172</v>
      </c>
      <c r="D873">
        <v>163943</v>
      </c>
      <c r="E873" t="s">
        <v>36</v>
      </c>
      <c r="F873" t="s">
        <v>2173</v>
      </c>
      <c r="G873" t="s">
        <v>371</v>
      </c>
    </row>
    <row r="874" spans="1:7">
      <c r="A874" t="s">
        <v>2174</v>
      </c>
      <c r="B874">
        <v>74</v>
      </c>
      <c r="C874" t="s">
        <v>2175</v>
      </c>
      <c r="D874">
        <v>0</v>
      </c>
      <c r="E874" t="s">
        <v>9</v>
      </c>
      <c r="F874">
        <v>1257563260</v>
      </c>
      <c r="G874" s="1">
        <v>45143</v>
      </c>
    </row>
    <row r="875" spans="1:7">
      <c r="A875" t="s">
        <v>2176</v>
      </c>
      <c r="B875">
        <v>56</v>
      </c>
      <c r="C875" t="s">
        <v>518</v>
      </c>
      <c r="D875">
        <v>135573</v>
      </c>
      <c r="E875" t="s">
        <v>12</v>
      </c>
      <c r="F875" t="s">
        <v>2177</v>
      </c>
      <c r="G875" s="1">
        <v>45033</v>
      </c>
    </row>
    <row r="876" spans="1:7">
      <c r="A876" t="s">
        <v>2178</v>
      </c>
      <c r="B876">
        <v>71</v>
      </c>
      <c r="C876" t="s">
        <v>518</v>
      </c>
      <c r="D876">
        <v>163653</v>
      </c>
      <c r="E876" t="s">
        <v>27</v>
      </c>
      <c r="F876" t="s">
        <v>2179</v>
      </c>
      <c r="G876" s="1">
        <v>45197</v>
      </c>
    </row>
    <row r="877" spans="1:7">
      <c r="A877" t="s">
        <v>2180</v>
      </c>
      <c r="B877">
        <v>66</v>
      </c>
      <c r="C877" t="s">
        <v>2181</v>
      </c>
      <c r="D877">
        <v>150871</v>
      </c>
      <c r="E877" t="s">
        <v>294</v>
      </c>
      <c r="F877" t="s">
        <v>2182</v>
      </c>
      <c r="G877" s="1">
        <v>45271</v>
      </c>
    </row>
    <row r="878" spans="1:7">
      <c r="A878" t="s">
        <v>2183</v>
      </c>
      <c r="B878">
        <v>35</v>
      </c>
      <c r="C878" t="s">
        <v>2184</v>
      </c>
      <c r="D878">
        <v>156082</v>
      </c>
      <c r="E878" t="s">
        <v>36</v>
      </c>
      <c r="F878" t="s">
        <v>2185</v>
      </c>
      <c r="G878" s="1">
        <v>45203</v>
      </c>
    </row>
    <row r="879" spans="1:7">
      <c r="A879" t="s">
        <v>2186</v>
      </c>
      <c r="B879">
        <v>26</v>
      </c>
      <c r="C879" t="s">
        <v>2187</v>
      </c>
      <c r="D879">
        <v>144091</v>
      </c>
      <c r="E879" t="s">
        <v>27</v>
      </c>
      <c r="G879" s="1">
        <v>45142</v>
      </c>
    </row>
    <row r="880" spans="1:7">
      <c r="A880" t="s">
        <v>2188</v>
      </c>
      <c r="B880">
        <v>250</v>
      </c>
      <c r="C880" t="s">
        <v>445</v>
      </c>
      <c r="D880">
        <v>86071</v>
      </c>
      <c r="E880" t="s">
        <v>9</v>
      </c>
      <c r="F880">
        <f>1-648-119-4412</f>
        <v>-5178</v>
      </c>
      <c r="G880" s="1">
        <v>45010</v>
      </c>
    </row>
    <row r="881" spans="1:7">
      <c r="A881" t="s">
        <v>2189</v>
      </c>
      <c r="B881">
        <v>78</v>
      </c>
      <c r="C881" t="s">
        <v>2190</v>
      </c>
      <c r="D881">
        <v>128322</v>
      </c>
      <c r="E881" t="s">
        <v>9</v>
      </c>
      <c r="F881" t="s">
        <v>2191</v>
      </c>
      <c r="G881" s="1">
        <v>45084</v>
      </c>
    </row>
    <row r="882" spans="1:7">
      <c r="A882" t="s">
        <v>2192</v>
      </c>
      <c r="B882">
        <v>300</v>
      </c>
      <c r="C882" t="s">
        <v>2193</v>
      </c>
      <c r="D882">
        <v>93656</v>
      </c>
      <c r="E882" t="s">
        <v>36</v>
      </c>
      <c r="F882" t="s">
        <v>2194</v>
      </c>
      <c r="G882" s="1">
        <v>45155</v>
      </c>
    </row>
    <row r="883" spans="1:7">
      <c r="A883" t="s">
        <v>2195</v>
      </c>
      <c r="C883" t="s">
        <v>2196</v>
      </c>
      <c r="D883">
        <v>125430</v>
      </c>
      <c r="E883" t="s">
        <v>36</v>
      </c>
      <c r="F883" t="s">
        <v>2197</v>
      </c>
      <c r="G883" t="s">
        <v>87</v>
      </c>
    </row>
    <row r="884" spans="1:7">
      <c r="A884" t="s">
        <v>2198</v>
      </c>
      <c r="B884">
        <v>62</v>
      </c>
      <c r="C884" t="s">
        <v>2199</v>
      </c>
      <c r="D884">
        <v>53989</v>
      </c>
      <c r="E884" t="s">
        <v>9</v>
      </c>
      <c r="F884" t="s">
        <v>2200</v>
      </c>
      <c r="G884" s="1">
        <v>45096</v>
      </c>
    </row>
    <row r="885" spans="1:7">
      <c r="A885" t="s">
        <v>2201</v>
      </c>
      <c r="B885">
        <v>56</v>
      </c>
      <c r="C885" t="s">
        <v>2202</v>
      </c>
      <c r="E885" t="s">
        <v>12</v>
      </c>
      <c r="F885">
        <f>1-230-957-9583</f>
        <v>-10769</v>
      </c>
      <c r="G885" t="s">
        <v>483</v>
      </c>
    </row>
    <row r="886" spans="1:7">
      <c r="A886" t="s">
        <v>2203</v>
      </c>
      <c r="B886">
        <v>150</v>
      </c>
      <c r="C886" t="s">
        <v>2204</v>
      </c>
      <c r="D886">
        <v>131754</v>
      </c>
      <c r="E886" t="s">
        <v>36</v>
      </c>
      <c r="F886" t="s">
        <v>2205</v>
      </c>
      <c r="G886" s="1">
        <v>45012</v>
      </c>
    </row>
    <row r="887" spans="1:7">
      <c r="A887" t="s">
        <v>2206</v>
      </c>
      <c r="B887">
        <v>23</v>
      </c>
      <c r="C887" t="s">
        <v>2207</v>
      </c>
      <c r="D887">
        <v>176245</v>
      </c>
      <c r="E887" t="s">
        <v>27</v>
      </c>
      <c r="G887" s="1">
        <v>44993</v>
      </c>
    </row>
    <row r="888" spans="1:7">
      <c r="A888" t="s">
        <v>2208</v>
      </c>
      <c r="B888">
        <v>37</v>
      </c>
      <c r="C888" t="s">
        <v>2209</v>
      </c>
      <c r="D888">
        <v>87692</v>
      </c>
      <c r="E888" t="s">
        <v>36</v>
      </c>
      <c r="G888" s="1">
        <v>45272</v>
      </c>
    </row>
    <row r="889" spans="1:7">
      <c r="A889" t="s">
        <v>2210</v>
      </c>
      <c r="B889">
        <v>0</v>
      </c>
      <c r="C889" t="s">
        <v>2211</v>
      </c>
      <c r="D889">
        <v>127554</v>
      </c>
      <c r="E889" t="s">
        <v>36</v>
      </c>
      <c r="F889" t="s">
        <v>2212</v>
      </c>
      <c r="G889" s="1">
        <v>45182</v>
      </c>
    </row>
    <row r="890" spans="1:7">
      <c r="A890" t="s">
        <v>2213</v>
      </c>
      <c r="B890">
        <v>27</v>
      </c>
      <c r="C890" t="s">
        <v>2214</v>
      </c>
      <c r="D890">
        <v>101101</v>
      </c>
      <c r="E890" t="s">
        <v>36</v>
      </c>
      <c r="F890" t="s">
        <v>2215</v>
      </c>
      <c r="G890" s="1">
        <v>45213</v>
      </c>
    </row>
    <row r="891" spans="1:7">
      <c r="A891" t="s">
        <v>2216</v>
      </c>
      <c r="B891">
        <v>51</v>
      </c>
      <c r="C891" t="s">
        <v>2217</v>
      </c>
      <c r="E891" t="s">
        <v>9</v>
      </c>
      <c r="F891" t="s">
        <v>2218</v>
      </c>
      <c r="G891" s="1">
        <v>45155</v>
      </c>
    </row>
    <row r="892" spans="1:7">
      <c r="A892" t="s">
        <v>2219</v>
      </c>
      <c r="B892">
        <v>69</v>
      </c>
      <c r="C892" t="s">
        <v>2220</v>
      </c>
      <c r="E892" t="s">
        <v>9</v>
      </c>
      <c r="F892">
        <v>8793998005</v>
      </c>
      <c r="G892" s="1">
        <v>45158</v>
      </c>
    </row>
    <row r="893" spans="1:7">
      <c r="A893" t="s">
        <v>2221</v>
      </c>
      <c r="B893">
        <v>22</v>
      </c>
      <c r="C893" t="s">
        <v>594</v>
      </c>
      <c r="D893">
        <v>177839</v>
      </c>
      <c r="E893" t="s">
        <v>9</v>
      </c>
      <c r="F893" t="s">
        <v>2222</v>
      </c>
      <c r="G893" s="1">
        <v>45048</v>
      </c>
    </row>
    <row r="894" spans="1:7">
      <c r="A894" t="s">
        <v>2223</v>
      </c>
      <c r="B894">
        <v>51</v>
      </c>
      <c r="C894" t="s">
        <v>2224</v>
      </c>
      <c r="D894">
        <v>191564</v>
      </c>
      <c r="E894" t="s">
        <v>9</v>
      </c>
      <c r="F894" t="s">
        <v>2225</v>
      </c>
      <c r="G894" s="1">
        <v>45106</v>
      </c>
    </row>
    <row r="895" spans="1:7">
      <c r="A895" t="s">
        <v>2226</v>
      </c>
      <c r="B895">
        <v>69</v>
      </c>
      <c r="C895" t="s">
        <v>2227</v>
      </c>
      <c r="D895">
        <v>99463</v>
      </c>
      <c r="E895" t="s">
        <v>27</v>
      </c>
      <c r="F895" t="s">
        <v>2228</v>
      </c>
      <c r="G895" s="1">
        <v>45230</v>
      </c>
    </row>
    <row r="896" spans="1:7">
      <c r="A896" t="s">
        <v>2229</v>
      </c>
      <c r="B896">
        <v>32</v>
      </c>
      <c r="C896" t="s">
        <v>2230</v>
      </c>
      <c r="D896">
        <v>-5000</v>
      </c>
      <c r="E896" t="s">
        <v>49</v>
      </c>
      <c r="F896" t="s">
        <v>2231</v>
      </c>
      <c r="G896" s="1">
        <v>45240</v>
      </c>
    </row>
    <row r="897" spans="1:7">
      <c r="A897" t="s">
        <v>2232</v>
      </c>
      <c r="B897">
        <v>68</v>
      </c>
      <c r="C897" t="s">
        <v>2233</v>
      </c>
      <c r="D897">
        <v>161764</v>
      </c>
      <c r="E897" t="s">
        <v>9</v>
      </c>
      <c r="F897" t="s">
        <v>2234</v>
      </c>
      <c r="G897" s="1">
        <v>44998</v>
      </c>
    </row>
    <row r="898" spans="1:7">
      <c r="A898" t="s">
        <v>2235</v>
      </c>
      <c r="B898">
        <v>33</v>
      </c>
      <c r="C898" t="s">
        <v>2236</v>
      </c>
      <c r="D898">
        <v>71269</v>
      </c>
      <c r="E898" t="s">
        <v>27</v>
      </c>
      <c r="F898" t="s">
        <v>2237</v>
      </c>
      <c r="G898" s="1">
        <v>44981</v>
      </c>
    </row>
    <row r="899" spans="1:7">
      <c r="A899" t="s">
        <v>2238</v>
      </c>
      <c r="B899">
        <v>73</v>
      </c>
      <c r="C899" t="s">
        <v>2239</v>
      </c>
      <c r="D899">
        <v>145631</v>
      </c>
      <c r="E899" t="s">
        <v>9</v>
      </c>
      <c r="F899">
        <f>1-396-426-4997</f>
        <v>-5818</v>
      </c>
      <c r="G899" s="1">
        <v>45287</v>
      </c>
    </row>
    <row r="900" spans="1:7">
      <c r="A900" t="s">
        <v>2240</v>
      </c>
      <c r="B900">
        <v>69</v>
      </c>
      <c r="C900" t="s">
        <v>2241</v>
      </c>
      <c r="E900" t="s">
        <v>12</v>
      </c>
      <c r="F900" t="s">
        <v>2242</v>
      </c>
      <c r="G900" s="1">
        <v>44991</v>
      </c>
    </row>
    <row r="901" spans="1:7">
      <c r="A901" t="s">
        <v>2243</v>
      </c>
      <c r="C901" t="s">
        <v>2244</v>
      </c>
      <c r="D901">
        <v>168731</v>
      </c>
      <c r="E901" t="s">
        <v>9</v>
      </c>
      <c r="F901" t="s">
        <v>2245</v>
      </c>
      <c r="G901" s="1">
        <v>45087</v>
      </c>
    </row>
    <row r="902" spans="1:7">
      <c r="A902" t="s">
        <v>2246</v>
      </c>
      <c r="B902">
        <v>54</v>
      </c>
      <c r="C902" t="s">
        <v>2247</v>
      </c>
      <c r="D902">
        <v>91715</v>
      </c>
      <c r="E902" t="s">
        <v>27</v>
      </c>
      <c r="F902">
        <v>6821113146</v>
      </c>
      <c r="G902" s="1">
        <v>45183</v>
      </c>
    </row>
    <row r="903" spans="1:7">
      <c r="A903" t="s">
        <v>2248</v>
      </c>
      <c r="C903" t="s">
        <v>2249</v>
      </c>
      <c r="D903">
        <v>195837</v>
      </c>
      <c r="E903" t="s">
        <v>12</v>
      </c>
      <c r="F903" t="s">
        <v>2250</v>
      </c>
      <c r="G903" s="1">
        <v>45114</v>
      </c>
    </row>
    <row r="904" spans="1:7">
      <c r="A904" t="s">
        <v>2251</v>
      </c>
      <c r="B904">
        <v>30</v>
      </c>
      <c r="C904" t="s">
        <v>2252</v>
      </c>
      <c r="D904">
        <v>187195</v>
      </c>
      <c r="E904" t="s">
        <v>12</v>
      </c>
      <c r="F904" t="s">
        <v>2253</v>
      </c>
      <c r="G904" s="1">
        <v>45291</v>
      </c>
    </row>
    <row r="905" spans="1:7">
      <c r="A905" t="s">
        <v>2254</v>
      </c>
      <c r="B905">
        <v>0</v>
      </c>
      <c r="C905" t="s">
        <v>2255</v>
      </c>
      <c r="D905">
        <v>75436</v>
      </c>
      <c r="E905" t="s">
        <v>12</v>
      </c>
      <c r="F905" t="s">
        <v>2256</v>
      </c>
      <c r="G905" s="1">
        <v>45080</v>
      </c>
    </row>
    <row r="906" spans="1:7">
      <c r="A906" t="s">
        <v>2257</v>
      </c>
      <c r="B906">
        <v>65</v>
      </c>
      <c r="C906" t="s">
        <v>169</v>
      </c>
      <c r="D906">
        <v>148884</v>
      </c>
      <c r="E906" t="s">
        <v>9</v>
      </c>
      <c r="F906" t="s">
        <v>2258</v>
      </c>
      <c r="G906" s="1">
        <v>45151</v>
      </c>
    </row>
    <row r="907" spans="1:7">
      <c r="A907" t="s">
        <v>2259</v>
      </c>
      <c r="B907">
        <v>38</v>
      </c>
      <c r="C907" t="s">
        <v>17</v>
      </c>
      <c r="D907">
        <v>126058</v>
      </c>
      <c r="E907" t="s">
        <v>9</v>
      </c>
      <c r="F907">
        <v>1536121369</v>
      </c>
      <c r="G907" s="1">
        <v>45078</v>
      </c>
    </row>
    <row r="908" spans="1:7">
      <c r="A908" t="s">
        <v>2260</v>
      </c>
      <c r="B908">
        <v>38</v>
      </c>
      <c r="C908" t="s">
        <v>2261</v>
      </c>
      <c r="D908">
        <v>146841</v>
      </c>
      <c r="E908" t="s">
        <v>9</v>
      </c>
      <c r="F908" t="s">
        <v>2262</v>
      </c>
      <c r="G908" s="1">
        <v>44976</v>
      </c>
    </row>
    <row r="909" spans="1:7">
      <c r="A909" t="s">
        <v>2263</v>
      </c>
      <c r="B909">
        <v>43</v>
      </c>
      <c r="C909" t="s">
        <v>2264</v>
      </c>
      <c r="D909">
        <v>57197</v>
      </c>
      <c r="E909" t="s">
        <v>12</v>
      </c>
      <c r="F909" t="s">
        <v>2265</v>
      </c>
      <c r="G909" s="1">
        <v>45125</v>
      </c>
    </row>
    <row r="910" spans="1:7">
      <c r="A910" t="s">
        <v>2266</v>
      </c>
      <c r="B910">
        <v>55</v>
      </c>
      <c r="D910">
        <v>199796</v>
      </c>
      <c r="F910">
        <v>2691911008</v>
      </c>
      <c r="G910" s="1">
        <v>45103</v>
      </c>
    </row>
    <row r="911" spans="1:7">
      <c r="A911" t="s">
        <v>2267</v>
      </c>
      <c r="B911">
        <v>32</v>
      </c>
      <c r="C911" t="s">
        <v>2268</v>
      </c>
      <c r="E911" t="s">
        <v>9</v>
      </c>
      <c r="G911" s="1">
        <v>45100</v>
      </c>
    </row>
    <row r="912" spans="1:7">
      <c r="A912" t="s">
        <v>2269</v>
      </c>
      <c r="B912">
        <v>69</v>
      </c>
      <c r="C912" t="s">
        <v>61</v>
      </c>
      <c r="F912" t="s">
        <v>2270</v>
      </c>
      <c r="G912" s="1">
        <v>45204</v>
      </c>
    </row>
    <row r="913" spans="1:7">
      <c r="A913" t="s">
        <v>2271</v>
      </c>
      <c r="B913">
        <v>0</v>
      </c>
      <c r="C913" t="s">
        <v>2272</v>
      </c>
      <c r="D913">
        <v>100305</v>
      </c>
      <c r="E913" t="s">
        <v>9</v>
      </c>
      <c r="F913" t="s">
        <v>2273</v>
      </c>
      <c r="G913" s="1">
        <v>45194</v>
      </c>
    </row>
    <row r="914" spans="1:7">
      <c r="A914" t="s">
        <v>2274</v>
      </c>
      <c r="B914">
        <v>-100</v>
      </c>
      <c r="C914" t="s">
        <v>17</v>
      </c>
      <c r="D914">
        <v>128802</v>
      </c>
      <c r="E914" t="s">
        <v>12</v>
      </c>
      <c r="F914">
        <v>5060469890</v>
      </c>
      <c r="G914" s="1">
        <v>45266</v>
      </c>
    </row>
    <row r="915" spans="1:7">
      <c r="A915" t="s">
        <v>2275</v>
      </c>
      <c r="B915">
        <v>34</v>
      </c>
      <c r="C915" t="s">
        <v>2276</v>
      </c>
      <c r="D915">
        <v>158652</v>
      </c>
      <c r="E915" t="s">
        <v>12</v>
      </c>
      <c r="F915" t="s">
        <v>2277</v>
      </c>
      <c r="G915" s="1">
        <v>45120</v>
      </c>
    </row>
    <row r="916" spans="1:7">
      <c r="A916" t="s">
        <v>2278</v>
      </c>
      <c r="B916">
        <v>70</v>
      </c>
      <c r="C916" t="s">
        <v>2279</v>
      </c>
      <c r="D916">
        <v>111533</v>
      </c>
      <c r="E916" t="s">
        <v>36</v>
      </c>
      <c r="F916">
        <v>7841626357</v>
      </c>
      <c r="G916" s="1">
        <v>45087</v>
      </c>
    </row>
    <row r="917" spans="1:7">
      <c r="A917" t="s">
        <v>2280</v>
      </c>
      <c r="B917">
        <v>75</v>
      </c>
      <c r="C917" t="s">
        <v>2281</v>
      </c>
      <c r="D917">
        <v>151759</v>
      </c>
      <c r="E917" t="s">
        <v>27</v>
      </c>
      <c r="G917" s="1">
        <v>45251</v>
      </c>
    </row>
    <row r="918" spans="1:7">
      <c r="A918" t="s">
        <v>2282</v>
      </c>
      <c r="B918">
        <v>46</v>
      </c>
      <c r="C918" t="s">
        <v>2283</v>
      </c>
      <c r="D918">
        <v>81012</v>
      </c>
      <c r="E918" t="s">
        <v>27</v>
      </c>
      <c r="F918" t="s">
        <v>2284</v>
      </c>
      <c r="G918" s="1">
        <v>45260</v>
      </c>
    </row>
    <row r="919" spans="1:7">
      <c r="A919" t="s">
        <v>2285</v>
      </c>
      <c r="B919">
        <v>300</v>
      </c>
      <c r="C919" t="s">
        <v>2286</v>
      </c>
      <c r="D919">
        <v>57160</v>
      </c>
      <c r="E919" t="s">
        <v>27</v>
      </c>
      <c r="F919" t="s">
        <v>2287</v>
      </c>
      <c r="G919" s="1">
        <v>45245</v>
      </c>
    </row>
    <row r="920" spans="1:7">
      <c r="A920" t="s">
        <v>2288</v>
      </c>
      <c r="B920">
        <v>40</v>
      </c>
      <c r="C920" t="s">
        <v>2289</v>
      </c>
      <c r="D920">
        <v>191100</v>
      </c>
      <c r="E920" t="s">
        <v>12</v>
      </c>
      <c r="F920" t="s">
        <v>2290</v>
      </c>
      <c r="G920" s="1">
        <v>45210</v>
      </c>
    </row>
    <row r="921" spans="1:7">
      <c r="A921" t="s">
        <v>2291</v>
      </c>
      <c r="B921">
        <v>60</v>
      </c>
      <c r="C921" t="s">
        <v>2292</v>
      </c>
      <c r="D921">
        <v>35269</v>
      </c>
      <c r="E921" t="s">
        <v>9</v>
      </c>
      <c r="F921" t="s">
        <v>2293</v>
      </c>
      <c r="G921" s="1">
        <v>45035</v>
      </c>
    </row>
    <row r="922" spans="1:7">
      <c r="A922" t="s">
        <v>2294</v>
      </c>
      <c r="B922">
        <v>75</v>
      </c>
      <c r="C922" t="s">
        <v>2295</v>
      </c>
      <c r="D922">
        <v>69422</v>
      </c>
      <c r="E922" t="s">
        <v>12</v>
      </c>
      <c r="F922">
        <f>1-172-927-3018</f>
        <v>-4116</v>
      </c>
      <c r="G922" s="1">
        <v>44927</v>
      </c>
    </row>
    <row r="923" spans="1:7">
      <c r="A923" t="s">
        <v>2296</v>
      </c>
      <c r="B923">
        <v>-100</v>
      </c>
      <c r="C923" t="s">
        <v>2297</v>
      </c>
      <c r="D923">
        <v>193088</v>
      </c>
      <c r="E923" t="s">
        <v>27</v>
      </c>
      <c r="F923" t="s">
        <v>2298</v>
      </c>
      <c r="G923" s="1">
        <v>44944</v>
      </c>
    </row>
    <row r="924" spans="1:7">
      <c r="A924" t="s">
        <v>2299</v>
      </c>
      <c r="B924">
        <v>76</v>
      </c>
      <c r="C924" t="s">
        <v>2300</v>
      </c>
      <c r="D924">
        <v>56026</v>
      </c>
      <c r="E924" t="s">
        <v>27</v>
      </c>
      <c r="F924">
        <v>7514683531</v>
      </c>
      <c r="G924" s="1">
        <v>44928</v>
      </c>
    </row>
    <row r="925" spans="1:7">
      <c r="A925" t="s">
        <v>2301</v>
      </c>
      <c r="B925">
        <v>41</v>
      </c>
      <c r="C925" t="s">
        <v>2302</v>
      </c>
      <c r="D925">
        <v>123831</v>
      </c>
      <c r="E925" t="s">
        <v>9</v>
      </c>
      <c r="F925" t="s">
        <v>2303</v>
      </c>
      <c r="G925" s="1">
        <v>45178</v>
      </c>
    </row>
    <row r="926" spans="1:7">
      <c r="A926" t="s">
        <v>2304</v>
      </c>
      <c r="B926">
        <v>250</v>
      </c>
      <c r="C926" t="s">
        <v>2305</v>
      </c>
      <c r="D926">
        <v>171932</v>
      </c>
      <c r="E926" t="s">
        <v>12</v>
      </c>
      <c r="F926">
        <v>3999214187</v>
      </c>
      <c r="G926" s="1">
        <v>45111</v>
      </c>
    </row>
    <row r="927" spans="1:7">
      <c r="A927" t="s">
        <v>2306</v>
      </c>
      <c r="B927">
        <v>200</v>
      </c>
      <c r="C927" t="s">
        <v>2307</v>
      </c>
      <c r="D927">
        <v>118741</v>
      </c>
      <c r="E927" t="s">
        <v>27</v>
      </c>
      <c r="F927" t="s">
        <v>2308</v>
      </c>
      <c r="G927" s="1">
        <v>44966</v>
      </c>
    </row>
    <row r="928" spans="1:7">
      <c r="A928" t="s">
        <v>2309</v>
      </c>
      <c r="B928">
        <v>200</v>
      </c>
      <c r="C928" t="s">
        <v>2310</v>
      </c>
      <c r="D928">
        <v>49404</v>
      </c>
      <c r="E928" t="s">
        <v>294</v>
      </c>
      <c r="F928">
        <v>7760158051</v>
      </c>
      <c r="G928" s="1">
        <v>44972</v>
      </c>
    </row>
    <row r="929" spans="1:7">
      <c r="A929" t="s">
        <v>2311</v>
      </c>
      <c r="B929">
        <v>49</v>
      </c>
      <c r="C929" t="s">
        <v>2312</v>
      </c>
      <c r="D929">
        <v>156649</v>
      </c>
      <c r="E929" t="s">
        <v>36</v>
      </c>
      <c r="F929" t="s">
        <v>2313</v>
      </c>
      <c r="G929" s="1">
        <v>44966</v>
      </c>
    </row>
    <row r="930" spans="1:7">
      <c r="A930" t="s">
        <v>2314</v>
      </c>
      <c r="B930">
        <v>49</v>
      </c>
      <c r="C930" t="s">
        <v>2315</v>
      </c>
      <c r="D930">
        <v>33748</v>
      </c>
      <c r="E930" t="s">
        <v>294</v>
      </c>
      <c r="F930" t="s">
        <v>2316</v>
      </c>
      <c r="G930" s="1">
        <v>45031</v>
      </c>
    </row>
    <row r="931" spans="1:7">
      <c r="A931" t="s">
        <v>2317</v>
      </c>
      <c r="B931">
        <v>55</v>
      </c>
      <c r="C931" t="s">
        <v>2318</v>
      </c>
      <c r="D931">
        <v>134433</v>
      </c>
      <c r="E931" t="s">
        <v>9</v>
      </c>
      <c r="F931" t="s">
        <v>2319</v>
      </c>
      <c r="G931" s="1">
        <v>44936</v>
      </c>
    </row>
    <row r="932" spans="1:7">
      <c r="A932" t="s">
        <v>2320</v>
      </c>
      <c r="B932">
        <v>62</v>
      </c>
      <c r="C932" t="s">
        <v>2321</v>
      </c>
      <c r="D932">
        <v>104694</v>
      </c>
      <c r="E932" t="s">
        <v>12</v>
      </c>
      <c r="F932" t="s">
        <v>2322</v>
      </c>
      <c r="G932" s="1">
        <v>45183</v>
      </c>
    </row>
    <row r="933" spans="1:7">
      <c r="A933" t="s">
        <v>2323</v>
      </c>
      <c r="B933">
        <v>54</v>
      </c>
      <c r="C933" t="s">
        <v>2324</v>
      </c>
      <c r="D933">
        <v>119385</v>
      </c>
      <c r="E933" t="s">
        <v>9</v>
      </c>
      <c r="F933" t="s">
        <v>2325</v>
      </c>
      <c r="G933" s="1">
        <v>45147</v>
      </c>
    </row>
    <row r="934" spans="1:7">
      <c r="A934" t="s">
        <v>2326</v>
      </c>
      <c r="B934">
        <v>180</v>
      </c>
      <c r="C934" t="s">
        <v>2327</v>
      </c>
      <c r="E934" t="s">
        <v>27</v>
      </c>
      <c r="F934">
        <v>7159619661</v>
      </c>
      <c r="G934" s="1">
        <v>45043</v>
      </c>
    </row>
    <row r="935" spans="1:7">
      <c r="A935" t="s">
        <v>2328</v>
      </c>
      <c r="B935">
        <v>47</v>
      </c>
      <c r="C935" t="s">
        <v>2329</v>
      </c>
      <c r="D935">
        <v>85809</v>
      </c>
      <c r="E935" t="s">
        <v>36</v>
      </c>
      <c r="F935" t="s">
        <v>2330</v>
      </c>
      <c r="G935" s="1">
        <v>45102</v>
      </c>
    </row>
    <row r="936" spans="1:7">
      <c r="A936" t="s">
        <v>2331</v>
      </c>
      <c r="B936">
        <v>39</v>
      </c>
      <c r="C936" t="s">
        <v>2332</v>
      </c>
      <c r="D936">
        <v>194912</v>
      </c>
      <c r="E936" t="s">
        <v>12</v>
      </c>
      <c r="F936" t="s">
        <v>2333</v>
      </c>
      <c r="G936" s="1">
        <v>45288</v>
      </c>
    </row>
    <row r="937" spans="1:7">
      <c r="A937" t="s">
        <v>2334</v>
      </c>
      <c r="B937">
        <v>77</v>
      </c>
      <c r="C937" t="s">
        <v>2335</v>
      </c>
      <c r="D937">
        <v>30654</v>
      </c>
      <c r="E937" t="s">
        <v>36</v>
      </c>
      <c r="F937" t="s">
        <v>2336</v>
      </c>
      <c r="G937" s="1">
        <v>45083</v>
      </c>
    </row>
    <row r="938" spans="1:7">
      <c r="A938" t="s">
        <v>2337</v>
      </c>
      <c r="B938">
        <v>40</v>
      </c>
      <c r="C938" t="s">
        <v>2338</v>
      </c>
      <c r="D938">
        <v>67860</v>
      </c>
      <c r="E938" t="s">
        <v>36</v>
      </c>
      <c r="F938">
        <v>7363409651</v>
      </c>
      <c r="G938" s="1">
        <v>44966</v>
      </c>
    </row>
    <row r="939" spans="1:7">
      <c r="A939" t="s">
        <v>2339</v>
      </c>
      <c r="B939">
        <v>50</v>
      </c>
      <c r="C939" t="s">
        <v>2340</v>
      </c>
      <c r="E939" t="s">
        <v>12</v>
      </c>
      <c r="F939">
        <v>4738737735</v>
      </c>
      <c r="G939" s="1">
        <v>45280</v>
      </c>
    </row>
    <row r="940" spans="1:7">
      <c r="A940" t="s">
        <v>2341</v>
      </c>
      <c r="B940">
        <v>39</v>
      </c>
      <c r="C940" t="s">
        <v>2342</v>
      </c>
      <c r="E940" t="s">
        <v>27</v>
      </c>
      <c r="F940" t="s">
        <v>2343</v>
      </c>
      <c r="G940" s="1">
        <v>45050</v>
      </c>
    </row>
    <row r="941" spans="1:7">
      <c r="A941" t="s">
        <v>2344</v>
      </c>
      <c r="B941">
        <v>64</v>
      </c>
      <c r="C941" t="s">
        <v>2345</v>
      </c>
      <c r="D941">
        <v>88817</v>
      </c>
      <c r="E941" t="s">
        <v>9</v>
      </c>
      <c r="F941">
        <v>1374736832</v>
      </c>
      <c r="G941" s="1">
        <v>45036</v>
      </c>
    </row>
    <row r="942" spans="1:7">
      <c r="A942" t="s">
        <v>2346</v>
      </c>
      <c r="B942">
        <v>150</v>
      </c>
      <c r="C942" t="s">
        <v>169</v>
      </c>
      <c r="E942" t="s">
        <v>27</v>
      </c>
      <c r="G942" s="1">
        <v>45183</v>
      </c>
    </row>
    <row r="943" spans="1:7">
      <c r="A943" t="s">
        <v>2347</v>
      </c>
      <c r="C943" t="s">
        <v>2348</v>
      </c>
      <c r="D943">
        <v>90942</v>
      </c>
      <c r="E943" t="s">
        <v>36</v>
      </c>
      <c r="F943">
        <v>1882973081</v>
      </c>
      <c r="G943" s="1">
        <v>44960</v>
      </c>
    </row>
    <row r="944" spans="1:7">
      <c r="A944" t="s">
        <v>2349</v>
      </c>
      <c r="B944">
        <v>31</v>
      </c>
      <c r="D944">
        <v>185888</v>
      </c>
      <c r="E944" t="s">
        <v>27</v>
      </c>
      <c r="F944">
        <v>4079282743</v>
      </c>
      <c r="G944" s="1">
        <v>45245</v>
      </c>
    </row>
    <row r="945" spans="1:7">
      <c r="A945" t="s">
        <v>2350</v>
      </c>
      <c r="B945">
        <v>200</v>
      </c>
      <c r="C945" t="s">
        <v>2351</v>
      </c>
      <c r="D945">
        <v>55566</v>
      </c>
      <c r="E945" t="s">
        <v>9</v>
      </c>
      <c r="F945">
        <f>1-835-933-4748</f>
        <v>-6515</v>
      </c>
      <c r="G945" s="1">
        <v>45152</v>
      </c>
    </row>
    <row r="946" spans="1:7">
      <c r="A946" t="s">
        <v>2352</v>
      </c>
      <c r="B946">
        <v>40</v>
      </c>
      <c r="C946" t="s">
        <v>2353</v>
      </c>
      <c r="D946">
        <v>88755</v>
      </c>
      <c r="E946" t="s">
        <v>12</v>
      </c>
      <c r="F946" t="s">
        <v>2354</v>
      </c>
      <c r="G946" s="1">
        <v>45145</v>
      </c>
    </row>
    <row r="947" spans="1:7">
      <c r="A947" t="s">
        <v>2355</v>
      </c>
      <c r="B947">
        <v>38</v>
      </c>
      <c r="C947" t="s">
        <v>2356</v>
      </c>
      <c r="D947">
        <v>148333</v>
      </c>
      <c r="E947" t="s">
        <v>27</v>
      </c>
      <c r="F947" t="s">
        <v>2357</v>
      </c>
      <c r="G947" s="1">
        <v>44936</v>
      </c>
    </row>
    <row r="948" spans="1:7">
      <c r="A948" t="s">
        <v>2358</v>
      </c>
      <c r="B948">
        <v>69</v>
      </c>
      <c r="C948" t="s">
        <v>2359</v>
      </c>
      <c r="D948">
        <v>187495</v>
      </c>
      <c r="E948" t="s">
        <v>27</v>
      </c>
      <c r="F948" t="s">
        <v>2360</v>
      </c>
      <c r="G948" s="1">
        <v>45180</v>
      </c>
    </row>
    <row r="949" spans="1:7">
      <c r="A949" t="s">
        <v>2361</v>
      </c>
      <c r="B949">
        <v>46</v>
      </c>
      <c r="C949" t="s">
        <v>2362</v>
      </c>
      <c r="D949">
        <v>46535</v>
      </c>
      <c r="E949" t="s">
        <v>12</v>
      </c>
      <c r="F949" t="s">
        <v>2363</v>
      </c>
      <c r="G949" s="1">
        <v>45106</v>
      </c>
    </row>
    <row r="950" spans="1:7">
      <c r="A950" t="s">
        <v>2364</v>
      </c>
      <c r="B950">
        <v>22</v>
      </c>
      <c r="C950" t="s">
        <v>2365</v>
      </c>
      <c r="D950">
        <v>31541</v>
      </c>
      <c r="E950" t="s">
        <v>27</v>
      </c>
      <c r="F950">
        <f>1-609-906-2979</f>
        <v>-4493</v>
      </c>
      <c r="G950" s="1">
        <v>44961</v>
      </c>
    </row>
    <row r="951" spans="1:7">
      <c r="A951" t="s">
        <v>2366</v>
      </c>
      <c r="B951">
        <v>63</v>
      </c>
      <c r="C951" t="s">
        <v>2367</v>
      </c>
      <c r="D951">
        <v>88819</v>
      </c>
      <c r="E951" t="s">
        <v>27</v>
      </c>
      <c r="F951" t="s">
        <v>2368</v>
      </c>
      <c r="G951" s="1">
        <v>45197</v>
      </c>
    </row>
    <row r="952" spans="1:7">
      <c r="A952" t="s">
        <v>2369</v>
      </c>
      <c r="B952">
        <v>67</v>
      </c>
      <c r="C952" t="s">
        <v>2370</v>
      </c>
      <c r="D952">
        <v>149639</v>
      </c>
      <c r="E952" t="s">
        <v>36</v>
      </c>
      <c r="F952" t="s">
        <v>2371</v>
      </c>
      <c r="G952" s="1">
        <v>44969</v>
      </c>
    </row>
    <row r="953" spans="1:7">
      <c r="A953" t="s">
        <v>2372</v>
      </c>
      <c r="B953">
        <v>62</v>
      </c>
      <c r="C953" t="s">
        <v>115</v>
      </c>
      <c r="E953" t="s">
        <v>27</v>
      </c>
      <c r="F953" t="s">
        <v>2373</v>
      </c>
      <c r="G953" s="1">
        <v>45028</v>
      </c>
    </row>
    <row r="954" spans="1:7">
      <c r="B954">
        <v>46</v>
      </c>
      <c r="C954" t="s">
        <v>2374</v>
      </c>
      <c r="D954">
        <v>120909</v>
      </c>
      <c r="E954" t="s">
        <v>294</v>
      </c>
      <c r="F954" t="s">
        <v>2375</v>
      </c>
      <c r="G954" s="1">
        <v>45206</v>
      </c>
    </row>
    <row r="955" spans="1:7">
      <c r="A955" t="s">
        <v>2376</v>
      </c>
      <c r="B955">
        <v>74</v>
      </c>
      <c r="C955" t="s">
        <v>2377</v>
      </c>
      <c r="D955">
        <v>147243</v>
      </c>
      <c r="E955" t="s">
        <v>90</v>
      </c>
      <c r="F955">
        <v>2034595927</v>
      </c>
      <c r="G955" s="1">
        <v>45176</v>
      </c>
    </row>
    <row r="956" spans="1:7">
      <c r="B956">
        <v>52</v>
      </c>
      <c r="C956" t="s">
        <v>2378</v>
      </c>
      <c r="D956">
        <v>199801</v>
      </c>
      <c r="E956" t="s">
        <v>12</v>
      </c>
      <c r="F956" t="s">
        <v>2379</v>
      </c>
      <c r="G956" s="1">
        <v>45221</v>
      </c>
    </row>
    <row r="957" spans="1:7">
      <c r="A957" t="s">
        <v>2380</v>
      </c>
      <c r="B957">
        <v>300</v>
      </c>
      <c r="C957" t="s">
        <v>2381</v>
      </c>
      <c r="D957">
        <v>191081</v>
      </c>
      <c r="E957" t="s">
        <v>36</v>
      </c>
      <c r="F957">
        <v>8268862104</v>
      </c>
      <c r="G957" s="1">
        <v>45085</v>
      </c>
    </row>
    <row r="958" spans="1:7">
      <c r="B958">
        <v>50</v>
      </c>
      <c r="C958" t="s">
        <v>2382</v>
      </c>
      <c r="D958">
        <v>86635</v>
      </c>
      <c r="E958" t="s">
        <v>873</v>
      </c>
      <c r="F958" t="s">
        <v>2383</v>
      </c>
      <c r="G958" s="1">
        <v>45251</v>
      </c>
    </row>
    <row r="959" spans="1:7">
      <c r="A959" t="s">
        <v>2384</v>
      </c>
      <c r="B959">
        <v>26</v>
      </c>
      <c r="C959" t="s">
        <v>2385</v>
      </c>
      <c r="D959">
        <v>141022</v>
      </c>
      <c r="E959" t="s">
        <v>36</v>
      </c>
      <c r="F959" t="s">
        <v>2386</v>
      </c>
      <c r="G959" s="1">
        <v>45064</v>
      </c>
    </row>
    <row r="960" spans="1:7">
      <c r="A960" t="s">
        <v>2387</v>
      </c>
      <c r="B960">
        <v>56</v>
      </c>
      <c r="C960" t="s">
        <v>2388</v>
      </c>
      <c r="D960">
        <v>30901</v>
      </c>
      <c r="E960" t="s">
        <v>12</v>
      </c>
      <c r="F960">
        <f>1-214-567-1264</f>
        <v>-2044</v>
      </c>
      <c r="G960" s="1">
        <v>44996</v>
      </c>
    </row>
    <row r="961" spans="1:7">
      <c r="B961">
        <v>38</v>
      </c>
      <c r="C961" t="s">
        <v>2389</v>
      </c>
      <c r="D961">
        <v>190576</v>
      </c>
      <c r="E961" t="s">
        <v>36</v>
      </c>
      <c r="F961" t="s">
        <v>2390</v>
      </c>
      <c r="G961" s="1">
        <v>45196</v>
      </c>
    </row>
    <row r="962" spans="1:7">
      <c r="A962" t="s">
        <v>2391</v>
      </c>
      <c r="B962">
        <v>61</v>
      </c>
      <c r="C962" t="s">
        <v>2392</v>
      </c>
      <c r="D962">
        <v>171880</v>
      </c>
      <c r="E962" t="s">
        <v>27</v>
      </c>
      <c r="F962">
        <f>1-561-354-7056</f>
        <v>-7970</v>
      </c>
      <c r="G962" s="1">
        <v>45260</v>
      </c>
    </row>
    <row r="963" spans="1:7">
      <c r="A963" t="s">
        <v>2393</v>
      </c>
      <c r="B963">
        <v>33</v>
      </c>
      <c r="C963" t="s">
        <v>478</v>
      </c>
      <c r="D963">
        <v>92780</v>
      </c>
      <c r="E963" t="s">
        <v>27</v>
      </c>
      <c r="F963" t="s">
        <v>2394</v>
      </c>
      <c r="G963" s="1">
        <v>45042</v>
      </c>
    </row>
    <row r="964" spans="1:7">
      <c r="A964" t="s">
        <v>2395</v>
      </c>
      <c r="B964">
        <v>35</v>
      </c>
      <c r="C964" t="s">
        <v>2396</v>
      </c>
      <c r="D964">
        <v>111423</v>
      </c>
      <c r="E964" t="s">
        <v>12</v>
      </c>
      <c r="F964" t="s">
        <v>2397</v>
      </c>
      <c r="G964" s="1">
        <v>44976</v>
      </c>
    </row>
    <row r="965" spans="1:7">
      <c r="A965" t="s">
        <v>2398</v>
      </c>
      <c r="B965">
        <v>66</v>
      </c>
      <c r="C965" t="s">
        <v>2399</v>
      </c>
      <c r="D965">
        <v>178441</v>
      </c>
      <c r="E965" t="s">
        <v>36</v>
      </c>
      <c r="F965" t="s">
        <v>2400</v>
      </c>
      <c r="G965" s="1">
        <v>45073</v>
      </c>
    </row>
    <row r="966" spans="1:7">
      <c r="A966" t="s">
        <v>2401</v>
      </c>
      <c r="C966" t="s">
        <v>2402</v>
      </c>
      <c r="D966">
        <v>81507</v>
      </c>
      <c r="E966" t="s">
        <v>36</v>
      </c>
      <c r="F966" t="s">
        <v>2403</v>
      </c>
      <c r="G966" s="1">
        <v>45275</v>
      </c>
    </row>
    <row r="967" spans="1:7">
      <c r="A967" t="s">
        <v>2404</v>
      </c>
      <c r="B967">
        <v>41</v>
      </c>
      <c r="C967" t="s">
        <v>2405</v>
      </c>
      <c r="E967" t="s">
        <v>9</v>
      </c>
      <c r="F967">
        <v>3738362362</v>
      </c>
      <c r="G967" s="1">
        <v>45143</v>
      </c>
    </row>
    <row r="968" spans="1:7">
      <c r="B968">
        <v>61</v>
      </c>
      <c r="C968" t="s">
        <v>2406</v>
      </c>
      <c r="D968">
        <v>124242</v>
      </c>
      <c r="E968" t="s">
        <v>9</v>
      </c>
      <c r="F968">
        <v>2308423044</v>
      </c>
      <c r="G968" s="1">
        <v>44936</v>
      </c>
    </row>
    <row r="969" spans="1:7">
      <c r="A969" t="s">
        <v>2407</v>
      </c>
      <c r="B969">
        <v>70</v>
      </c>
      <c r="C969" t="s">
        <v>2408</v>
      </c>
      <c r="D969">
        <v>49773</v>
      </c>
      <c r="E969" t="s">
        <v>12</v>
      </c>
      <c r="F969" t="s">
        <v>2409</v>
      </c>
      <c r="G969" s="1">
        <v>45228</v>
      </c>
    </row>
    <row r="970" spans="1:7">
      <c r="A970" t="s">
        <v>2410</v>
      </c>
      <c r="B970">
        <v>60</v>
      </c>
      <c r="C970" t="s">
        <v>2411</v>
      </c>
      <c r="E970" t="s">
        <v>27</v>
      </c>
      <c r="G970" s="1">
        <v>44976</v>
      </c>
    </row>
    <row r="971" spans="1:7">
      <c r="A971" t="s">
        <v>2412</v>
      </c>
      <c r="B971">
        <v>37</v>
      </c>
      <c r="C971" t="s">
        <v>2413</v>
      </c>
      <c r="D971">
        <v>70297</v>
      </c>
      <c r="E971" t="s">
        <v>294</v>
      </c>
      <c r="F971">
        <v>4780052031</v>
      </c>
      <c r="G971" t="s">
        <v>371</v>
      </c>
    </row>
    <row r="972" spans="1:7">
      <c r="A972" t="s">
        <v>2414</v>
      </c>
      <c r="B972">
        <v>30</v>
      </c>
      <c r="C972" t="s">
        <v>389</v>
      </c>
      <c r="D972">
        <v>41332</v>
      </c>
      <c r="E972" t="s">
        <v>36</v>
      </c>
      <c r="F972" t="s">
        <v>2415</v>
      </c>
      <c r="G972" s="1">
        <v>45227</v>
      </c>
    </row>
    <row r="973" spans="1:7">
      <c r="A973" t="s">
        <v>2416</v>
      </c>
      <c r="B973">
        <v>76</v>
      </c>
      <c r="C973" t="s">
        <v>2417</v>
      </c>
      <c r="E973" t="s">
        <v>36</v>
      </c>
      <c r="F973" t="s">
        <v>2418</v>
      </c>
      <c r="G973" s="1">
        <v>45074</v>
      </c>
    </row>
    <row r="974" spans="1:7">
      <c r="A974" t="s">
        <v>2419</v>
      </c>
      <c r="B974">
        <v>79</v>
      </c>
      <c r="C974" t="s">
        <v>2420</v>
      </c>
      <c r="D974">
        <v>184934</v>
      </c>
      <c r="E974" t="s">
        <v>12</v>
      </c>
      <c r="F974">
        <f>1-947-585-9205</f>
        <v>-10736</v>
      </c>
      <c r="G974" s="1">
        <v>45202</v>
      </c>
    </row>
    <row r="975" spans="1:7">
      <c r="A975" t="s">
        <v>2421</v>
      </c>
      <c r="B975">
        <v>60</v>
      </c>
      <c r="C975" t="s">
        <v>2422</v>
      </c>
      <c r="D975">
        <v>73856</v>
      </c>
      <c r="E975" t="s">
        <v>9</v>
      </c>
      <c r="F975" t="s">
        <v>2423</v>
      </c>
      <c r="G975" s="1">
        <v>45098</v>
      </c>
    </row>
    <row r="976" spans="1:7">
      <c r="A976" t="s">
        <v>2424</v>
      </c>
      <c r="B976">
        <v>52</v>
      </c>
      <c r="C976" t="s">
        <v>518</v>
      </c>
      <c r="D976">
        <v>-1000</v>
      </c>
      <c r="E976" t="s">
        <v>27</v>
      </c>
      <c r="F976" t="s">
        <v>2425</v>
      </c>
      <c r="G976" s="1">
        <v>45241</v>
      </c>
    </row>
    <row r="977" spans="1:7">
      <c r="A977" t="s">
        <v>2426</v>
      </c>
      <c r="B977">
        <v>46</v>
      </c>
      <c r="C977" t="s">
        <v>2427</v>
      </c>
      <c r="D977">
        <v>0</v>
      </c>
      <c r="E977" t="s">
        <v>36</v>
      </c>
      <c r="G977" s="1">
        <v>45048</v>
      </c>
    </row>
    <row r="978" spans="1:7">
      <c r="A978" t="s">
        <v>2428</v>
      </c>
      <c r="B978">
        <v>56</v>
      </c>
      <c r="C978" t="s">
        <v>2429</v>
      </c>
      <c r="D978">
        <v>87174</v>
      </c>
      <c r="E978" t="s">
        <v>12</v>
      </c>
      <c r="F978">
        <v>3307863942</v>
      </c>
      <c r="G978" s="1">
        <v>45277</v>
      </c>
    </row>
    <row r="979" spans="1:7">
      <c r="A979" t="s">
        <v>2430</v>
      </c>
      <c r="B979">
        <v>28</v>
      </c>
      <c r="C979" t="s">
        <v>2431</v>
      </c>
      <c r="E979" t="s">
        <v>12</v>
      </c>
      <c r="F979" t="s">
        <v>2432</v>
      </c>
      <c r="G979" s="1">
        <v>45261</v>
      </c>
    </row>
    <row r="980" spans="1:7">
      <c r="A980" t="s">
        <v>2433</v>
      </c>
      <c r="B980">
        <v>67</v>
      </c>
      <c r="C980" t="s">
        <v>2434</v>
      </c>
      <c r="E980" t="s">
        <v>36</v>
      </c>
      <c r="F980">
        <f>1-752-595-2096</f>
        <v>-3442</v>
      </c>
      <c r="G980" s="1">
        <v>45141</v>
      </c>
    </row>
    <row r="981" spans="1:7">
      <c r="A981" t="s">
        <v>2435</v>
      </c>
      <c r="B981">
        <v>75</v>
      </c>
      <c r="D981">
        <v>55991</v>
      </c>
      <c r="E981" t="s">
        <v>36</v>
      </c>
      <c r="F981" t="s">
        <v>2436</v>
      </c>
      <c r="G981" s="1">
        <v>44980</v>
      </c>
    </row>
    <row r="982" spans="1:7">
      <c r="A982" t="s">
        <v>2192</v>
      </c>
      <c r="B982">
        <v>64</v>
      </c>
      <c r="C982" t="s">
        <v>518</v>
      </c>
      <c r="D982">
        <v>93293</v>
      </c>
      <c r="E982" t="s">
        <v>27</v>
      </c>
      <c r="F982">
        <v>4702151315</v>
      </c>
      <c r="G982" s="1">
        <v>44936</v>
      </c>
    </row>
    <row r="983" spans="1:7">
      <c r="A983" t="s">
        <v>2437</v>
      </c>
      <c r="B983">
        <v>46</v>
      </c>
      <c r="C983" t="s">
        <v>2438</v>
      </c>
      <c r="D983">
        <v>91842</v>
      </c>
      <c r="E983" t="s">
        <v>12</v>
      </c>
      <c r="F983" t="s">
        <v>2439</v>
      </c>
      <c r="G983" s="1">
        <v>44988</v>
      </c>
    </row>
    <row r="984" spans="1:7">
      <c r="A984" t="s">
        <v>1162</v>
      </c>
      <c r="B984">
        <v>50</v>
      </c>
      <c r="C984" t="s">
        <v>2440</v>
      </c>
      <c r="D984">
        <v>164345</v>
      </c>
      <c r="E984" t="s">
        <v>12</v>
      </c>
      <c r="F984" t="s">
        <v>2441</v>
      </c>
      <c r="G984" s="1">
        <v>44970</v>
      </c>
    </row>
    <row r="985" spans="1:7">
      <c r="A985" t="s">
        <v>2442</v>
      </c>
      <c r="B985">
        <v>35</v>
      </c>
      <c r="C985" t="s">
        <v>299</v>
      </c>
      <c r="D985">
        <v>70115</v>
      </c>
      <c r="E985" t="s">
        <v>12</v>
      </c>
      <c r="F985">
        <v>7533036232</v>
      </c>
      <c r="G985" s="1">
        <v>44968</v>
      </c>
    </row>
    <row r="986" spans="1:7">
      <c r="A986" t="s">
        <v>2443</v>
      </c>
      <c r="B986">
        <v>35</v>
      </c>
      <c r="C986" t="s">
        <v>2444</v>
      </c>
      <c r="D986">
        <v>76330</v>
      </c>
      <c r="E986" t="s">
        <v>9</v>
      </c>
      <c r="F986">
        <f>1-485-973-2357</f>
        <v>-3814</v>
      </c>
      <c r="G986" s="1">
        <v>45066</v>
      </c>
    </row>
    <row r="987" spans="1:7">
      <c r="A987" t="s">
        <v>2445</v>
      </c>
      <c r="B987">
        <v>25</v>
      </c>
      <c r="C987" t="s">
        <v>2446</v>
      </c>
      <c r="D987">
        <v>153246</v>
      </c>
      <c r="E987" t="s">
        <v>9</v>
      </c>
      <c r="F987" t="s">
        <v>2447</v>
      </c>
      <c r="G987" s="1">
        <v>45140</v>
      </c>
    </row>
    <row r="988" spans="1:7">
      <c r="A988" t="s">
        <v>2448</v>
      </c>
      <c r="B988">
        <v>23</v>
      </c>
      <c r="C988" t="s">
        <v>2449</v>
      </c>
      <c r="D988">
        <v>0</v>
      </c>
      <c r="E988" t="s">
        <v>12</v>
      </c>
      <c r="F988" t="s">
        <v>2450</v>
      </c>
      <c r="G988" s="1">
        <v>44954</v>
      </c>
    </row>
    <row r="989" spans="1:7">
      <c r="A989" t="s">
        <v>2451</v>
      </c>
      <c r="B989">
        <v>66</v>
      </c>
      <c r="C989" t="s">
        <v>2452</v>
      </c>
      <c r="D989">
        <v>139863</v>
      </c>
      <c r="E989" t="s">
        <v>9</v>
      </c>
      <c r="F989">
        <v>6230593697</v>
      </c>
      <c r="G989" s="1">
        <v>44943</v>
      </c>
    </row>
    <row r="990" spans="1:7">
      <c r="A990" t="s">
        <v>2453</v>
      </c>
      <c r="B990">
        <v>68</v>
      </c>
      <c r="D990">
        <v>36511</v>
      </c>
      <c r="E990" t="s">
        <v>12</v>
      </c>
      <c r="F990" t="s">
        <v>2454</v>
      </c>
      <c r="G990" s="1">
        <v>44960</v>
      </c>
    </row>
    <row r="991" spans="1:7">
      <c r="A991" t="s">
        <v>2455</v>
      </c>
      <c r="C991" t="s">
        <v>2456</v>
      </c>
      <c r="D991">
        <v>94892</v>
      </c>
      <c r="E991" t="s">
        <v>12</v>
      </c>
      <c r="F991">
        <v>2215838266</v>
      </c>
      <c r="G991" s="1">
        <v>45006</v>
      </c>
    </row>
    <row r="992" spans="1:7">
      <c r="A992" t="s">
        <v>2457</v>
      </c>
      <c r="B992">
        <v>28</v>
      </c>
      <c r="C992" t="s">
        <v>2458</v>
      </c>
      <c r="D992">
        <v>153199</v>
      </c>
      <c r="E992" t="s">
        <v>90</v>
      </c>
      <c r="F992" t="s">
        <v>2459</v>
      </c>
      <c r="G992" s="1">
        <v>45278</v>
      </c>
    </row>
    <row r="993" spans="1:7">
      <c r="A993" t="s">
        <v>2460</v>
      </c>
      <c r="B993">
        <v>36</v>
      </c>
      <c r="C993" t="s">
        <v>2461</v>
      </c>
      <c r="D993">
        <v>168266</v>
      </c>
      <c r="E993" t="s">
        <v>27</v>
      </c>
      <c r="F993">
        <f>1-837-984-9592</f>
        <v>-11412</v>
      </c>
      <c r="G993" s="1">
        <v>44993</v>
      </c>
    </row>
    <row r="994" spans="1:7">
      <c r="A994" t="s">
        <v>2462</v>
      </c>
      <c r="B994">
        <v>29</v>
      </c>
      <c r="C994" t="s">
        <v>2463</v>
      </c>
      <c r="D994">
        <v>116373</v>
      </c>
      <c r="E994" t="s">
        <v>36</v>
      </c>
      <c r="F994" t="s">
        <v>2464</v>
      </c>
      <c r="G994" s="1">
        <v>45265</v>
      </c>
    </row>
    <row r="995" spans="1:7">
      <c r="A995" t="s">
        <v>2465</v>
      </c>
      <c r="B995">
        <v>56</v>
      </c>
      <c r="C995" t="s">
        <v>2466</v>
      </c>
      <c r="D995">
        <v>193317</v>
      </c>
      <c r="E995" t="s">
        <v>12</v>
      </c>
      <c r="F995" t="s">
        <v>2467</v>
      </c>
      <c r="G995" s="1">
        <v>44935</v>
      </c>
    </row>
    <row r="996" spans="1:7">
      <c r="A996" t="s">
        <v>2468</v>
      </c>
      <c r="B996">
        <v>33</v>
      </c>
      <c r="D996">
        <v>79294</v>
      </c>
      <c r="E996" t="s">
        <v>12</v>
      </c>
      <c r="F996" t="s">
        <v>2469</v>
      </c>
      <c r="G996" s="1">
        <v>45245</v>
      </c>
    </row>
    <row r="997" spans="1:7">
      <c r="A997" t="s">
        <v>2470</v>
      </c>
      <c r="C997" t="s">
        <v>2471</v>
      </c>
      <c r="D997">
        <v>100309</v>
      </c>
      <c r="E997" t="s">
        <v>12</v>
      </c>
      <c r="F997" t="s">
        <v>2472</v>
      </c>
      <c r="G997" s="1">
        <v>44953</v>
      </c>
    </row>
    <row r="998" spans="1:7">
      <c r="A998" t="s">
        <v>2473</v>
      </c>
      <c r="B998">
        <v>18</v>
      </c>
      <c r="C998" t="s">
        <v>2474</v>
      </c>
      <c r="D998">
        <v>194211</v>
      </c>
      <c r="E998" t="s">
        <v>27</v>
      </c>
      <c r="F998">
        <v>3381395514</v>
      </c>
      <c r="G998" s="1">
        <v>44930</v>
      </c>
    </row>
    <row r="999" spans="1:7">
      <c r="A999" t="s">
        <v>2475</v>
      </c>
      <c r="B999">
        <v>71</v>
      </c>
      <c r="C999" t="s">
        <v>2476</v>
      </c>
      <c r="D999">
        <v>74041</v>
      </c>
      <c r="E999" t="s">
        <v>9</v>
      </c>
      <c r="F999">
        <v>3897756110</v>
      </c>
      <c r="G999" s="1">
        <v>45040</v>
      </c>
    </row>
    <row r="1000" spans="1:7">
      <c r="A1000" t="s">
        <v>2477</v>
      </c>
      <c r="B1000">
        <v>19</v>
      </c>
      <c r="C1000" t="s">
        <v>2478</v>
      </c>
      <c r="D1000">
        <v>35355</v>
      </c>
      <c r="E1000" t="s">
        <v>9</v>
      </c>
      <c r="F1000">
        <f>1-398-499-8326</f>
        <v>-9222</v>
      </c>
      <c r="G1000" s="1">
        <v>45164</v>
      </c>
    </row>
    <row r="1001" spans="1:7">
      <c r="A1001" t="s">
        <v>2479</v>
      </c>
      <c r="B1001">
        <v>52</v>
      </c>
      <c r="C1001" t="s">
        <v>2480</v>
      </c>
      <c r="D1001">
        <v>42297</v>
      </c>
      <c r="E1001" t="s">
        <v>27</v>
      </c>
      <c r="F1001">
        <v>7312821876</v>
      </c>
      <c r="G1001" s="1">
        <v>45275</v>
      </c>
    </row>
    <row r="1002" spans="1:7">
      <c r="A1002" t="s">
        <v>2481</v>
      </c>
      <c r="B1002">
        <v>75</v>
      </c>
      <c r="C1002" t="s">
        <v>2482</v>
      </c>
      <c r="D1002">
        <v>110428</v>
      </c>
      <c r="E1002" t="s">
        <v>12</v>
      </c>
      <c r="F1002" t="s">
        <v>2483</v>
      </c>
      <c r="G1002" s="1">
        <v>45108</v>
      </c>
    </row>
    <row r="1003" spans="1:7">
      <c r="A1003" t="s">
        <v>2484</v>
      </c>
      <c r="B1003">
        <v>28</v>
      </c>
      <c r="C1003" t="s">
        <v>170</v>
      </c>
      <c r="D1003">
        <v>55279</v>
      </c>
      <c r="E1003" t="s">
        <v>9</v>
      </c>
      <c r="F1003" t="s">
        <v>2485</v>
      </c>
      <c r="G1003" s="1">
        <v>44959</v>
      </c>
    </row>
    <row r="1004" spans="1:7">
      <c r="A1004" t="s">
        <v>2486</v>
      </c>
      <c r="B1004">
        <v>30</v>
      </c>
      <c r="C1004" t="s">
        <v>2487</v>
      </c>
      <c r="D1004">
        <v>53548</v>
      </c>
      <c r="E1004" t="s">
        <v>12</v>
      </c>
      <c r="F1004">
        <f>1-259-783-9520</f>
        <v>-10561</v>
      </c>
      <c r="G1004" s="1">
        <v>44961</v>
      </c>
    </row>
    <row r="1005" spans="1:7">
      <c r="A1005" t="s">
        <v>2488</v>
      </c>
      <c r="B1005">
        <v>59</v>
      </c>
      <c r="C1005" t="s">
        <v>2489</v>
      </c>
      <c r="D1005">
        <v>-1000</v>
      </c>
      <c r="E1005" t="s">
        <v>27</v>
      </c>
      <c r="F1005" t="s">
        <v>2490</v>
      </c>
      <c r="G1005" s="1">
        <v>45086</v>
      </c>
    </row>
    <row r="1006" spans="1:7">
      <c r="A1006" t="s">
        <v>2491</v>
      </c>
      <c r="B1006">
        <v>50</v>
      </c>
      <c r="C1006" t="s">
        <v>2492</v>
      </c>
      <c r="D1006">
        <v>64782</v>
      </c>
      <c r="E1006" t="s">
        <v>36</v>
      </c>
      <c r="F1006" t="s">
        <v>2493</v>
      </c>
      <c r="G1006" s="1">
        <v>45033</v>
      </c>
    </row>
    <row r="1007" spans="1:7">
      <c r="A1007" t="s">
        <v>2494</v>
      </c>
      <c r="B1007">
        <v>18</v>
      </c>
      <c r="C1007" t="s">
        <v>2495</v>
      </c>
      <c r="D1007">
        <v>144527</v>
      </c>
      <c r="E1007" t="s">
        <v>27</v>
      </c>
      <c r="F1007" t="s">
        <v>2496</v>
      </c>
      <c r="G1007" s="1">
        <v>44940</v>
      </c>
    </row>
    <row r="1008" spans="1:7">
      <c r="A1008" t="s">
        <v>2497</v>
      </c>
      <c r="B1008">
        <v>52</v>
      </c>
      <c r="C1008" t="s">
        <v>2498</v>
      </c>
      <c r="D1008">
        <v>110280</v>
      </c>
      <c r="E1008" t="s">
        <v>9</v>
      </c>
      <c r="F1008">
        <v>8433416894</v>
      </c>
      <c r="G1008" t="s">
        <v>371</v>
      </c>
    </row>
    <row r="1009" spans="1:7">
      <c r="A1009" t="s">
        <v>2499</v>
      </c>
      <c r="B1009">
        <v>61</v>
      </c>
      <c r="C1009" t="s">
        <v>2500</v>
      </c>
      <c r="D1009">
        <v>53199</v>
      </c>
      <c r="E1009" t="s">
        <v>36</v>
      </c>
      <c r="F1009" t="s">
        <v>2501</v>
      </c>
      <c r="G1009" s="1">
        <v>45158</v>
      </c>
    </row>
    <row r="1010" spans="1:7">
      <c r="A1010" t="s">
        <v>2502</v>
      </c>
      <c r="B1010">
        <v>74</v>
      </c>
      <c r="C1010" t="s">
        <v>2503</v>
      </c>
      <c r="D1010">
        <v>-50000</v>
      </c>
      <c r="E1010" t="s">
        <v>27</v>
      </c>
      <c r="F1010" t="s">
        <v>2504</v>
      </c>
      <c r="G1010" s="1">
        <v>45011</v>
      </c>
    </row>
    <row r="1011" spans="1:7">
      <c r="A1011" t="s">
        <v>2505</v>
      </c>
      <c r="B1011">
        <v>32</v>
      </c>
      <c r="C1011" t="s">
        <v>2506</v>
      </c>
      <c r="D1011">
        <v>0</v>
      </c>
      <c r="E1011" t="s">
        <v>9</v>
      </c>
      <c r="F1011">
        <v>4430553734</v>
      </c>
      <c r="G1011" s="1">
        <v>44966</v>
      </c>
    </row>
    <row r="1012" spans="1:7">
      <c r="A1012" t="s">
        <v>2507</v>
      </c>
      <c r="B1012">
        <v>66</v>
      </c>
      <c r="C1012" t="s">
        <v>2508</v>
      </c>
      <c r="D1012">
        <v>0</v>
      </c>
      <c r="E1012" t="s">
        <v>12</v>
      </c>
      <c r="F1012" t="s">
        <v>2509</v>
      </c>
      <c r="G1012" s="1">
        <v>44930</v>
      </c>
    </row>
    <row r="1013" spans="1:7">
      <c r="A1013" t="s">
        <v>2510</v>
      </c>
      <c r="B1013">
        <v>71</v>
      </c>
      <c r="C1013" t="s">
        <v>2511</v>
      </c>
      <c r="D1013">
        <v>91084</v>
      </c>
      <c r="E1013" t="s">
        <v>9</v>
      </c>
      <c r="F1013" t="s">
        <v>2512</v>
      </c>
      <c r="G1013" s="1">
        <v>44934</v>
      </c>
    </row>
    <row r="1014" spans="1:7">
      <c r="A1014" t="s">
        <v>2513</v>
      </c>
      <c r="C1014" t="s">
        <v>2514</v>
      </c>
      <c r="D1014">
        <v>62230</v>
      </c>
      <c r="E1014" t="s">
        <v>873</v>
      </c>
      <c r="F1014" t="s">
        <v>2515</v>
      </c>
      <c r="G1014" s="1">
        <v>45090</v>
      </c>
    </row>
    <row r="1015" spans="1:7">
      <c r="A1015" t="s">
        <v>2516</v>
      </c>
      <c r="B1015">
        <v>37</v>
      </c>
      <c r="C1015" t="s">
        <v>2517</v>
      </c>
      <c r="D1015">
        <v>187359</v>
      </c>
      <c r="E1015" t="s">
        <v>36</v>
      </c>
      <c r="F1015">
        <v>3572043011</v>
      </c>
      <c r="G1015" s="1">
        <v>45129</v>
      </c>
    </row>
    <row r="1016" spans="1:7">
      <c r="A1016" t="s">
        <v>2518</v>
      </c>
      <c r="B1016">
        <v>64</v>
      </c>
      <c r="D1016">
        <v>75066</v>
      </c>
      <c r="E1016" t="s">
        <v>294</v>
      </c>
      <c r="F1016" t="s">
        <v>2519</v>
      </c>
      <c r="G1016" s="1">
        <v>45221</v>
      </c>
    </row>
    <row r="1017" spans="1:7">
      <c r="A1017" t="s">
        <v>2520</v>
      </c>
      <c r="B1017">
        <v>250</v>
      </c>
      <c r="C1017" t="s">
        <v>2521</v>
      </c>
      <c r="D1017">
        <v>182679</v>
      </c>
      <c r="E1017" t="s">
        <v>527</v>
      </c>
      <c r="F1017">
        <v>1872395778</v>
      </c>
      <c r="G1017" s="1">
        <v>45082</v>
      </c>
    </row>
    <row r="1018" spans="1:7">
      <c r="A1018" t="s">
        <v>2522</v>
      </c>
      <c r="B1018">
        <v>44</v>
      </c>
      <c r="C1018" t="s">
        <v>2523</v>
      </c>
      <c r="D1018">
        <v>180862</v>
      </c>
      <c r="E1018" t="s">
        <v>36</v>
      </c>
      <c r="F1018">
        <v>8251009913</v>
      </c>
      <c r="G1018" s="1">
        <v>45163</v>
      </c>
    </row>
    <row r="1019" spans="1:7">
      <c r="A1019" t="s">
        <v>2524</v>
      </c>
      <c r="B1019">
        <v>41</v>
      </c>
      <c r="C1019" t="s">
        <v>2525</v>
      </c>
      <c r="D1019">
        <v>174179</v>
      </c>
      <c r="E1019" t="s">
        <v>27</v>
      </c>
      <c r="F1019" t="s">
        <v>2526</v>
      </c>
      <c r="G1019" s="1">
        <v>45162</v>
      </c>
    </row>
    <row r="1020" spans="1:7">
      <c r="A1020" t="s">
        <v>2527</v>
      </c>
      <c r="B1020">
        <v>61</v>
      </c>
      <c r="C1020" t="s">
        <v>2528</v>
      </c>
      <c r="D1020">
        <v>95886</v>
      </c>
      <c r="E1020" t="s">
        <v>9</v>
      </c>
      <c r="F1020" t="s">
        <v>2529</v>
      </c>
      <c r="G1020" s="1">
        <v>45283</v>
      </c>
    </row>
    <row r="1021" spans="1:7">
      <c r="A1021" t="s">
        <v>2530</v>
      </c>
      <c r="B1021">
        <v>29</v>
      </c>
      <c r="C1021" t="s">
        <v>2531</v>
      </c>
      <c r="D1021">
        <v>120101</v>
      </c>
      <c r="E1021" t="s">
        <v>36</v>
      </c>
      <c r="F1021">
        <v>9213620437</v>
      </c>
      <c r="G1021" s="1">
        <v>45148</v>
      </c>
    </row>
    <row r="1022" spans="1:7">
      <c r="A1022" t="s">
        <v>2532</v>
      </c>
      <c r="B1022">
        <v>250</v>
      </c>
      <c r="C1022" t="s">
        <v>2533</v>
      </c>
      <c r="D1022">
        <v>0</v>
      </c>
      <c r="E1022" t="s">
        <v>9</v>
      </c>
      <c r="F1022" t="s">
        <v>2534</v>
      </c>
      <c r="G1022" s="1">
        <v>45052</v>
      </c>
    </row>
    <row r="1023" spans="1:7">
      <c r="A1023" t="s">
        <v>2535</v>
      </c>
      <c r="B1023">
        <v>38</v>
      </c>
      <c r="C1023" t="s">
        <v>299</v>
      </c>
      <c r="D1023">
        <v>119743</v>
      </c>
      <c r="E1023" t="s">
        <v>27</v>
      </c>
      <c r="F1023" t="s">
        <v>2536</v>
      </c>
      <c r="G1023" s="1">
        <v>45188</v>
      </c>
    </row>
    <row r="1024" spans="1:7">
      <c r="A1024" t="s">
        <v>234</v>
      </c>
      <c r="B1024">
        <v>30</v>
      </c>
      <c r="C1024" t="s">
        <v>2537</v>
      </c>
      <c r="D1024">
        <v>196766</v>
      </c>
      <c r="E1024" t="s">
        <v>12</v>
      </c>
      <c r="G1024" s="1">
        <v>44996</v>
      </c>
    </row>
    <row r="1025" spans="1:7">
      <c r="A1025" t="s">
        <v>2538</v>
      </c>
      <c r="B1025">
        <v>-5</v>
      </c>
      <c r="D1025">
        <v>143655</v>
      </c>
      <c r="E1025" t="s">
        <v>12</v>
      </c>
      <c r="F1025" t="s">
        <v>2539</v>
      </c>
      <c r="G1025" s="1">
        <v>45253</v>
      </c>
    </row>
    <row r="1026" spans="1:7">
      <c r="A1026" t="s">
        <v>2540</v>
      </c>
      <c r="B1026">
        <v>31</v>
      </c>
      <c r="C1026" t="s">
        <v>2541</v>
      </c>
      <c r="D1026">
        <v>82127</v>
      </c>
      <c r="E1026" t="s">
        <v>36</v>
      </c>
      <c r="F1026">
        <v>2671021843</v>
      </c>
      <c r="G1026" s="1">
        <v>45179</v>
      </c>
    </row>
    <row r="1027" spans="1:7">
      <c r="A1027" t="s">
        <v>2542</v>
      </c>
      <c r="B1027">
        <v>0</v>
      </c>
      <c r="C1027" t="s">
        <v>2543</v>
      </c>
      <c r="D1027">
        <v>121229</v>
      </c>
      <c r="E1027" t="s">
        <v>36</v>
      </c>
      <c r="F1027">
        <v>8040800825</v>
      </c>
      <c r="G1027" s="1">
        <v>45161</v>
      </c>
    </row>
    <row r="1028" spans="1:7">
      <c r="A1028" t="s">
        <v>2544</v>
      </c>
      <c r="B1028">
        <v>61</v>
      </c>
      <c r="C1028" t="s">
        <v>2545</v>
      </c>
      <c r="D1028">
        <v>37533</v>
      </c>
      <c r="E1028" t="s">
        <v>9</v>
      </c>
      <c r="F1028" t="s">
        <v>2546</v>
      </c>
      <c r="G1028" s="1">
        <v>44981</v>
      </c>
    </row>
    <row r="1029" spans="1:7">
      <c r="A1029" t="s">
        <v>2547</v>
      </c>
      <c r="B1029">
        <v>36</v>
      </c>
      <c r="C1029" t="s">
        <v>2548</v>
      </c>
      <c r="D1029">
        <v>56498</v>
      </c>
      <c r="E1029" t="s">
        <v>9</v>
      </c>
      <c r="F1029">
        <f>1-142-546-3252</f>
        <v>-3939</v>
      </c>
      <c r="G1029" s="1">
        <v>45164</v>
      </c>
    </row>
    <row r="1030" spans="1:7">
      <c r="A1030" t="s">
        <v>2549</v>
      </c>
      <c r="B1030">
        <v>59</v>
      </c>
      <c r="C1030" t="s">
        <v>2550</v>
      </c>
      <c r="D1030">
        <v>65187</v>
      </c>
      <c r="E1030" t="s">
        <v>36</v>
      </c>
      <c r="F1030" t="s">
        <v>2551</v>
      </c>
      <c r="G1030" s="1">
        <v>45021</v>
      </c>
    </row>
    <row r="1031" spans="1:7">
      <c r="A1031" t="s">
        <v>2552</v>
      </c>
      <c r="B1031">
        <v>55</v>
      </c>
      <c r="C1031" t="s">
        <v>2553</v>
      </c>
      <c r="D1031">
        <v>73723</v>
      </c>
      <c r="E1031" t="s">
        <v>27</v>
      </c>
      <c r="F1031" t="s">
        <v>2554</v>
      </c>
      <c r="G1031" s="1">
        <v>45184</v>
      </c>
    </row>
    <row r="1032" spans="1:7">
      <c r="A1032" t="s">
        <v>2555</v>
      </c>
      <c r="B1032">
        <v>33</v>
      </c>
      <c r="C1032" t="s">
        <v>2556</v>
      </c>
      <c r="D1032">
        <v>176701</v>
      </c>
      <c r="E1032" t="s">
        <v>9</v>
      </c>
      <c r="F1032" t="s">
        <v>2557</v>
      </c>
      <c r="G1032" s="1">
        <v>45183</v>
      </c>
    </row>
    <row r="1033" spans="1:7">
      <c r="A1033" t="s">
        <v>2558</v>
      </c>
      <c r="B1033">
        <v>72</v>
      </c>
      <c r="C1033" t="s">
        <v>2559</v>
      </c>
      <c r="D1033">
        <v>101386</v>
      </c>
      <c r="E1033" t="s">
        <v>527</v>
      </c>
      <c r="F1033">
        <v>5868824748</v>
      </c>
      <c r="G1033" s="1">
        <v>45226</v>
      </c>
    </row>
    <row r="1034" spans="1:7">
      <c r="A1034" t="s">
        <v>2560</v>
      </c>
      <c r="B1034">
        <v>32</v>
      </c>
      <c r="C1034" t="s">
        <v>2561</v>
      </c>
      <c r="D1034">
        <v>88032</v>
      </c>
      <c r="E1034" t="s">
        <v>27</v>
      </c>
      <c r="F1034" t="s">
        <v>2562</v>
      </c>
      <c r="G1034" s="1">
        <v>44979</v>
      </c>
    </row>
    <row r="1035" spans="1:7">
      <c r="A1035" t="s">
        <v>2563</v>
      </c>
      <c r="B1035">
        <v>999</v>
      </c>
      <c r="C1035" t="s">
        <v>2564</v>
      </c>
      <c r="D1035">
        <v>175343</v>
      </c>
      <c r="E1035" t="s">
        <v>9</v>
      </c>
      <c r="F1035" t="s">
        <v>2565</v>
      </c>
      <c r="G1035" s="1">
        <v>45287</v>
      </c>
    </row>
    <row r="1036" spans="1:7">
      <c r="A1036" t="s">
        <v>2566</v>
      </c>
      <c r="B1036">
        <v>79</v>
      </c>
      <c r="C1036" t="s">
        <v>2567</v>
      </c>
      <c r="D1036">
        <v>45989</v>
      </c>
      <c r="E1036" t="s">
        <v>27</v>
      </c>
      <c r="F1036" t="s">
        <v>2568</v>
      </c>
      <c r="G1036" s="1">
        <v>45050</v>
      </c>
    </row>
    <row r="1037" spans="1:7">
      <c r="A1037" t="s">
        <v>2569</v>
      </c>
      <c r="B1037">
        <v>41</v>
      </c>
      <c r="C1037" t="s">
        <v>2570</v>
      </c>
      <c r="D1037">
        <v>62214</v>
      </c>
      <c r="E1037" t="s">
        <v>27</v>
      </c>
      <c r="F1037" t="s">
        <v>2571</v>
      </c>
      <c r="G1037" s="1">
        <v>45043</v>
      </c>
    </row>
    <row r="1038" spans="1:7">
      <c r="A1038" t="s">
        <v>2572</v>
      </c>
      <c r="B1038">
        <v>45</v>
      </c>
      <c r="C1038" t="s">
        <v>2573</v>
      </c>
      <c r="D1038">
        <v>162534</v>
      </c>
      <c r="E1038" t="s">
        <v>27</v>
      </c>
      <c r="F1038" t="s">
        <v>2574</v>
      </c>
      <c r="G1038" s="1">
        <v>45246</v>
      </c>
    </row>
    <row r="1039" spans="1:7">
      <c r="A1039" t="s">
        <v>2575</v>
      </c>
      <c r="B1039">
        <v>180</v>
      </c>
      <c r="C1039" t="s">
        <v>2576</v>
      </c>
      <c r="D1039">
        <v>147399</v>
      </c>
      <c r="E1039" t="s">
        <v>9</v>
      </c>
      <c r="F1039">
        <f>1-434-368-9802</f>
        <v>-10603</v>
      </c>
      <c r="G1039" s="1">
        <v>44982</v>
      </c>
    </row>
    <row r="1040" spans="1:7">
      <c r="A1040" t="s">
        <v>2577</v>
      </c>
      <c r="B1040">
        <v>30</v>
      </c>
      <c r="C1040" t="s">
        <v>299</v>
      </c>
      <c r="D1040">
        <v>142217</v>
      </c>
      <c r="E1040" t="s">
        <v>36</v>
      </c>
      <c r="F1040" t="s">
        <v>2578</v>
      </c>
      <c r="G1040" s="1">
        <v>45007</v>
      </c>
    </row>
    <row r="1041" spans="1:7">
      <c r="C1041" t="s">
        <v>2579</v>
      </c>
      <c r="D1041">
        <v>40703</v>
      </c>
      <c r="E1041" t="s">
        <v>9</v>
      </c>
      <c r="F1041" t="s">
        <v>2580</v>
      </c>
      <c r="G1041" s="1">
        <v>45116</v>
      </c>
    </row>
    <row r="1042" spans="1:7">
      <c r="A1042" t="s">
        <v>2581</v>
      </c>
      <c r="B1042">
        <v>52</v>
      </c>
      <c r="C1042" t="s">
        <v>2582</v>
      </c>
      <c r="D1042">
        <v>187604</v>
      </c>
      <c r="E1042" t="s">
        <v>12</v>
      </c>
      <c r="F1042" t="s">
        <v>2583</v>
      </c>
      <c r="G1042" s="1">
        <v>45210</v>
      </c>
    </row>
    <row r="1043" spans="1:7">
      <c r="A1043" t="s">
        <v>2584</v>
      </c>
      <c r="B1043">
        <v>63</v>
      </c>
      <c r="C1043" t="s">
        <v>2585</v>
      </c>
      <c r="D1043">
        <v>51398</v>
      </c>
      <c r="E1043" t="s">
        <v>90</v>
      </c>
      <c r="F1043" t="s">
        <v>2586</v>
      </c>
      <c r="G1043" s="1">
        <v>45140</v>
      </c>
    </row>
    <row r="1044" spans="1:7">
      <c r="A1044" t="s">
        <v>2587</v>
      </c>
      <c r="B1044">
        <v>45</v>
      </c>
      <c r="C1044" t="s">
        <v>299</v>
      </c>
      <c r="D1044">
        <v>171215</v>
      </c>
      <c r="E1044" t="s">
        <v>12</v>
      </c>
      <c r="F1044">
        <f>1-479-797-1732</f>
        <v>-3007</v>
      </c>
      <c r="G1044" s="1">
        <v>45080</v>
      </c>
    </row>
    <row r="1045" spans="1:7">
      <c r="A1045" t="s">
        <v>2588</v>
      </c>
      <c r="B1045">
        <v>20</v>
      </c>
      <c r="C1045" t="s">
        <v>2589</v>
      </c>
      <c r="D1045">
        <v>121036</v>
      </c>
      <c r="E1045" t="s">
        <v>12</v>
      </c>
      <c r="F1045">
        <f>1-651-830-3033</f>
        <v>-4513</v>
      </c>
      <c r="G1045" s="1">
        <v>44984</v>
      </c>
    </row>
    <row r="1046" spans="1:7">
      <c r="A1046" t="s">
        <v>2590</v>
      </c>
      <c r="B1046">
        <v>73</v>
      </c>
      <c r="C1046" t="s">
        <v>2591</v>
      </c>
      <c r="D1046">
        <v>96830</v>
      </c>
      <c r="E1046" t="s">
        <v>36</v>
      </c>
      <c r="F1046">
        <v>2226023307</v>
      </c>
      <c r="G1046" s="1">
        <v>45279</v>
      </c>
    </row>
    <row r="1047" spans="1:7">
      <c r="A1047" t="s">
        <v>2592</v>
      </c>
      <c r="B1047">
        <v>56</v>
      </c>
      <c r="C1047" t="s">
        <v>2593</v>
      </c>
      <c r="D1047">
        <v>53760</v>
      </c>
      <c r="E1047" t="s">
        <v>36</v>
      </c>
      <c r="F1047" t="s">
        <v>2594</v>
      </c>
      <c r="G1047" s="1">
        <v>45006</v>
      </c>
    </row>
    <row r="1048" spans="1:7">
      <c r="A1048" t="s">
        <v>2595</v>
      </c>
      <c r="B1048">
        <v>500</v>
      </c>
      <c r="C1048" t="s">
        <v>2596</v>
      </c>
      <c r="D1048">
        <v>54354</v>
      </c>
      <c r="E1048" t="s">
        <v>9</v>
      </c>
      <c r="F1048">
        <f>1-522-618-5676</f>
        <v>-6815</v>
      </c>
      <c r="G1048" s="1">
        <v>45118</v>
      </c>
    </row>
    <row r="1049" spans="1:7">
      <c r="A1049" t="s">
        <v>2597</v>
      </c>
      <c r="B1049">
        <v>21</v>
      </c>
      <c r="C1049" t="s">
        <v>2598</v>
      </c>
      <c r="D1049">
        <v>156683</v>
      </c>
      <c r="E1049" t="s">
        <v>12</v>
      </c>
      <c r="F1049" t="s">
        <v>2599</v>
      </c>
      <c r="G1049" s="1">
        <v>44965</v>
      </c>
    </row>
    <row r="1050" spans="1:7">
      <c r="A1050" t="s">
        <v>2600</v>
      </c>
      <c r="B1050">
        <v>59</v>
      </c>
      <c r="C1050" t="s">
        <v>2601</v>
      </c>
      <c r="D1050">
        <v>197679</v>
      </c>
      <c r="E1050" t="s">
        <v>27</v>
      </c>
      <c r="F1050" t="s">
        <v>2602</v>
      </c>
      <c r="G1050" s="1">
        <v>45133</v>
      </c>
    </row>
    <row r="1051" spans="1:7">
      <c r="A1051" t="s">
        <v>2603</v>
      </c>
      <c r="B1051">
        <v>62</v>
      </c>
      <c r="C1051" t="s">
        <v>2604</v>
      </c>
      <c r="D1051">
        <v>35057</v>
      </c>
      <c r="E1051" t="s">
        <v>36</v>
      </c>
      <c r="F1051" t="s">
        <v>2605</v>
      </c>
      <c r="G1051" s="1">
        <v>45232</v>
      </c>
    </row>
    <row r="1052" spans="1:7">
      <c r="A1052" t="s">
        <v>2606</v>
      </c>
      <c r="B1052">
        <v>64</v>
      </c>
      <c r="C1052" t="s">
        <v>2607</v>
      </c>
      <c r="D1052">
        <v>112867</v>
      </c>
      <c r="E1052" t="s">
        <v>27</v>
      </c>
      <c r="F1052" t="s">
        <v>2608</v>
      </c>
      <c r="G1052" s="1">
        <v>45235</v>
      </c>
    </row>
    <row r="1053" spans="1:7">
      <c r="B1053">
        <v>45</v>
      </c>
      <c r="C1053" t="s">
        <v>2609</v>
      </c>
      <c r="D1053">
        <v>130260</v>
      </c>
      <c r="E1053" t="s">
        <v>12</v>
      </c>
      <c r="F1053" t="s">
        <v>2610</v>
      </c>
      <c r="G1053" s="1">
        <v>45267</v>
      </c>
    </row>
    <row r="1054" spans="1:7">
      <c r="A1054" t="s">
        <v>2611</v>
      </c>
      <c r="B1054">
        <v>52</v>
      </c>
      <c r="C1054" t="s">
        <v>2612</v>
      </c>
      <c r="D1054">
        <v>81955</v>
      </c>
      <c r="E1054" t="s">
        <v>9</v>
      </c>
      <c r="F1054" t="s">
        <v>2613</v>
      </c>
      <c r="G1054" s="1">
        <v>45272</v>
      </c>
    </row>
    <row r="1055" spans="1:7">
      <c r="A1055" t="s">
        <v>1127</v>
      </c>
      <c r="B1055">
        <v>46</v>
      </c>
      <c r="C1055" t="s">
        <v>2614</v>
      </c>
      <c r="D1055">
        <v>174341</v>
      </c>
      <c r="E1055" t="s">
        <v>36</v>
      </c>
      <c r="F1055" t="s">
        <v>2615</v>
      </c>
      <c r="G1055" s="1">
        <v>44950</v>
      </c>
    </row>
    <row r="1056" spans="1:7">
      <c r="A1056" t="s">
        <v>2616</v>
      </c>
      <c r="C1056" t="s">
        <v>2617</v>
      </c>
      <c r="D1056">
        <v>143936</v>
      </c>
      <c r="E1056" t="s">
        <v>36</v>
      </c>
      <c r="F1056">
        <v>5209169576</v>
      </c>
      <c r="G1056" s="1">
        <v>45203</v>
      </c>
    </row>
    <row r="1057" spans="1:7">
      <c r="A1057" t="s">
        <v>2618</v>
      </c>
      <c r="B1057">
        <v>20</v>
      </c>
      <c r="C1057" t="s">
        <v>2619</v>
      </c>
      <c r="D1057">
        <v>42226</v>
      </c>
      <c r="E1057" t="s">
        <v>9</v>
      </c>
      <c r="F1057" t="s">
        <v>2620</v>
      </c>
      <c r="G1057" s="1">
        <v>44965</v>
      </c>
    </row>
    <row r="1058" spans="1:7">
      <c r="A1058" t="s">
        <v>2621</v>
      </c>
      <c r="B1058">
        <v>66</v>
      </c>
      <c r="C1058" t="s">
        <v>2622</v>
      </c>
      <c r="D1058">
        <v>102391</v>
      </c>
      <c r="E1058" t="s">
        <v>27</v>
      </c>
      <c r="F1058" t="s">
        <v>2623</v>
      </c>
      <c r="G1058" s="1">
        <v>45099</v>
      </c>
    </row>
    <row r="1059" spans="1:7">
      <c r="A1059" t="s">
        <v>2624</v>
      </c>
      <c r="B1059">
        <v>300</v>
      </c>
      <c r="C1059" t="s">
        <v>2625</v>
      </c>
      <c r="D1059">
        <v>97194</v>
      </c>
      <c r="E1059" t="s">
        <v>873</v>
      </c>
      <c r="F1059">
        <f>1-785-937-9735</f>
        <v>-11456</v>
      </c>
      <c r="G1059" s="1">
        <v>45087</v>
      </c>
    </row>
    <row r="1060" spans="1:7">
      <c r="A1060" t="s">
        <v>2626</v>
      </c>
      <c r="B1060">
        <v>25</v>
      </c>
      <c r="C1060" t="s">
        <v>2627</v>
      </c>
      <c r="D1060">
        <v>151544</v>
      </c>
      <c r="E1060" t="s">
        <v>27</v>
      </c>
      <c r="G1060" s="1">
        <v>44950</v>
      </c>
    </row>
    <row r="1061" spans="1:7">
      <c r="A1061" t="s">
        <v>2628</v>
      </c>
      <c r="B1061">
        <v>71</v>
      </c>
      <c r="C1061" t="s">
        <v>2629</v>
      </c>
      <c r="D1061">
        <v>33969</v>
      </c>
      <c r="E1061" t="s">
        <v>9</v>
      </c>
      <c r="F1061" t="s">
        <v>2630</v>
      </c>
      <c r="G1061" s="1">
        <v>44999</v>
      </c>
    </row>
    <row r="1062" spans="1:7">
      <c r="A1062" t="s">
        <v>2631</v>
      </c>
      <c r="B1062">
        <v>55</v>
      </c>
      <c r="C1062" t="s">
        <v>2632</v>
      </c>
      <c r="D1062">
        <v>148920</v>
      </c>
      <c r="E1062" t="s">
        <v>36</v>
      </c>
      <c r="F1062" t="s">
        <v>2633</v>
      </c>
      <c r="G1062" s="1">
        <v>45152</v>
      </c>
    </row>
    <row r="1063" spans="1:7">
      <c r="A1063" t="s">
        <v>2634</v>
      </c>
      <c r="B1063">
        <v>67</v>
      </c>
      <c r="C1063" t="s">
        <v>2635</v>
      </c>
      <c r="D1063">
        <v>90646</v>
      </c>
      <c r="E1063" t="s">
        <v>9</v>
      </c>
      <c r="G1063" s="1">
        <v>44977</v>
      </c>
    </row>
    <row r="1064" spans="1:7">
      <c r="A1064" t="s">
        <v>2636</v>
      </c>
      <c r="B1064">
        <v>24</v>
      </c>
      <c r="C1064" t="s">
        <v>2637</v>
      </c>
      <c r="D1064">
        <v>197001</v>
      </c>
      <c r="E1064" t="s">
        <v>294</v>
      </c>
      <c r="F1064">
        <f>1-169-141-4278</f>
        <v>-4587</v>
      </c>
      <c r="G1064" s="1">
        <v>44948</v>
      </c>
    </row>
    <row r="1065" spans="1:7">
      <c r="A1065" t="s">
        <v>2638</v>
      </c>
      <c r="B1065">
        <v>150</v>
      </c>
      <c r="D1065">
        <v>101354</v>
      </c>
      <c r="E1065" t="s">
        <v>36</v>
      </c>
      <c r="F1065" t="s">
        <v>2639</v>
      </c>
      <c r="G1065" s="1">
        <v>45167</v>
      </c>
    </row>
    <row r="1066" spans="1:7">
      <c r="A1066" t="s">
        <v>2640</v>
      </c>
      <c r="B1066">
        <v>35</v>
      </c>
      <c r="C1066" t="s">
        <v>2641</v>
      </c>
      <c r="D1066">
        <v>139164</v>
      </c>
      <c r="E1066" t="s">
        <v>27</v>
      </c>
      <c r="F1066" t="s">
        <v>2642</v>
      </c>
      <c r="G1066" s="1">
        <v>45015</v>
      </c>
    </row>
    <row r="1067" spans="1:7">
      <c r="A1067" t="s">
        <v>2643</v>
      </c>
      <c r="B1067">
        <v>54</v>
      </c>
      <c r="C1067" t="s">
        <v>2644</v>
      </c>
      <c r="D1067">
        <v>65863</v>
      </c>
      <c r="E1067" t="s">
        <v>12</v>
      </c>
      <c r="F1067" t="s">
        <v>2645</v>
      </c>
      <c r="G1067" s="1">
        <v>44973</v>
      </c>
    </row>
    <row r="1068" spans="1:7">
      <c r="A1068" t="s">
        <v>2646</v>
      </c>
      <c r="B1068">
        <v>75</v>
      </c>
      <c r="C1068" t="s">
        <v>445</v>
      </c>
      <c r="D1068">
        <v>35499</v>
      </c>
      <c r="E1068" t="s">
        <v>27</v>
      </c>
      <c r="F1068" t="s">
        <v>2647</v>
      </c>
      <c r="G1068" s="1">
        <v>44964</v>
      </c>
    </row>
    <row r="1069" spans="1:7">
      <c r="A1069" t="s">
        <v>2648</v>
      </c>
      <c r="B1069">
        <v>23</v>
      </c>
      <c r="C1069" t="s">
        <v>2649</v>
      </c>
      <c r="D1069">
        <v>163058</v>
      </c>
      <c r="E1069" t="s">
        <v>27</v>
      </c>
      <c r="F1069">
        <f>1-445-858-5581</f>
        <v>-6883</v>
      </c>
      <c r="G1069" s="1">
        <v>45245</v>
      </c>
    </row>
    <row r="1070" spans="1:7">
      <c r="A1070" t="s">
        <v>2650</v>
      </c>
      <c r="B1070">
        <v>-100</v>
      </c>
      <c r="C1070" t="s">
        <v>2651</v>
      </c>
      <c r="D1070">
        <v>65371</v>
      </c>
      <c r="E1070" t="s">
        <v>27</v>
      </c>
      <c r="F1070">
        <v>5800556513</v>
      </c>
    </row>
    <row r="1071" spans="1:7">
      <c r="A1071" t="s">
        <v>2652</v>
      </c>
      <c r="B1071">
        <v>77</v>
      </c>
      <c r="C1071" t="s">
        <v>2653</v>
      </c>
      <c r="D1071">
        <v>186164</v>
      </c>
      <c r="E1071" t="s">
        <v>12</v>
      </c>
      <c r="F1071">
        <v>2880899340</v>
      </c>
      <c r="G1071" s="1">
        <v>45229</v>
      </c>
    </row>
    <row r="1072" spans="1:7">
      <c r="A1072" t="s">
        <v>2654</v>
      </c>
      <c r="B1072">
        <v>77</v>
      </c>
      <c r="C1072" t="s">
        <v>2655</v>
      </c>
      <c r="D1072">
        <v>123297</v>
      </c>
      <c r="E1072" t="s">
        <v>12</v>
      </c>
      <c r="F1072" t="s">
        <v>2656</v>
      </c>
      <c r="G1072" s="1">
        <v>45074</v>
      </c>
    </row>
    <row r="1073" spans="1:7">
      <c r="A1073" t="s">
        <v>2657</v>
      </c>
      <c r="B1073">
        <v>33</v>
      </c>
      <c r="C1073" t="s">
        <v>2658</v>
      </c>
      <c r="D1073">
        <v>110818</v>
      </c>
      <c r="E1073" t="s">
        <v>12</v>
      </c>
      <c r="F1073" t="s">
        <v>2659</v>
      </c>
      <c r="G1073" s="1">
        <v>45289</v>
      </c>
    </row>
    <row r="1074" spans="1:7">
      <c r="A1074" t="s">
        <v>2660</v>
      </c>
      <c r="B1074">
        <v>34</v>
      </c>
      <c r="C1074" t="s">
        <v>2661</v>
      </c>
      <c r="D1074">
        <v>54502</v>
      </c>
      <c r="E1074" t="s">
        <v>12</v>
      </c>
      <c r="F1074" t="s">
        <v>2662</v>
      </c>
      <c r="G1074" s="1">
        <v>45105</v>
      </c>
    </row>
    <row r="1075" spans="1:7">
      <c r="A1075" t="s">
        <v>2663</v>
      </c>
      <c r="B1075">
        <v>59</v>
      </c>
      <c r="D1075">
        <v>151118</v>
      </c>
      <c r="E1075" t="s">
        <v>27</v>
      </c>
      <c r="F1075" t="s">
        <v>2664</v>
      </c>
      <c r="G1075" s="1">
        <v>45023</v>
      </c>
    </row>
    <row r="1076" spans="1:7">
      <c r="A1076" t="s">
        <v>2665</v>
      </c>
      <c r="B1076">
        <v>53</v>
      </c>
      <c r="C1076" t="s">
        <v>2666</v>
      </c>
      <c r="D1076">
        <v>-10000</v>
      </c>
      <c r="E1076" t="s">
        <v>9</v>
      </c>
      <c r="G1076" s="1">
        <v>45283</v>
      </c>
    </row>
    <row r="1077" spans="1:7">
      <c r="A1077" t="s">
        <v>2667</v>
      </c>
      <c r="C1077" t="s">
        <v>2668</v>
      </c>
      <c r="D1077">
        <v>192969</v>
      </c>
      <c r="E1077" t="s">
        <v>27</v>
      </c>
      <c r="F1077" t="s">
        <v>2669</v>
      </c>
      <c r="G1077" s="1">
        <v>45064</v>
      </c>
    </row>
    <row r="1078" spans="1:7">
      <c r="A1078" t="s">
        <v>258</v>
      </c>
      <c r="B1078">
        <v>28</v>
      </c>
      <c r="C1078" t="s">
        <v>2670</v>
      </c>
      <c r="D1078">
        <v>148094</v>
      </c>
      <c r="E1078" t="s">
        <v>12</v>
      </c>
      <c r="F1078" t="s">
        <v>2671</v>
      </c>
      <c r="G1078" s="1">
        <v>44947</v>
      </c>
    </row>
    <row r="1079" spans="1:7">
      <c r="A1079" t="s">
        <v>2672</v>
      </c>
      <c r="B1079">
        <v>74</v>
      </c>
      <c r="C1079" t="s">
        <v>478</v>
      </c>
      <c r="D1079">
        <v>129165</v>
      </c>
      <c r="E1079" t="s">
        <v>9</v>
      </c>
      <c r="F1079">
        <v>7967780181</v>
      </c>
      <c r="G1079" s="1">
        <v>45169</v>
      </c>
    </row>
    <row r="1080" spans="1:7">
      <c r="A1080" t="s">
        <v>2673</v>
      </c>
      <c r="B1080">
        <v>39</v>
      </c>
      <c r="C1080" t="s">
        <v>2674</v>
      </c>
      <c r="D1080">
        <v>75256</v>
      </c>
      <c r="E1080" t="s">
        <v>27</v>
      </c>
      <c r="F1080" t="s">
        <v>2675</v>
      </c>
      <c r="G1080" s="1">
        <v>45103</v>
      </c>
    </row>
    <row r="1081" spans="1:7">
      <c r="A1081" t="s">
        <v>2676</v>
      </c>
      <c r="B1081">
        <v>52</v>
      </c>
      <c r="C1081" t="s">
        <v>2677</v>
      </c>
      <c r="D1081">
        <v>72674</v>
      </c>
      <c r="E1081" t="s">
        <v>36</v>
      </c>
      <c r="F1081" t="s">
        <v>2678</v>
      </c>
      <c r="G1081" s="1">
        <v>45030</v>
      </c>
    </row>
    <row r="1082" spans="1:7">
      <c r="A1082" t="s">
        <v>2679</v>
      </c>
      <c r="B1082">
        <v>55</v>
      </c>
      <c r="C1082" t="s">
        <v>2680</v>
      </c>
      <c r="D1082">
        <v>0</v>
      </c>
      <c r="E1082" t="s">
        <v>12</v>
      </c>
      <c r="F1082">
        <v>3768898601</v>
      </c>
      <c r="G1082" s="1">
        <v>45211</v>
      </c>
    </row>
    <row r="1083" spans="1:7">
      <c r="B1083">
        <v>0</v>
      </c>
      <c r="C1083" t="s">
        <v>2681</v>
      </c>
      <c r="D1083">
        <v>113860</v>
      </c>
      <c r="E1083" t="s">
        <v>36</v>
      </c>
      <c r="F1083" t="s">
        <v>2682</v>
      </c>
      <c r="G1083" s="1">
        <v>45170</v>
      </c>
    </row>
    <row r="1084" spans="1:7">
      <c r="A1084" t="s">
        <v>2683</v>
      </c>
      <c r="B1084">
        <v>36</v>
      </c>
      <c r="C1084" t="s">
        <v>2684</v>
      </c>
      <c r="D1084">
        <v>117453</v>
      </c>
      <c r="E1084" t="s">
        <v>27</v>
      </c>
      <c r="F1084" t="s">
        <v>2685</v>
      </c>
      <c r="G1084" s="1">
        <v>45132</v>
      </c>
    </row>
    <row r="1085" spans="1:7">
      <c r="A1085" t="s">
        <v>2686</v>
      </c>
      <c r="B1085">
        <v>39</v>
      </c>
      <c r="C1085" t="s">
        <v>299</v>
      </c>
      <c r="D1085">
        <v>0</v>
      </c>
      <c r="E1085" t="s">
        <v>9</v>
      </c>
      <c r="F1085" t="s">
        <v>2687</v>
      </c>
      <c r="G1085" s="1">
        <v>45125</v>
      </c>
    </row>
    <row r="1086" spans="1:7">
      <c r="A1086" t="s">
        <v>2688</v>
      </c>
      <c r="B1086">
        <v>64</v>
      </c>
      <c r="C1086" t="s">
        <v>2689</v>
      </c>
      <c r="D1086">
        <v>31906</v>
      </c>
      <c r="E1086" t="s">
        <v>358</v>
      </c>
      <c r="F1086">
        <v>2714973730</v>
      </c>
      <c r="G1086" s="1">
        <v>44970</v>
      </c>
    </row>
    <row r="1087" spans="1:7">
      <c r="A1087" t="s">
        <v>1773</v>
      </c>
      <c r="B1087">
        <v>63</v>
      </c>
      <c r="C1087" t="s">
        <v>2690</v>
      </c>
      <c r="D1087">
        <v>55675</v>
      </c>
      <c r="E1087" t="s">
        <v>27</v>
      </c>
      <c r="F1087">
        <f>1-305-473-8577</f>
        <v>-9354</v>
      </c>
      <c r="G1087" s="1">
        <v>45216</v>
      </c>
    </row>
    <row r="1088" spans="1:7">
      <c r="A1088" t="s">
        <v>2691</v>
      </c>
      <c r="B1088">
        <v>-100</v>
      </c>
      <c r="C1088" t="s">
        <v>2692</v>
      </c>
      <c r="D1088">
        <v>193865</v>
      </c>
      <c r="E1088" t="s">
        <v>9</v>
      </c>
      <c r="F1088" t="s">
        <v>2693</v>
      </c>
      <c r="G1088" s="1">
        <v>45061</v>
      </c>
    </row>
    <row r="1089" spans="1:7">
      <c r="A1089" t="s">
        <v>2694</v>
      </c>
      <c r="B1089">
        <v>19</v>
      </c>
      <c r="C1089" t="s">
        <v>2695</v>
      </c>
      <c r="D1089">
        <v>41962</v>
      </c>
      <c r="E1089" t="s">
        <v>18</v>
      </c>
      <c r="F1089" t="s">
        <v>2696</v>
      </c>
      <c r="G1089" s="1">
        <v>45209</v>
      </c>
    </row>
    <row r="1090" spans="1:7">
      <c r="A1090" t="s">
        <v>2697</v>
      </c>
      <c r="B1090">
        <v>200</v>
      </c>
      <c r="C1090" t="s">
        <v>2698</v>
      </c>
      <c r="D1090">
        <v>157043</v>
      </c>
      <c r="E1090" t="s">
        <v>36</v>
      </c>
      <c r="F1090" t="s">
        <v>2699</v>
      </c>
      <c r="G1090" s="1">
        <v>45040</v>
      </c>
    </row>
    <row r="1091" spans="1:7">
      <c r="A1091" t="s">
        <v>2700</v>
      </c>
      <c r="B1091">
        <v>47</v>
      </c>
      <c r="C1091" t="s">
        <v>61</v>
      </c>
      <c r="D1091">
        <v>159237</v>
      </c>
      <c r="E1091" t="s">
        <v>9</v>
      </c>
      <c r="F1091">
        <f>1-926-262-4275</f>
        <v>-5462</v>
      </c>
      <c r="G1091" s="1">
        <v>44993</v>
      </c>
    </row>
    <row r="1092" spans="1:7">
      <c r="A1092" t="s">
        <v>2701</v>
      </c>
      <c r="B1092">
        <v>28</v>
      </c>
      <c r="C1092" t="s">
        <v>2702</v>
      </c>
      <c r="D1092">
        <v>197849</v>
      </c>
      <c r="E1092" t="s">
        <v>9</v>
      </c>
      <c r="F1092" t="s">
        <v>2703</v>
      </c>
      <c r="G1092" t="s">
        <v>301</v>
      </c>
    </row>
    <row r="1093" spans="1:7">
      <c r="A1093" t="s">
        <v>2704</v>
      </c>
      <c r="B1093">
        <v>69</v>
      </c>
      <c r="C1093" t="s">
        <v>2705</v>
      </c>
      <c r="E1093" t="s">
        <v>12</v>
      </c>
      <c r="F1093">
        <f>1-704-647-5399</f>
        <v>-6749</v>
      </c>
      <c r="G1093" s="1">
        <v>45120</v>
      </c>
    </row>
    <row r="1094" spans="1:7">
      <c r="A1094" t="s">
        <v>2706</v>
      </c>
      <c r="B1094">
        <v>46</v>
      </c>
      <c r="C1094" t="s">
        <v>2707</v>
      </c>
      <c r="D1094">
        <v>83051</v>
      </c>
      <c r="E1094" t="s">
        <v>9</v>
      </c>
      <c r="F1094" t="s">
        <v>2708</v>
      </c>
      <c r="G1094" s="1">
        <v>44946</v>
      </c>
    </row>
    <row r="1095" spans="1:7">
      <c r="A1095" t="s">
        <v>2709</v>
      </c>
      <c r="B1095">
        <v>29</v>
      </c>
      <c r="D1095">
        <v>95901</v>
      </c>
      <c r="E1095" t="s">
        <v>9</v>
      </c>
      <c r="F1095">
        <f>1-662-951-4348</f>
        <v>-5960</v>
      </c>
      <c r="G1095" s="1">
        <v>44971</v>
      </c>
    </row>
    <row r="1096" spans="1:7">
      <c r="A1096" t="s">
        <v>2710</v>
      </c>
      <c r="B1096">
        <v>75</v>
      </c>
      <c r="C1096" t="s">
        <v>2711</v>
      </c>
      <c r="D1096">
        <v>71458</v>
      </c>
      <c r="E1096" t="s">
        <v>12</v>
      </c>
      <c r="F1096" t="s">
        <v>2712</v>
      </c>
      <c r="G1096" s="1">
        <v>45030</v>
      </c>
    </row>
    <row r="1097" spans="1:7">
      <c r="A1097" t="s">
        <v>2713</v>
      </c>
      <c r="B1097">
        <v>76</v>
      </c>
      <c r="C1097" t="s">
        <v>2714</v>
      </c>
      <c r="D1097">
        <v>71984</v>
      </c>
      <c r="E1097" t="s">
        <v>12</v>
      </c>
      <c r="F1097" t="s">
        <v>2715</v>
      </c>
      <c r="G1097" s="1">
        <v>45074</v>
      </c>
    </row>
    <row r="1098" spans="1:7">
      <c r="A1098" t="s">
        <v>2716</v>
      </c>
      <c r="B1098">
        <v>44</v>
      </c>
      <c r="C1098" t="s">
        <v>2717</v>
      </c>
      <c r="D1098">
        <v>80013</v>
      </c>
      <c r="E1098" t="s">
        <v>12</v>
      </c>
      <c r="F1098" t="s">
        <v>2718</v>
      </c>
      <c r="G1098" s="1">
        <v>45140</v>
      </c>
    </row>
    <row r="1099" spans="1:7">
      <c r="A1099" t="s">
        <v>2719</v>
      </c>
      <c r="B1099">
        <v>24</v>
      </c>
      <c r="C1099" t="s">
        <v>2720</v>
      </c>
      <c r="D1099">
        <v>156311</v>
      </c>
      <c r="E1099" t="s">
        <v>12</v>
      </c>
      <c r="F1099" t="s">
        <v>2721</v>
      </c>
      <c r="G1099" s="1">
        <v>44995</v>
      </c>
    </row>
    <row r="1100" spans="1:7">
      <c r="A1100" t="s">
        <v>2722</v>
      </c>
      <c r="C1100" t="s">
        <v>2723</v>
      </c>
      <c r="D1100">
        <v>190020</v>
      </c>
      <c r="E1100" t="s">
        <v>9</v>
      </c>
      <c r="F1100" t="s">
        <v>2724</v>
      </c>
      <c r="G1100" s="1">
        <v>45126</v>
      </c>
    </row>
    <row r="1101" spans="1:7">
      <c r="A1101" t="s">
        <v>2725</v>
      </c>
      <c r="B1101">
        <v>33</v>
      </c>
      <c r="C1101" t="s">
        <v>2726</v>
      </c>
      <c r="D1101">
        <v>80516</v>
      </c>
      <c r="E1101" t="s">
        <v>9</v>
      </c>
      <c r="F1101">
        <v>1681205304</v>
      </c>
      <c r="G1101" s="1">
        <v>45104</v>
      </c>
    </row>
    <row r="1102" spans="1:7">
      <c r="A1102" t="s">
        <v>2727</v>
      </c>
      <c r="B1102">
        <v>25</v>
      </c>
      <c r="C1102" t="s">
        <v>2728</v>
      </c>
      <c r="D1102">
        <v>177595</v>
      </c>
      <c r="E1102" t="s">
        <v>12</v>
      </c>
      <c r="F1102">
        <v>3908503113</v>
      </c>
      <c r="G1102" s="1">
        <v>45215</v>
      </c>
    </row>
    <row r="1103" spans="1:7">
      <c r="A1103" t="s">
        <v>2729</v>
      </c>
      <c r="B1103">
        <v>19</v>
      </c>
      <c r="C1103" t="s">
        <v>2730</v>
      </c>
      <c r="D1103">
        <v>103914</v>
      </c>
      <c r="E1103" t="s">
        <v>36</v>
      </c>
      <c r="F1103" t="s">
        <v>2731</v>
      </c>
      <c r="G1103" s="1">
        <v>45123</v>
      </c>
    </row>
    <row r="1104" spans="1:7">
      <c r="A1104" t="s">
        <v>2732</v>
      </c>
      <c r="B1104">
        <v>38</v>
      </c>
      <c r="D1104">
        <v>186688</v>
      </c>
      <c r="E1104" t="s">
        <v>36</v>
      </c>
      <c r="F1104">
        <v>9368508491</v>
      </c>
      <c r="G1104" s="1">
        <v>45091</v>
      </c>
    </row>
    <row r="1105" spans="1:7">
      <c r="A1105" t="s">
        <v>2733</v>
      </c>
      <c r="B1105">
        <v>72</v>
      </c>
      <c r="C1105" t="s">
        <v>2734</v>
      </c>
      <c r="D1105">
        <v>99212</v>
      </c>
      <c r="E1105" t="s">
        <v>27</v>
      </c>
      <c r="F1105">
        <f>1-132-926-2043</f>
        <v>-3100</v>
      </c>
      <c r="G1105" s="1">
        <v>45272</v>
      </c>
    </row>
    <row r="1106" spans="1:7">
      <c r="A1106" t="s">
        <v>2735</v>
      </c>
      <c r="B1106">
        <v>43</v>
      </c>
      <c r="C1106" t="s">
        <v>2736</v>
      </c>
      <c r="D1106">
        <v>41308</v>
      </c>
      <c r="E1106" t="s">
        <v>527</v>
      </c>
      <c r="F1106">
        <v>3750219066</v>
      </c>
      <c r="G1106" s="1">
        <v>45132</v>
      </c>
    </row>
    <row r="1107" spans="1:7">
      <c r="A1107" t="s">
        <v>2737</v>
      </c>
      <c r="B1107">
        <v>45</v>
      </c>
      <c r="C1107" t="s">
        <v>2738</v>
      </c>
      <c r="D1107">
        <v>125558</v>
      </c>
      <c r="E1107" t="s">
        <v>27</v>
      </c>
      <c r="F1107" t="s">
        <v>2739</v>
      </c>
      <c r="G1107" s="1">
        <v>45284</v>
      </c>
    </row>
    <row r="1108" spans="1:7">
      <c r="A1108" t="s">
        <v>2740</v>
      </c>
      <c r="B1108">
        <v>25</v>
      </c>
      <c r="C1108" t="s">
        <v>299</v>
      </c>
      <c r="D1108">
        <v>140100</v>
      </c>
      <c r="E1108" t="s">
        <v>12</v>
      </c>
      <c r="F1108" t="s">
        <v>2741</v>
      </c>
      <c r="G1108" s="1">
        <v>44984</v>
      </c>
    </row>
    <row r="1109" spans="1:7">
      <c r="A1109" t="s">
        <v>2742</v>
      </c>
      <c r="B1109">
        <v>68</v>
      </c>
      <c r="C1109" t="s">
        <v>2743</v>
      </c>
      <c r="D1109">
        <v>147358</v>
      </c>
      <c r="E1109" t="s">
        <v>27</v>
      </c>
      <c r="F1109" t="s">
        <v>2744</v>
      </c>
      <c r="G1109" s="1">
        <v>44997</v>
      </c>
    </row>
    <row r="1110" spans="1:7">
      <c r="A1110" t="s">
        <v>2745</v>
      </c>
      <c r="B1110">
        <v>26</v>
      </c>
      <c r="C1110" t="s">
        <v>2746</v>
      </c>
      <c r="D1110">
        <v>49360</v>
      </c>
      <c r="E1110" t="s">
        <v>36</v>
      </c>
      <c r="F1110">
        <v>7782954756</v>
      </c>
      <c r="G1110" s="1">
        <v>45077</v>
      </c>
    </row>
    <row r="1111" spans="1:7">
      <c r="A1111" t="s">
        <v>2747</v>
      </c>
      <c r="B1111">
        <v>54</v>
      </c>
      <c r="C1111" t="s">
        <v>2748</v>
      </c>
      <c r="D1111">
        <v>33642</v>
      </c>
      <c r="E1111" t="s">
        <v>36</v>
      </c>
      <c r="F1111" t="s">
        <v>2749</v>
      </c>
      <c r="G1111" s="1">
        <v>45218</v>
      </c>
    </row>
    <row r="1112" spans="1:7">
      <c r="A1112" t="s">
        <v>2750</v>
      </c>
      <c r="B1112">
        <v>64</v>
      </c>
      <c r="C1112" t="s">
        <v>2751</v>
      </c>
      <c r="D1112">
        <v>196667</v>
      </c>
      <c r="E1112" t="s">
        <v>9</v>
      </c>
      <c r="F1112">
        <v>4973004177</v>
      </c>
      <c r="G1112" s="1">
        <v>45197</v>
      </c>
    </row>
    <row r="1113" spans="1:7">
      <c r="A1113" t="s">
        <v>2238</v>
      </c>
      <c r="B1113">
        <v>68</v>
      </c>
      <c r="C1113" t="s">
        <v>2752</v>
      </c>
      <c r="D1113">
        <v>151211</v>
      </c>
      <c r="E1113" t="s">
        <v>9</v>
      </c>
      <c r="F1113" t="s">
        <v>2753</v>
      </c>
      <c r="G1113" s="1">
        <v>45256</v>
      </c>
    </row>
    <row r="1114" spans="1:7">
      <c r="A1114" t="s">
        <v>2754</v>
      </c>
      <c r="B1114">
        <v>72</v>
      </c>
      <c r="C1114" t="s">
        <v>2755</v>
      </c>
      <c r="D1114">
        <v>184136</v>
      </c>
      <c r="F1114" t="s">
        <v>2756</v>
      </c>
      <c r="G1114" s="1">
        <v>45089</v>
      </c>
    </row>
    <row r="1115" spans="1:7">
      <c r="A1115" t="s">
        <v>2757</v>
      </c>
      <c r="B1115">
        <v>-5</v>
      </c>
      <c r="C1115" t="s">
        <v>2758</v>
      </c>
      <c r="D1115">
        <v>106253</v>
      </c>
      <c r="E1115" t="s">
        <v>36</v>
      </c>
      <c r="F1115" t="s">
        <v>2759</v>
      </c>
      <c r="G1115" s="1">
        <v>44980</v>
      </c>
    </row>
    <row r="1116" spans="1:7">
      <c r="A1116" t="s">
        <v>2760</v>
      </c>
      <c r="B1116">
        <v>54</v>
      </c>
      <c r="C1116" t="s">
        <v>2761</v>
      </c>
      <c r="D1116">
        <v>-20000</v>
      </c>
      <c r="E1116" t="s">
        <v>294</v>
      </c>
      <c r="F1116" t="s">
        <v>2762</v>
      </c>
      <c r="G1116" s="1">
        <v>45264</v>
      </c>
    </row>
    <row r="1117" spans="1:7">
      <c r="A1117" t="s">
        <v>2763</v>
      </c>
      <c r="B1117">
        <v>31</v>
      </c>
      <c r="D1117">
        <v>34986</v>
      </c>
      <c r="E1117" t="s">
        <v>12</v>
      </c>
      <c r="F1117" t="s">
        <v>2764</v>
      </c>
      <c r="G1117" s="1">
        <v>45033</v>
      </c>
    </row>
    <row r="1118" spans="1:7">
      <c r="A1118" t="s">
        <v>2765</v>
      </c>
      <c r="B1118">
        <v>58</v>
      </c>
      <c r="D1118">
        <v>117640</v>
      </c>
      <c r="E1118" t="s">
        <v>12</v>
      </c>
      <c r="G1118" s="1">
        <v>45277</v>
      </c>
    </row>
    <row r="1119" spans="1:7">
      <c r="A1119" t="s">
        <v>2766</v>
      </c>
      <c r="B1119">
        <v>43</v>
      </c>
      <c r="D1119">
        <v>63870</v>
      </c>
      <c r="E1119" t="s">
        <v>294</v>
      </c>
      <c r="F1119">
        <v>6595603986</v>
      </c>
      <c r="G1119" s="1">
        <v>45083</v>
      </c>
    </row>
    <row r="1120" spans="1:7">
      <c r="A1120" t="s">
        <v>2767</v>
      </c>
      <c r="B1120">
        <v>-25</v>
      </c>
      <c r="C1120" t="s">
        <v>2768</v>
      </c>
      <c r="D1120">
        <v>0</v>
      </c>
      <c r="E1120" t="s">
        <v>27</v>
      </c>
      <c r="F1120" t="s">
        <v>2769</v>
      </c>
      <c r="G1120" s="1">
        <v>45278</v>
      </c>
    </row>
    <row r="1121" spans="1:7">
      <c r="A1121" t="s">
        <v>2770</v>
      </c>
      <c r="B1121">
        <v>999</v>
      </c>
      <c r="C1121" t="s">
        <v>2771</v>
      </c>
      <c r="D1121">
        <v>122906</v>
      </c>
      <c r="E1121" t="s">
        <v>27</v>
      </c>
      <c r="F1121">
        <f>1-936-894-8431</f>
        <v>-10260</v>
      </c>
      <c r="G1121" s="1">
        <v>45005</v>
      </c>
    </row>
    <row r="1122" spans="1:7">
      <c r="A1122" t="s">
        <v>2772</v>
      </c>
      <c r="B1122">
        <v>25</v>
      </c>
      <c r="C1122" t="s">
        <v>2773</v>
      </c>
      <c r="E1122" t="s">
        <v>9</v>
      </c>
      <c r="F1122" t="s">
        <v>2774</v>
      </c>
      <c r="G1122" s="1">
        <v>45002</v>
      </c>
    </row>
    <row r="1123" spans="1:7">
      <c r="A1123" t="s">
        <v>2775</v>
      </c>
      <c r="B1123">
        <v>75</v>
      </c>
      <c r="C1123" t="s">
        <v>2776</v>
      </c>
      <c r="D1123">
        <v>68870</v>
      </c>
      <c r="E1123" t="s">
        <v>12</v>
      </c>
      <c r="F1123">
        <v>5439366473</v>
      </c>
      <c r="G1123" s="1">
        <v>45023</v>
      </c>
    </row>
    <row r="1124" spans="1:7">
      <c r="A1124" t="s">
        <v>2777</v>
      </c>
      <c r="B1124">
        <v>76</v>
      </c>
      <c r="C1124" t="s">
        <v>2778</v>
      </c>
      <c r="D1124">
        <v>104286</v>
      </c>
      <c r="E1124" t="s">
        <v>9</v>
      </c>
      <c r="F1124" t="s">
        <v>2779</v>
      </c>
      <c r="G1124" s="1">
        <v>45036</v>
      </c>
    </row>
    <row r="1125" spans="1:7">
      <c r="A1125" t="s">
        <v>2780</v>
      </c>
      <c r="B1125">
        <v>54</v>
      </c>
      <c r="C1125" t="s">
        <v>2781</v>
      </c>
      <c r="D1125">
        <v>104329</v>
      </c>
      <c r="E1125" t="s">
        <v>9</v>
      </c>
      <c r="F1125" t="s">
        <v>2782</v>
      </c>
      <c r="G1125" s="1">
        <v>44944</v>
      </c>
    </row>
    <row r="1126" spans="1:7">
      <c r="A1126" t="s">
        <v>2783</v>
      </c>
      <c r="B1126">
        <v>26</v>
      </c>
      <c r="C1126" t="s">
        <v>2784</v>
      </c>
      <c r="D1126">
        <v>65932</v>
      </c>
      <c r="E1126" t="s">
        <v>36</v>
      </c>
      <c r="F1126" t="s">
        <v>2785</v>
      </c>
      <c r="G1126" s="1">
        <v>45055</v>
      </c>
    </row>
    <row r="1127" spans="1:7">
      <c r="A1127" t="s">
        <v>2786</v>
      </c>
      <c r="B1127">
        <v>61</v>
      </c>
      <c r="C1127" t="s">
        <v>2787</v>
      </c>
      <c r="D1127">
        <v>109569</v>
      </c>
      <c r="E1127" t="s">
        <v>36</v>
      </c>
      <c r="F1127" t="s">
        <v>2788</v>
      </c>
      <c r="G1127" s="1">
        <v>45264</v>
      </c>
    </row>
    <row r="1128" spans="1:7">
      <c r="A1128" t="s">
        <v>2789</v>
      </c>
      <c r="B1128">
        <v>74</v>
      </c>
      <c r="C1128" t="s">
        <v>518</v>
      </c>
      <c r="D1128">
        <v>77377</v>
      </c>
      <c r="E1128" t="s">
        <v>36</v>
      </c>
      <c r="F1128" t="s">
        <v>2790</v>
      </c>
      <c r="G1128" s="1">
        <v>44947</v>
      </c>
    </row>
    <row r="1129" spans="1:7">
      <c r="A1129" t="s">
        <v>2791</v>
      </c>
      <c r="B1129">
        <v>54</v>
      </c>
      <c r="D1129">
        <v>161627</v>
      </c>
      <c r="E1129" t="s">
        <v>9</v>
      </c>
      <c r="F1129" t="s">
        <v>2792</v>
      </c>
      <c r="G1129" s="1">
        <v>45088</v>
      </c>
    </row>
    <row r="1130" spans="1:7">
      <c r="A1130" t="s">
        <v>2793</v>
      </c>
      <c r="B1130">
        <v>0</v>
      </c>
      <c r="C1130" t="s">
        <v>2794</v>
      </c>
      <c r="D1130">
        <v>48990</v>
      </c>
      <c r="E1130" t="s">
        <v>12</v>
      </c>
      <c r="F1130" t="s">
        <v>2795</v>
      </c>
      <c r="G1130" s="1">
        <v>45214</v>
      </c>
    </row>
    <row r="1131" spans="1:7">
      <c r="A1131" t="s">
        <v>2796</v>
      </c>
      <c r="B1131">
        <v>20</v>
      </c>
      <c r="C1131" t="s">
        <v>2797</v>
      </c>
      <c r="D1131">
        <v>177265</v>
      </c>
      <c r="E1131" t="s">
        <v>9</v>
      </c>
      <c r="F1131" t="s">
        <v>2798</v>
      </c>
      <c r="G1131" s="1">
        <v>45196</v>
      </c>
    </row>
    <row r="1132" spans="1:7">
      <c r="A1132" t="s">
        <v>2799</v>
      </c>
      <c r="B1132">
        <v>55</v>
      </c>
      <c r="C1132" t="s">
        <v>2800</v>
      </c>
      <c r="D1132">
        <v>61954</v>
      </c>
      <c r="E1132" t="s">
        <v>27</v>
      </c>
      <c r="F1132" t="s">
        <v>2801</v>
      </c>
      <c r="G1132" s="1">
        <v>45112</v>
      </c>
    </row>
    <row r="1133" spans="1:7">
      <c r="A1133" t="s">
        <v>2802</v>
      </c>
      <c r="B1133">
        <v>45</v>
      </c>
      <c r="C1133" t="s">
        <v>2803</v>
      </c>
      <c r="D1133">
        <v>136750</v>
      </c>
      <c r="E1133" t="s">
        <v>27</v>
      </c>
      <c r="F1133">
        <f>1-318-646-5711</f>
        <v>-6674</v>
      </c>
      <c r="G1133" s="1">
        <v>45138</v>
      </c>
    </row>
    <row r="1134" spans="1:7">
      <c r="A1134" t="s">
        <v>2804</v>
      </c>
      <c r="B1134">
        <v>70</v>
      </c>
      <c r="C1134" t="s">
        <v>2805</v>
      </c>
      <c r="D1134">
        <v>156796</v>
      </c>
      <c r="E1134" t="s">
        <v>36</v>
      </c>
      <c r="F1134" t="s">
        <v>2806</v>
      </c>
      <c r="G1134" s="1">
        <v>45035</v>
      </c>
    </row>
    <row r="1135" spans="1:7">
      <c r="A1135" t="s">
        <v>2807</v>
      </c>
      <c r="B1135">
        <v>31</v>
      </c>
      <c r="C1135" t="s">
        <v>2808</v>
      </c>
      <c r="D1135">
        <v>42356</v>
      </c>
      <c r="E1135" t="s">
        <v>12</v>
      </c>
      <c r="F1135" t="s">
        <v>2809</v>
      </c>
      <c r="G1135" s="1">
        <v>45111</v>
      </c>
    </row>
    <row r="1136" spans="1:7">
      <c r="A1136" t="s">
        <v>2810</v>
      </c>
      <c r="B1136">
        <v>72</v>
      </c>
      <c r="C1136" t="s">
        <v>2811</v>
      </c>
      <c r="D1136">
        <v>160976</v>
      </c>
      <c r="E1136" t="s">
        <v>12</v>
      </c>
      <c r="F1136" t="s">
        <v>2812</v>
      </c>
      <c r="G1136" s="1">
        <v>44980</v>
      </c>
    </row>
    <row r="1137" spans="1:7">
      <c r="A1137" t="s">
        <v>2813</v>
      </c>
      <c r="B1137">
        <v>45</v>
      </c>
      <c r="C1137" t="s">
        <v>2814</v>
      </c>
      <c r="D1137">
        <v>62920</v>
      </c>
      <c r="E1137" t="s">
        <v>36</v>
      </c>
      <c r="F1137" t="s">
        <v>2815</v>
      </c>
      <c r="G1137" s="1">
        <v>45260</v>
      </c>
    </row>
    <row r="1138" spans="1:7">
      <c r="A1138" t="s">
        <v>2816</v>
      </c>
      <c r="B1138">
        <v>55</v>
      </c>
      <c r="C1138" t="s">
        <v>2817</v>
      </c>
      <c r="D1138">
        <v>77218</v>
      </c>
      <c r="E1138" t="s">
        <v>12</v>
      </c>
      <c r="F1138">
        <f>1-545-139-8033</f>
        <v>-8716</v>
      </c>
      <c r="G1138" s="1">
        <v>45007</v>
      </c>
    </row>
    <row r="1139" spans="1:7">
      <c r="A1139" t="s">
        <v>2818</v>
      </c>
      <c r="B1139">
        <v>39</v>
      </c>
      <c r="C1139" t="s">
        <v>478</v>
      </c>
      <c r="D1139">
        <v>172326</v>
      </c>
      <c r="E1139" t="s">
        <v>27</v>
      </c>
      <c r="F1139">
        <f>1-329-121-1376</f>
        <v>-1825</v>
      </c>
      <c r="G1139" s="1">
        <v>44986</v>
      </c>
    </row>
    <row r="1140" spans="1:7">
      <c r="B1140">
        <v>45</v>
      </c>
      <c r="C1140" t="s">
        <v>2819</v>
      </c>
      <c r="D1140">
        <v>184542</v>
      </c>
      <c r="E1140" t="s">
        <v>12</v>
      </c>
      <c r="F1140" t="s">
        <v>2820</v>
      </c>
      <c r="G1140" s="1">
        <v>44953</v>
      </c>
    </row>
    <row r="1141" spans="1:7">
      <c r="A1141" t="s">
        <v>2821</v>
      </c>
      <c r="B1141">
        <v>44</v>
      </c>
      <c r="C1141" t="s">
        <v>2822</v>
      </c>
      <c r="D1141">
        <v>186452</v>
      </c>
      <c r="E1141" t="s">
        <v>49</v>
      </c>
      <c r="F1141" t="s">
        <v>2823</v>
      </c>
      <c r="G1141" s="1">
        <v>44962</v>
      </c>
    </row>
    <row r="1142" spans="1:7">
      <c r="A1142" t="s">
        <v>1482</v>
      </c>
      <c r="B1142">
        <v>49</v>
      </c>
      <c r="C1142" t="s">
        <v>2824</v>
      </c>
      <c r="D1142">
        <v>91215</v>
      </c>
      <c r="E1142" t="s">
        <v>12</v>
      </c>
      <c r="F1142" t="s">
        <v>2825</v>
      </c>
      <c r="G1142" s="1">
        <v>45202</v>
      </c>
    </row>
    <row r="1143" spans="1:7">
      <c r="A1143" t="s">
        <v>2826</v>
      </c>
      <c r="B1143">
        <v>250</v>
      </c>
      <c r="C1143" t="s">
        <v>2827</v>
      </c>
      <c r="D1143">
        <v>189094</v>
      </c>
      <c r="E1143" t="s">
        <v>27</v>
      </c>
      <c r="F1143" t="s">
        <v>2828</v>
      </c>
      <c r="G1143" s="1">
        <v>45035</v>
      </c>
    </row>
    <row r="1144" spans="1:7">
      <c r="A1144" t="s">
        <v>2829</v>
      </c>
      <c r="B1144">
        <v>34</v>
      </c>
      <c r="C1144" t="s">
        <v>2830</v>
      </c>
      <c r="D1144">
        <v>90654</v>
      </c>
      <c r="E1144" t="s">
        <v>36</v>
      </c>
      <c r="F1144" t="s">
        <v>2831</v>
      </c>
      <c r="G1144" s="1">
        <v>45201</v>
      </c>
    </row>
    <row r="1145" spans="1:7">
      <c r="A1145" t="s">
        <v>2832</v>
      </c>
      <c r="B1145">
        <v>42</v>
      </c>
      <c r="C1145" t="s">
        <v>2833</v>
      </c>
      <c r="D1145">
        <v>188128</v>
      </c>
      <c r="E1145" t="s">
        <v>36</v>
      </c>
      <c r="F1145">
        <f>1-160-580-2948</f>
        <v>-3687</v>
      </c>
      <c r="G1145" s="1">
        <v>44995</v>
      </c>
    </row>
    <row r="1146" spans="1:7">
      <c r="A1146" t="s">
        <v>2834</v>
      </c>
      <c r="B1146">
        <v>52</v>
      </c>
      <c r="C1146" t="s">
        <v>2835</v>
      </c>
      <c r="D1146">
        <v>151169</v>
      </c>
      <c r="E1146" t="s">
        <v>12</v>
      </c>
      <c r="F1146" t="s">
        <v>2836</v>
      </c>
      <c r="G1146" s="1">
        <v>45233</v>
      </c>
    </row>
    <row r="1147" spans="1:7">
      <c r="A1147" t="s">
        <v>2837</v>
      </c>
      <c r="B1147">
        <v>78</v>
      </c>
      <c r="C1147" t="s">
        <v>2838</v>
      </c>
      <c r="D1147">
        <v>135686</v>
      </c>
      <c r="E1147" t="s">
        <v>9</v>
      </c>
      <c r="F1147">
        <f>1-673-997-4129</f>
        <v>-5798</v>
      </c>
      <c r="G1147" s="1">
        <v>45154</v>
      </c>
    </row>
    <row r="1148" spans="1:7">
      <c r="A1148" t="s">
        <v>2839</v>
      </c>
      <c r="B1148">
        <v>54</v>
      </c>
      <c r="C1148" t="s">
        <v>2840</v>
      </c>
      <c r="D1148">
        <v>116339</v>
      </c>
      <c r="E1148" t="s">
        <v>9</v>
      </c>
      <c r="F1148" t="s">
        <v>2841</v>
      </c>
      <c r="G1148" s="1">
        <v>45122</v>
      </c>
    </row>
    <row r="1149" spans="1:7">
      <c r="A1149" t="s">
        <v>2842</v>
      </c>
      <c r="B1149">
        <v>56</v>
      </c>
      <c r="C1149" t="s">
        <v>2843</v>
      </c>
      <c r="D1149">
        <v>191771</v>
      </c>
      <c r="E1149" t="s">
        <v>12</v>
      </c>
      <c r="F1149" t="s">
        <v>2844</v>
      </c>
      <c r="G1149" s="1">
        <v>45007</v>
      </c>
    </row>
    <row r="1150" spans="1:7">
      <c r="A1150" t="s">
        <v>2845</v>
      </c>
      <c r="B1150">
        <v>70</v>
      </c>
      <c r="D1150">
        <v>198337</v>
      </c>
      <c r="E1150" t="s">
        <v>9</v>
      </c>
      <c r="F1150">
        <v>4850825248</v>
      </c>
      <c r="G1150" s="1">
        <v>45025</v>
      </c>
    </row>
    <row r="1151" spans="1:7">
      <c r="A1151" t="s">
        <v>2846</v>
      </c>
      <c r="B1151">
        <v>68</v>
      </c>
      <c r="C1151" t="s">
        <v>2847</v>
      </c>
      <c r="D1151">
        <v>182431</v>
      </c>
      <c r="E1151" t="s">
        <v>27</v>
      </c>
      <c r="F1151">
        <v>7181455756</v>
      </c>
      <c r="G1151" s="1">
        <v>45243</v>
      </c>
    </row>
    <row r="1152" spans="1:7">
      <c r="A1152" t="s">
        <v>2848</v>
      </c>
      <c r="B1152">
        <v>65</v>
      </c>
      <c r="C1152" t="s">
        <v>2849</v>
      </c>
      <c r="D1152">
        <v>133061</v>
      </c>
      <c r="E1152" t="s">
        <v>9</v>
      </c>
      <c r="F1152">
        <v>3313194377</v>
      </c>
      <c r="G1152" s="1">
        <v>45082</v>
      </c>
    </row>
    <row r="1153" spans="1:7">
      <c r="A1153" t="s">
        <v>2850</v>
      </c>
      <c r="B1153">
        <v>29</v>
      </c>
      <c r="C1153" t="s">
        <v>2851</v>
      </c>
      <c r="D1153">
        <v>149729</v>
      </c>
      <c r="E1153" t="s">
        <v>36</v>
      </c>
      <c r="F1153" t="s">
        <v>2852</v>
      </c>
      <c r="G1153" s="1">
        <v>45248</v>
      </c>
    </row>
    <row r="1154" spans="1:7">
      <c r="A1154" t="s">
        <v>2853</v>
      </c>
      <c r="C1154" t="s">
        <v>2854</v>
      </c>
      <c r="D1154">
        <v>97766</v>
      </c>
      <c r="E1154" t="s">
        <v>27</v>
      </c>
      <c r="F1154">
        <v>4969240305</v>
      </c>
      <c r="G1154" s="1">
        <v>45008</v>
      </c>
    </row>
    <row r="1155" spans="1:7">
      <c r="A1155" t="s">
        <v>2855</v>
      </c>
      <c r="B1155">
        <v>36</v>
      </c>
      <c r="C1155" t="s">
        <v>2856</v>
      </c>
      <c r="D1155">
        <v>187060</v>
      </c>
      <c r="E1155" t="s">
        <v>27</v>
      </c>
      <c r="F1155">
        <v>4541853179</v>
      </c>
      <c r="G1155" s="1">
        <v>44959</v>
      </c>
    </row>
    <row r="1156" spans="1:7">
      <c r="A1156" t="s">
        <v>2857</v>
      </c>
      <c r="B1156">
        <v>79</v>
      </c>
      <c r="C1156" t="s">
        <v>2858</v>
      </c>
      <c r="D1156">
        <v>160000</v>
      </c>
      <c r="E1156" t="s">
        <v>36</v>
      </c>
      <c r="F1156" t="s">
        <v>2859</v>
      </c>
      <c r="G1156" s="1">
        <v>45113</v>
      </c>
    </row>
    <row r="1157" spans="1:7">
      <c r="A1157" t="s">
        <v>2860</v>
      </c>
      <c r="B1157">
        <v>25</v>
      </c>
      <c r="C1157" t="s">
        <v>2861</v>
      </c>
      <c r="D1157">
        <v>119876</v>
      </c>
      <c r="E1157" t="s">
        <v>36</v>
      </c>
      <c r="F1157" t="s">
        <v>2862</v>
      </c>
      <c r="G1157" s="1">
        <v>45004</v>
      </c>
    </row>
    <row r="1158" spans="1:7">
      <c r="A1158" t="s">
        <v>2863</v>
      </c>
      <c r="B1158">
        <v>47</v>
      </c>
      <c r="C1158" t="s">
        <v>2864</v>
      </c>
      <c r="D1158">
        <v>92785</v>
      </c>
      <c r="E1158" t="s">
        <v>36</v>
      </c>
      <c r="G1158" s="1">
        <v>45127</v>
      </c>
    </row>
    <row r="1159" spans="1:7">
      <c r="A1159" t="s">
        <v>2865</v>
      </c>
      <c r="B1159">
        <v>23</v>
      </c>
      <c r="C1159" t="s">
        <v>2866</v>
      </c>
      <c r="D1159">
        <v>181094</v>
      </c>
      <c r="E1159" t="s">
        <v>12</v>
      </c>
      <c r="F1159">
        <f>1-555-568-5982</f>
        <v>-7104</v>
      </c>
      <c r="G1159" t="s">
        <v>371</v>
      </c>
    </row>
    <row r="1160" spans="1:7">
      <c r="A1160" t="s">
        <v>2867</v>
      </c>
      <c r="B1160">
        <v>77</v>
      </c>
      <c r="C1160" t="s">
        <v>2868</v>
      </c>
      <c r="D1160">
        <v>186410</v>
      </c>
      <c r="E1160" t="s">
        <v>12</v>
      </c>
      <c r="F1160">
        <f>1-362-971-1573</f>
        <v>-2905</v>
      </c>
      <c r="G1160" s="1">
        <v>45205</v>
      </c>
    </row>
    <row r="1161" spans="1:7">
      <c r="A1161" t="s">
        <v>2869</v>
      </c>
      <c r="B1161">
        <v>24</v>
      </c>
      <c r="C1161" t="s">
        <v>2870</v>
      </c>
      <c r="D1161">
        <v>127459</v>
      </c>
      <c r="E1161" t="s">
        <v>27</v>
      </c>
      <c r="F1161" t="s">
        <v>2871</v>
      </c>
      <c r="G1161" s="1">
        <v>45273</v>
      </c>
    </row>
    <row r="1162" spans="1:7">
      <c r="A1162" t="s">
        <v>2872</v>
      </c>
      <c r="B1162">
        <v>57</v>
      </c>
      <c r="C1162" t="s">
        <v>115</v>
      </c>
      <c r="D1162">
        <v>92491</v>
      </c>
      <c r="E1162" t="s">
        <v>9</v>
      </c>
      <c r="F1162" t="s">
        <v>2873</v>
      </c>
      <c r="G1162" s="1">
        <v>45144</v>
      </c>
    </row>
    <row r="1163" spans="1:7">
      <c r="A1163" t="s">
        <v>2874</v>
      </c>
      <c r="B1163">
        <v>58</v>
      </c>
      <c r="C1163" t="s">
        <v>2875</v>
      </c>
      <c r="D1163">
        <v>150927</v>
      </c>
      <c r="E1163" t="s">
        <v>27</v>
      </c>
      <c r="F1163">
        <v>7603958937</v>
      </c>
      <c r="G1163" s="1">
        <v>45086</v>
      </c>
    </row>
    <row r="1164" spans="1:7">
      <c r="A1164" t="s">
        <v>2876</v>
      </c>
      <c r="B1164">
        <v>77</v>
      </c>
      <c r="D1164">
        <v>167815</v>
      </c>
      <c r="E1164" t="s">
        <v>27</v>
      </c>
      <c r="F1164">
        <f>1-444-868-2969</f>
        <v>-4280</v>
      </c>
      <c r="G1164" s="1">
        <v>44944</v>
      </c>
    </row>
    <row r="1165" spans="1:7">
      <c r="A1165" t="s">
        <v>2877</v>
      </c>
      <c r="B1165">
        <v>51</v>
      </c>
      <c r="E1165" t="s">
        <v>12</v>
      </c>
      <c r="F1165" t="s">
        <v>2878</v>
      </c>
      <c r="G1165" s="1">
        <v>45196</v>
      </c>
    </row>
    <row r="1166" spans="1:7">
      <c r="A1166" t="s">
        <v>2879</v>
      </c>
      <c r="B1166">
        <v>43</v>
      </c>
      <c r="C1166" t="s">
        <v>2880</v>
      </c>
      <c r="D1166">
        <v>0</v>
      </c>
      <c r="E1166" t="s">
        <v>9</v>
      </c>
      <c r="F1166" t="s">
        <v>2881</v>
      </c>
      <c r="G1166" s="1">
        <v>45107</v>
      </c>
    </row>
    <row r="1167" spans="1:7">
      <c r="A1167" t="s">
        <v>2882</v>
      </c>
      <c r="B1167">
        <v>130</v>
      </c>
      <c r="C1167" t="s">
        <v>2883</v>
      </c>
      <c r="D1167">
        <v>158692</v>
      </c>
      <c r="E1167" t="s">
        <v>36</v>
      </c>
      <c r="F1167">
        <v>8302586695</v>
      </c>
      <c r="G1167" s="1">
        <v>45067</v>
      </c>
    </row>
    <row r="1168" spans="1:7">
      <c r="A1168" t="s">
        <v>2884</v>
      </c>
      <c r="B1168">
        <v>72</v>
      </c>
      <c r="C1168" t="s">
        <v>2885</v>
      </c>
      <c r="D1168">
        <v>147797</v>
      </c>
      <c r="E1168" t="s">
        <v>12</v>
      </c>
      <c r="F1168">
        <f>1-626-257-7729</f>
        <v>-8611</v>
      </c>
      <c r="G1168" s="1">
        <v>44982</v>
      </c>
    </row>
    <row r="1169" spans="1:7">
      <c r="A1169" t="s">
        <v>2886</v>
      </c>
      <c r="B1169">
        <v>74</v>
      </c>
      <c r="C1169" t="s">
        <v>2887</v>
      </c>
      <c r="D1169">
        <v>58251</v>
      </c>
      <c r="E1169" t="s">
        <v>27</v>
      </c>
      <c r="F1169" t="s">
        <v>2888</v>
      </c>
      <c r="G1169" s="1">
        <v>45072</v>
      </c>
    </row>
    <row r="1170" spans="1:7">
      <c r="A1170" t="s">
        <v>2889</v>
      </c>
      <c r="B1170">
        <v>25</v>
      </c>
      <c r="C1170" t="s">
        <v>2890</v>
      </c>
      <c r="D1170">
        <v>54398</v>
      </c>
      <c r="E1170" t="s">
        <v>27</v>
      </c>
      <c r="F1170">
        <f>1-886-755-8396</f>
        <v>-10036</v>
      </c>
      <c r="G1170" s="1">
        <v>44985</v>
      </c>
    </row>
    <row r="1171" spans="1:7">
      <c r="A1171" t="s">
        <v>2891</v>
      </c>
      <c r="B1171">
        <v>49</v>
      </c>
      <c r="C1171" t="s">
        <v>2892</v>
      </c>
      <c r="D1171">
        <v>30066</v>
      </c>
      <c r="E1171" t="s">
        <v>36</v>
      </c>
      <c r="F1171" t="s">
        <v>2893</v>
      </c>
      <c r="G1171" s="1">
        <v>45051</v>
      </c>
    </row>
    <row r="1172" spans="1:7">
      <c r="A1172" t="s">
        <v>2894</v>
      </c>
      <c r="B1172">
        <v>69</v>
      </c>
      <c r="C1172" t="s">
        <v>2895</v>
      </c>
      <c r="D1172">
        <v>38417</v>
      </c>
      <c r="E1172" t="s">
        <v>36</v>
      </c>
      <c r="F1172" t="s">
        <v>2896</v>
      </c>
      <c r="G1172" s="1">
        <v>45270</v>
      </c>
    </row>
    <row r="1173" spans="1:7">
      <c r="A1173" t="s">
        <v>2897</v>
      </c>
      <c r="B1173">
        <v>58</v>
      </c>
      <c r="C1173" t="s">
        <v>2898</v>
      </c>
      <c r="D1173">
        <v>74912</v>
      </c>
      <c r="E1173" t="s">
        <v>36</v>
      </c>
      <c r="F1173" t="s">
        <v>2899</v>
      </c>
      <c r="G1173" s="1">
        <v>45147</v>
      </c>
    </row>
    <row r="1174" spans="1:7">
      <c r="A1174" t="s">
        <v>2900</v>
      </c>
      <c r="B1174">
        <v>62</v>
      </c>
      <c r="C1174" t="s">
        <v>2901</v>
      </c>
      <c r="D1174">
        <v>182169</v>
      </c>
      <c r="E1174" t="s">
        <v>12</v>
      </c>
      <c r="F1174" t="s">
        <v>2902</v>
      </c>
      <c r="G1174" s="1">
        <v>44942</v>
      </c>
    </row>
    <row r="1175" spans="1:7">
      <c r="A1175" t="s">
        <v>2903</v>
      </c>
      <c r="B1175">
        <v>63</v>
      </c>
      <c r="C1175" t="s">
        <v>2904</v>
      </c>
      <c r="D1175">
        <v>143218</v>
      </c>
      <c r="E1175" t="s">
        <v>9</v>
      </c>
      <c r="F1175">
        <v>6510051851</v>
      </c>
      <c r="G1175" s="1">
        <v>44934</v>
      </c>
    </row>
    <row r="1176" spans="1:7">
      <c r="A1176" t="s">
        <v>2905</v>
      </c>
      <c r="B1176">
        <v>58</v>
      </c>
      <c r="C1176" t="s">
        <v>2906</v>
      </c>
      <c r="D1176">
        <v>168426</v>
      </c>
      <c r="E1176" t="s">
        <v>27</v>
      </c>
      <c r="F1176" t="s">
        <v>2907</v>
      </c>
      <c r="G1176" s="1">
        <v>44991</v>
      </c>
    </row>
    <row r="1177" spans="1:7">
      <c r="A1177" t="s">
        <v>2908</v>
      </c>
      <c r="B1177">
        <v>59</v>
      </c>
      <c r="C1177" t="s">
        <v>2909</v>
      </c>
      <c r="D1177">
        <v>177776</v>
      </c>
      <c r="E1177" t="s">
        <v>12</v>
      </c>
      <c r="F1177" t="s">
        <v>2910</v>
      </c>
      <c r="G1177" s="1">
        <v>45259</v>
      </c>
    </row>
    <row r="1178" spans="1:7">
      <c r="A1178" t="s">
        <v>2911</v>
      </c>
      <c r="B1178">
        <v>42</v>
      </c>
      <c r="C1178" t="s">
        <v>2912</v>
      </c>
      <c r="D1178">
        <v>0</v>
      </c>
      <c r="E1178" t="s">
        <v>36</v>
      </c>
      <c r="F1178" t="s">
        <v>2913</v>
      </c>
      <c r="G1178" s="1">
        <v>45105</v>
      </c>
    </row>
    <row r="1179" spans="1:7">
      <c r="A1179" t="s">
        <v>2914</v>
      </c>
      <c r="B1179">
        <v>78</v>
      </c>
      <c r="C1179" t="s">
        <v>2915</v>
      </c>
      <c r="D1179">
        <v>198913</v>
      </c>
      <c r="E1179" t="s">
        <v>12</v>
      </c>
      <c r="F1179" t="s">
        <v>2916</v>
      </c>
      <c r="G1179" s="1">
        <v>45121</v>
      </c>
    </row>
    <row r="1180" spans="1:7">
      <c r="A1180" t="s">
        <v>2917</v>
      </c>
      <c r="B1180">
        <v>77</v>
      </c>
      <c r="C1180" t="s">
        <v>2918</v>
      </c>
      <c r="D1180">
        <v>184417</v>
      </c>
      <c r="E1180" t="s">
        <v>9</v>
      </c>
      <c r="F1180" t="s">
        <v>2919</v>
      </c>
      <c r="G1180" s="1">
        <v>45230</v>
      </c>
    </row>
    <row r="1181" spans="1:7">
      <c r="A1181" t="s">
        <v>2920</v>
      </c>
      <c r="B1181">
        <v>45</v>
      </c>
      <c r="C1181" t="s">
        <v>2921</v>
      </c>
      <c r="D1181">
        <v>110206</v>
      </c>
      <c r="E1181" t="s">
        <v>27</v>
      </c>
      <c r="F1181" t="s">
        <v>2922</v>
      </c>
      <c r="G1181" s="1">
        <v>45090</v>
      </c>
    </row>
    <row r="1182" spans="1:7">
      <c r="A1182" t="s">
        <v>2923</v>
      </c>
      <c r="B1182">
        <v>34</v>
      </c>
      <c r="C1182" t="s">
        <v>2924</v>
      </c>
      <c r="D1182">
        <v>164164</v>
      </c>
      <c r="E1182" t="s">
        <v>36</v>
      </c>
      <c r="F1182" t="s">
        <v>2925</v>
      </c>
      <c r="G1182" s="1">
        <v>45042</v>
      </c>
    </row>
    <row r="1183" spans="1:7">
      <c r="A1183" t="s">
        <v>2926</v>
      </c>
      <c r="B1183">
        <v>28</v>
      </c>
      <c r="C1183" t="s">
        <v>2927</v>
      </c>
      <c r="D1183">
        <v>50884</v>
      </c>
      <c r="E1183" t="s">
        <v>36</v>
      </c>
      <c r="F1183" t="s">
        <v>2928</v>
      </c>
      <c r="G1183" s="1">
        <v>45011</v>
      </c>
    </row>
    <row r="1184" spans="1:7">
      <c r="A1184" t="s">
        <v>2929</v>
      </c>
      <c r="B1184">
        <v>38</v>
      </c>
      <c r="C1184" t="s">
        <v>2930</v>
      </c>
      <c r="D1184">
        <v>56081</v>
      </c>
      <c r="E1184" t="s">
        <v>36</v>
      </c>
      <c r="G1184" s="1">
        <v>44949</v>
      </c>
    </row>
    <row r="1185" spans="1:7">
      <c r="A1185" t="s">
        <v>2931</v>
      </c>
      <c r="B1185">
        <v>79</v>
      </c>
      <c r="C1185" t="s">
        <v>518</v>
      </c>
      <c r="D1185">
        <v>98580</v>
      </c>
      <c r="E1185" t="s">
        <v>27</v>
      </c>
      <c r="F1185" t="s">
        <v>2932</v>
      </c>
      <c r="G1185" s="1">
        <v>45121</v>
      </c>
    </row>
    <row r="1186" spans="1:7">
      <c r="A1186" t="s">
        <v>2933</v>
      </c>
      <c r="B1186">
        <v>62</v>
      </c>
      <c r="C1186" t="s">
        <v>2934</v>
      </c>
      <c r="D1186">
        <v>72942</v>
      </c>
      <c r="E1186" t="s">
        <v>12</v>
      </c>
      <c r="F1186" t="s">
        <v>2935</v>
      </c>
      <c r="G1186" t="s">
        <v>180</v>
      </c>
    </row>
    <row r="1187" spans="1:7">
      <c r="A1187" t="s">
        <v>2936</v>
      </c>
      <c r="B1187">
        <v>69</v>
      </c>
      <c r="C1187" t="s">
        <v>2937</v>
      </c>
      <c r="D1187">
        <v>47482</v>
      </c>
      <c r="E1187" t="s">
        <v>36</v>
      </c>
      <c r="F1187" t="s">
        <v>2938</v>
      </c>
      <c r="G1187" s="1">
        <v>45061</v>
      </c>
    </row>
    <row r="1188" spans="1:7">
      <c r="B1188">
        <v>180</v>
      </c>
      <c r="C1188" t="s">
        <v>2939</v>
      </c>
      <c r="D1188">
        <v>179351</v>
      </c>
      <c r="E1188" t="s">
        <v>12</v>
      </c>
      <c r="F1188" t="s">
        <v>2940</v>
      </c>
      <c r="G1188" s="1">
        <v>45038</v>
      </c>
    </row>
    <row r="1189" spans="1:7">
      <c r="A1189" t="s">
        <v>2941</v>
      </c>
      <c r="B1189">
        <v>45</v>
      </c>
      <c r="C1189" t="s">
        <v>2942</v>
      </c>
      <c r="D1189">
        <v>112722</v>
      </c>
      <c r="E1189" t="s">
        <v>36</v>
      </c>
      <c r="F1189">
        <f>1-870-616-7308</f>
        <v>-8793</v>
      </c>
      <c r="G1189" s="1">
        <v>45024</v>
      </c>
    </row>
    <row r="1190" spans="1:7">
      <c r="A1190" t="s">
        <v>2943</v>
      </c>
      <c r="C1190" t="s">
        <v>2944</v>
      </c>
      <c r="D1190">
        <v>46555</v>
      </c>
      <c r="E1190" t="s">
        <v>12</v>
      </c>
      <c r="F1190" t="s">
        <v>2945</v>
      </c>
      <c r="G1190" s="1">
        <v>45120</v>
      </c>
    </row>
    <row r="1191" spans="1:7">
      <c r="A1191" t="s">
        <v>2946</v>
      </c>
      <c r="B1191">
        <v>50</v>
      </c>
      <c r="D1191">
        <v>127799</v>
      </c>
      <c r="E1191" t="s">
        <v>27</v>
      </c>
      <c r="F1191">
        <f>1-445-594-7572</f>
        <v>-8610</v>
      </c>
      <c r="G1191" s="1">
        <v>45139</v>
      </c>
    </row>
    <row r="1192" spans="1:7">
      <c r="A1192" t="s">
        <v>2947</v>
      </c>
      <c r="B1192">
        <v>33</v>
      </c>
      <c r="C1192" t="s">
        <v>2948</v>
      </c>
      <c r="D1192">
        <v>163114</v>
      </c>
      <c r="E1192" t="s">
        <v>36</v>
      </c>
      <c r="F1192">
        <f>1-686-927-7158</f>
        <v>-8770</v>
      </c>
      <c r="G1192" s="1">
        <v>45171</v>
      </c>
    </row>
    <row r="1193" spans="1:7">
      <c r="A1193" t="s">
        <v>2949</v>
      </c>
      <c r="B1193">
        <v>27</v>
      </c>
      <c r="C1193" t="s">
        <v>2950</v>
      </c>
      <c r="D1193">
        <v>173279</v>
      </c>
      <c r="E1193" t="s">
        <v>12</v>
      </c>
      <c r="F1193" t="s">
        <v>2951</v>
      </c>
      <c r="G1193" s="1">
        <v>45141</v>
      </c>
    </row>
    <row r="1194" spans="1:7">
      <c r="A1194" t="s">
        <v>2952</v>
      </c>
      <c r="B1194">
        <v>73</v>
      </c>
      <c r="C1194" t="s">
        <v>2953</v>
      </c>
      <c r="D1194">
        <v>197462</v>
      </c>
      <c r="E1194" t="s">
        <v>9</v>
      </c>
      <c r="F1194" t="s">
        <v>2954</v>
      </c>
      <c r="G1194" s="1">
        <v>45263</v>
      </c>
    </row>
    <row r="1195" spans="1:7">
      <c r="A1195" t="s">
        <v>2955</v>
      </c>
      <c r="B1195">
        <v>20</v>
      </c>
      <c r="C1195" t="s">
        <v>2956</v>
      </c>
      <c r="D1195">
        <v>165909</v>
      </c>
      <c r="E1195" t="s">
        <v>36</v>
      </c>
      <c r="G1195" s="1">
        <v>45199</v>
      </c>
    </row>
    <row r="1196" spans="1:7">
      <c r="A1196" t="s">
        <v>2957</v>
      </c>
      <c r="B1196">
        <v>35</v>
      </c>
      <c r="C1196" t="s">
        <v>2958</v>
      </c>
      <c r="E1196" t="s">
        <v>12</v>
      </c>
      <c r="F1196">
        <f>1-577-762-9514</f>
        <v>-10852</v>
      </c>
      <c r="G1196" s="1">
        <v>44931</v>
      </c>
    </row>
    <row r="1197" spans="1:7">
      <c r="A1197" t="s">
        <v>2600</v>
      </c>
      <c r="B1197">
        <v>45</v>
      </c>
      <c r="C1197" t="s">
        <v>2959</v>
      </c>
      <c r="D1197">
        <v>135426</v>
      </c>
      <c r="E1197" t="s">
        <v>36</v>
      </c>
      <c r="F1197">
        <f>1-523-344-4992</f>
        <v>-5858</v>
      </c>
      <c r="G1197" s="1">
        <v>45188</v>
      </c>
    </row>
    <row r="1198" spans="1:7">
      <c r="A1198" t="s">
        <v>2960</v>
      </c>
      <c r="B1198">
        <v>0</v>
      </c>
      <c r="C1198" t="s">
        <v>2961</v>
      </c>
      <c r="E1198" t="s">
        <v>36</v>
      </c>
      <c r="F1198" t="s">
        <v>2962</v>
      </c>
      <c r="G1198" s="1">
        <v>44934</v>
      </c>
    </row>
    <row r="1199" spans="1:7">
      <c r="A1199" t="s">
        <v>2963</v>
      </c>
      <c r="B1199">
        <v>130</v>
      </c>
      <c r="C1199" t="s">
        <v>389</v>
      </c>
      <c r="E1199" t="s">
        <v>36</v>
      </c>
      <c r="F1199" t="s">
        <v>2964</v>
      </c>
      <c r="G1199" s="1">
        <v>45179</v>
      </c>
    </row>
    <row r="1200" spans="1:7">
      <c r="A1200" t="s">
        <v>2965</v>
      </c>
      <c r="B1200">
        <v>59</v>
      </c>
      <c r="C1200" t="s">
        <v>2966</v>
      </c>
      <c r="D1200">
        <v>65010</v>
      </c>
      <c r="E1200" t="s">
        <v>27</v>
      </c>
      <c r="F1200" t="s">
        <v>2967</v>
      </c>
      <c r="G1200" s="1">
        <v>44990</v>
      </c>
    </row>
    <row r="1201" spans="1:7">
      <c r="A1201" t="s">
        <v>2968</v>
      </c>
      <c r="C1201" t="s">
        <v>2969</v>
      </c>
      <c r="D1201">
        <v>97600</v>
      </c>
      <c r="E1201" t="s">
        <v>9</v>
      </c>
      <c r="F1201" t="s">
        <v>2970</v>
      </c>
      <c r="G1201" s="1">
        <v>44978</v>
      </c>
    </row>
    <row r="1202" spans="1:7">
      <c r="A1202" t="s">
        <v>2971</v>
      </c>
      <c r="B1202">
        <v>33</v>
      </c>
      <c r="C1202" t="s">
        <v>2972</v>
      </c>
      <c r="D1202">
        <v>180737</v>
      </c>
      <c r="E1202" t="s">
        <v>27</v>
      </c>
      <c r="F1202" t="s">
        <v>2973</v>
      </c>
      <c r="G1202" s="1">
        <v>45277</v>
      </c>
    </row>
    <row r="1203" spans="1:7">
      <c r="A1203" t="s">
        <v>2974</v>
      </c>
      <c r="B1203">
        <v>48</v>
      </c>
      <c r="C1203" t="s">
        <v>2975</v>
      </c>
      <c r="D1203">
        <v>150721</v>
      </c>
      <c r="E1203" t="s">
        <v>12</v>
      </c>
      <c r="F1203" t="s">
        <v>2976</v>
      </c>
      <c r="G1203" s="1">
        <v>45244</v>
      </c>
    </row>
    <row r="1204" spans="1:7">
      <c r="A1204" t="s">
        <v>2977</v>
      </c>
      <c r="B1204">
        <v>68</v>
      </c>
      <c r="C1204" t="s">
        <v>2978</v>
      </c>
      <c r="D1204">
        <v>191358</v>
      </c>
      <c r="E1204" t="s">
        <v>27</v>
      </c>
      <c r="F1204" t="s">
        <v>2979</v>
      </c>
      <c r="G1204" s="1">
        <v>45205</v>
      </c>
    </row>
    <row r="1205" spans="1:7">
      <c r="A1205" t="s">
        <v>2980</v>
      </c>
      <c r="B1205">
        <v>58</v>
      </c>
      <c r="C1205" t="s">
        <v>2981</v>
      </c>
      <c r="D1205">
        <v>139381</v>
      </c>
      <c r="E1205" t="s">
        <v>9</v>
      </c>
      <c r="F1205" t="s">
        <v>2982</v>
      </c>
      <c r="G1205" s="1">
        <v>45202</v>
      </c>
    </row>
    <row r="1206" spans="1:7">
      <c r="A1206" t="s">
        <v>2983</v>
      </c>
      <c r="B1206">
        <v>39</v>
      </c>
      <c r="C1206" t="s">
        <v>2984</v>
      </c>
      <c r="D1206">
        <v>169143</v>
      </c>
      <c r="E1206" t="s">
        <v>36</v>
      </c>
      <c r="F1206">
        <v>3901494974</v>
      </c>
      <c r="G1206" s="1">
        <v>45059</v>
      </c>
    </row>
    <row r="1207" spans="1:7">
      <c r="A1207" t="s">
        <v>2985</v>
      </c>
      <c r="B1207">
        <v>37</v>
      </c>
      <c r="C1207" t="s">
        <v>2986</v>
      </c>
      <c r="D1207">
        <v>107853</v>
      </c>
      <c r="E1207" t="s">
        <v>18</v>
      </c>
      <c r="F1207" t="s">
        <v>2987</v>
      </c>
      <c r="G1207" s="1">
        <v>45135</v>
      </c>
    </row>
    <row r="1208" spans="1:7">
      <c r="A1208" t="s">
        <v>2988</v>
      </c>
      <c r="B1208">
        <v>57</v>
      </c>
      <c r="C1208" t="s">
        <v>2989</v>
      </c>
      <c r="D1208">
        <v>71520</v>
      </c>
      <c r="E1208" t="s">
        <v>36</v>
      </c>
      <c r="F1208">
        <v>3691907159</v>
      </c>
      <c r="G1208" t="s">
        <v>81</v>
      </c>
    </row>
    <row r="1209" spans="1:7">
      <c r="A1209" t="s">
        <v>2990</v>
      </c>
      <c r="B1209">
        <v>53</v>
      </c>
      <c r="C1209" t="s">
        <v>2991</v>
      </c>
      <c r="D1209">
        <v>128827</v>
      </c>
      <c r="E1209" t="s">
        <v>36</v>
      </c>
      <c r="F1209" t="s">
        <v>2992</v>
      </c>
      <c r="G1209" s="1">
        <v>45137</v>
      </c>
    </row>
    <row r="1210" spans="1:7">
      <c r="A1210" t="s">
        <v>2993</v>
      </c>
      <c r="B1210">
        <v>32</v>
      </c>
      <c r="C1210" t="s">
        <v>2994</v>
      </c>
      <c r="D1210">
        <v>0</v>
      </c>
      <c r="E1210" t="s">
        <v>27</v>
      </c>
      <c r="F1210">
        <v>4878929220</v>
      </c>
      <c r="G1210" s="1">
        <v>45212</v>
      </c>
    </row>
    <row r="1211" spans="1:7">
      <c r="A1211" t="s">
        <v>2995</v>
      </c>
      <c r="B1211">
        <v>999</v>
      </c>
      <c r="C1211" t="s">
        <v>2996</v>
      </c>
      <c r="D1211">
        <v>189693</v>
      </c>
      <c r="E1211" t="s">
        <v>27</v>
      </c>
      <c r="F1211" t="s">
        <v>2997</v>
      </c>
      <c r="G1211" s="1">
        <v>45152</v>
      </c>
    </row>
    <row r="1212" spans="1:7">
      <c r="A1212" t="s">
        <v>2998</v>
      </c>
      <c r="B1212">
        <v>18</v>
      </c>
      <c r="C1212" t="s">
        <v>2999</v>
      </c>
      <c r="D1212">
        <v>104102</v>
      </c>
      <c r="E1212" t="s">
        <v>358</v>
      </c>
      <c r="F1212" t="s">
        <v>3000</v>
      </c>
      <c r="G1212" s="1">
        <v>45196</v>
      </c>
    </row>
    <row r="1213" spans="1:7">
      <c r="A1213" t="s">
        <v>3001</v>
      </c>
      <c r="B1213">
        <v>39</v>
      </c>
      <c r="C1213" t="s">
        <v>3002</v>
      </c>
      <c r="D1213">
        <v>132828</v>
      </c>
      <c r="E1213" t="s">
        <v>27</v>
      </c>
      <c r="F1213" t="s">
        <v>3003</v>
      </c>
      <c r="G1213" s="1">
        <v>45015</v>
      </c>
    </row>
    <row r="1214" spans="1:7">
      <c r="A1214" t="s">
        <v>3004</v>
      </c>
      <c r="B1214">
        <v>73</v>
      </c>
      <c r="D1214">
        <v>99263</v>
      </c>
      <c r="E1214" t="s">
        <v>36</v>
      </c>
      <c r="F1214" t="s">
        <v>3005</v>
      </c>
      <c r="G1214" s="1">
        <v>44985</v>
      </c>
    </row>
    <row r="1215" spans="1:7">
      <c r="A1215" t="s">
        <v>3006</v>
      </c>
      <c r="B1215">
        <v>999</v>
      </c>
      <c r="C1215" t="s">
        <v>3007</v>
      </c>
      <c r="D1215">
        <v>161870</v>
      </c>
      <c r="E1215" t="s">
        <v>9</v>
      </c>
      <c r="F1215" t="s">
        <v>3008</v>
      </c>
      <c r="G1215" s="1">
        <v>45098</v>
      </c>
    </row>
    <row r="1216" spans="1:7">
      <c r="A1216" t="s">
        <v>3009</v>
      </c>
      <c r="B1216">
        <v>77</v>
      </c>
      <c r="C1216" t="s">
        <v>3010</v>
      </c>
      <c r="D1216">
        <v>32159</v>
      </c>
      <c r="E1216" t="s">
        <v>12</v>
      </c>
      <c r="F1216" t="s">
        <v>3011</v>
      </c>
      <c r="G1216" s="1">
        <v>45123</v>
      </c>
    </row>
    <row r="1217" spans="1:7">
      <c r="A1217" t="s">
        <v>3012</v>
      </c>
      <c r="C1217" t="s">
        <v>3013</v>
      </c>
      <c r="D1217">
        <v>113136</v>
      </c>
      <c r="E1217" t="s">
        <v>27</v>
      </c>
      <c r="F1217" t="s">
        <v>3014</v>
      </c>
      <c r="G1217" s="1">
        <v>45219</v>
      </c>
    </row>
    <row r="1218" spans="1:7">
      <c r="A1218" t="s">
        <v>3015</v>
      </c>
      <c r="B1218">
        <v>70</v>
      </c>
      <c r="C1218" t="s">
        <v>3016</v>
      </c>
      <c r="D1218">
        <v>127718</v>
      </c>
      <c r="E1218" t="s">
        <v>27</v>
      </c>
      <c r="F1218" t="s">
        <v>3017</v>
      </c>
      <c r="G1218" s="1">
        <v>45230</v>
      </c>
    </row>
    <row r="1219" spans="1:7">
      <c r="A1219" t="s">
        <v>3018</v>
      </c>
      <c r="B1219">
        <v>55</v>
      </c>
      <c r="C1219" t="s">
        <v>3019</v>
      </c>
      <c r="D1219">
        <v>192730</v>
      </c>
      <c r="E1219" t="s">
        <v>36</v>
      </c>
      <c r="F1219">
        <f>1-603-389-6468</f>
        <v>-7459</v>
      </c>
      <c r="G1219" s="1">
        <v>45118</v>
      </c>
    </row>
    <row r="1220" spans="1:7">
      <c r="A1220" t="s">
        <v>3020</v>
      </c>
      <c r="B1220">
        <v>52</v>
      </c>
      <c r="C1220" t="s">
        <v>3021</v>
      </c>
      <c r="D1220">
        <v>108270</v>
      </c>
      <c r="E1220" t="s">
        <v>36</v>
      </c>
      <c r="F1220" t="s">
        <v>3022</v>
      </c>
      <c r="G1220" s="1">
        <v>45183</v>
      </c>
    </row>
    <row r="1221" spans="1:7">
      <c r="A1221" t="s">
        <v>3023</v>
      </c>
      <c r="B1221">
        <v>19</v>
      </c>
      <c r="C1221" t="s">
        <v>3024</v>
      </c>
      <c r="D1221">
        <v>199898</v>
      </c>
      <c r="E1221" t="s">
        <v>36</v>
      </c>
      <c r="F1221" t="s">
        <v>3025</v>
      </c>
      <c r="G1221" s="1">
        <v>45042</v>
      </c>
    </row>
    <row r="1222" spans="1:7">
      <c r="A1222" t="s">
        <v>3026</v>
      </c>
      <c r="B1222">
        <v>64</v>
      </c>
      <c r="C1222" t="s">
        <v>3027</v>
      </c>
      <c r="D1222">
        <v>160864</v>
      </c>
      <c r="E1222" t="s">
        <v>873</v>
      </c>
      <c r="G1222" s="1">
        <v>44952</v>
      </c>
    </row>
    <row r="1223" spans="1:7">
      <c r="A1223" t="s">
        <v>3028</v>
      </c>
      <c r="B1223">
        <v>51</v>
      </c>
      <c r="C1223" t="s">
        <v>3029</v>
      </c>
      <c r="D1223">
        <v>33681</v>
      </c>
      <c r="E1223" t="s">
        <v>36</v>
      </c>
      <c r="G1223" s="1">
        <v>45035</v>
      </c>
    </row>
    <row r="1224" spans="1:7">
      <c r="A1224" t="s">
        <v>2876</v>
      </c>
      <c r="B1224">
        <v>57</v>
      </c>
      <c r="C1224" t="s">
        <v>3030</v>
      </c>
      <c r="D1224">
        <v>135386</v>
      </c>
      <c r="E1224" t="s">
        <v>12</v>
      </c>
      <c r="F1224" t="s">
        <v>3031</v>
      </c>
      <c r="G1224" s="1">
        <v>45009</v>
      </c>
    </row>
    <row r="1225" spans="1:7">
      <c r="A1225" t="s">
        <v>3032</v>
      </c>
      <c r="B1225">
        <v>200</v>
      </c>
      <c r="C1225" t="s">
        <v>3033</v>
      </c>
      <c r="D1225">
        <v>162992</v>
      </c>
      <c r="E1225" t="s">
        <v>27</v>
      </c>
      <c r="F1225">
        <v>4362655061</v>
      </c>
      <c r="G1225" s="1">
        <v>45177</v>
      </c>
    </row>
    <row r="1226" spans="1:7">
      <c r="A1226" t="s">
        <v>3034</v>
      </c>
      <c r="B1226">
        <v>34</v>
      </c>
      <c r="C1226" t="s">
        <v>3035</v>
      </c>
      <c r="D1226">
        <v>102782</v>
      </c>
      <c r="E1226" t="s">
        <v>27</v>
      </c>
      <c r="F1226">
        <v>7421801785</v>
      </c>
      <c r="G1226" s="1">
        <v>45109</v>
      </c>
    </row>
    <row r="1227" spans="1:7">
      <c r="A1227" t="s">
        <v>3036</v>
      </c>
      <c r="B1227">
        <v>21</v>
      </c>
      <c r="C1227" t="s">
        <v>3037</v>
      </c>
      <c r="D1227">
        <v>30203</v>
      </c>
      <c r="E1227" t="s">
        <v>294</v>
      </c>
      <c r="F1227">
        <f>1-701-821-1217</f>
        <v>-2738</v>
      </c>
      <c r="G1227" s="1">
        <v>45245</v>
      </c>
    </row>
    <row r="1228" spans="1:7">
      <c r="A1228" t="s">
        <v>3038</v>
      </c>
      <c r="B1228">
        <v>47</v>
      </c>
      <c r="C1228" t="s">
        <v>3039</v>
      </c>
      <c r="D1228">
        <v>91957</v>
      </c>
      <c r="E1228" t="s">
        <v>9</v>
      </c>
      <c r="F1228" t="s">
        <v>3040</v>
      </c>
      <c r="G1228" s="1">
        <v>45245</v>
      </c>
    </row>
    <row r="1229" spans="1:7">
      <c r="A1229" t="s">
        <v>3041</v>
      </c>
      <c r="B1229">
        <v>24</v>
      </c>
      <c r="C1229" t="s">
        <v>3042</v>
      </c>
      <c r="D1229">
        <v>148474</v>
      </c>
      <c r="E1229" t="s">
        <v>12</v>
      </c>
      <c r="F1229">
        <v>4929345815</v>
      </c>
      <c r="G1229" t="s">
        <v>483</v>
      </c>
    </row>
    <row r="1230" spans="1:7">
      <c r="A1230" t="s">
        <v>3043</v>
      </c>
      <c r="B1230">
        <v>38</v>
      </c>
      <c r="D1230">
        <v>165601</v>
      </c>
      <c r="E1230" t="s">
        <v>90</v>
      </c>
      <c r="F1230" t="s">
        <v>3044</v>
      </c>
      <c r="G1230" s="1">
        <v>45071</v>
      </c>
    </row>
    <row r="1231" spans="1:7">
      <c r="A1231" t="s">
        <v>3045</v>
      </c>
      <c r="B1231">
        <v>67</v>
      </c>
      <c r="C1231" t="s">
        <v>3046</v>
      </c>
      <c r="D1231">
        <v>96985</v>
      </c>
      <c r="E1231" t="s">
        <v>12</v>
      </c>
      <c r="F1231" t="s">
        <v>3047</v>
      </c>
      <c r="G1231" s="1">
        <v>45132</v>
      </c>
    </row>
    <row r="1232" spans="1:7">
      <c r="A1232" t="s">
        <v>3048</v>
      </c>
      <c r="B1232">
        <v>32</v>
      </c>
      <c r="C1232" t="s">
        <v>3049</v>
      </c>
      <c r="D1232">
        <v>76151</v>
      </c>
      <c r="E1232" t="s">
        <v>9</v>
      </c>
      <c r="F1232" t="s">
        <v>3050</v>
      </c>
      <c r="G1232" s="1">
        <v>45225</v>
      </c>
    </row>
    <row r="1233" spans="1:7">
      <c r="A1233" t="s">
        <v>3051</v>
      </c>
      <c r="C1233" t="s">
        <v>3052</v>
      </c>
      <c r="E1233" t="s">
        <v>9</v>
      </c>
      <c r="F1233" t="s">
        <v>3053</v>
      </c>
      <c r="G1233" s="1">
        <v>45171</v>
      </c>
    </row>
    <row r="1234" spans="1:7">
      <c r="A1234" t="s">
        <v>3054</v>
      </c>
      <c r="B1234">
        <v>21</v>
      </c>
      <c r="C1234" t="s">
        <v>3055</v>
      </c>
      <c r="D1234">
        <v>71938</v>
      </c>
      <c r="E1234" t="s">
        <v>12</v>
      </c>
      <c r="G1234" s="1">
        <v>45291</v>
      </c>
    </row>
    <row r="1235" spans="1:7">
      <c r="A1235" t="s">
        <v>3056</v>
      </c>
      <c r="B1235">
        <v>78</v>
      </c>
      <c r="C1235" t="s">
        <v>3057</v>
      </c>
      <c r="D1235">
        <v>102833</v>
      </c>
      <c r="E1235" t="s">
        <v>36</v>
      </c>
      <c r="F1235" t="s">
        <v>3058</v>
      </c>
      <c r="G1235" s="1">
        <v>45057</v>
      </c>
    </row>
    <row r="1236" spans="1:7">
      <c r="A1236" t="s">
        <v>3059</v>
      </c>
      <c r="B1236">
        <v>57</v>
      </c>
      <c r="C1236" t="s">
        <v>3060</v>
      </c>
      <c r="D1236">
        <v>164515</v>
      </c>
      <c r="E1236" t="s">
        <v>27</v>
      </c>
      <c r="F1236" t="s">
        <v>3061</v>
      </c>
      <c r="G1236" s="1">
        <v>44929</v>
      </c>
    </row>
    <row r="1237" spans="1:7">
      <c r="A1237" t="s">
        <v>3062</v>
      </c>
      <c r="B1237">
        <v>28</v>
      </c>
      <c r="C1237" t="s">
        <v>3063</v>
      </c>
      <c r="D1237">
        <v>131387</v>
      </c>
      <c r="E1237" t="s">
        <v>9</v>
      </c>
      <c r="F1237">
        <v>8984473676</v>
      </c>
      <c r="G1237" s="1">
        <v>45083</v>
      </c>
    </row>
    <row r="1238" spans="1:7">
      <c r="A1238" t="s">
        <v>3064</v>
      </c>
      <c r="B1238">
        <v>53</v>
      </c>
      <c r="C1238" t="s">
        <v>3065</v>
      </c>
      <c r="D1238">
        <v>188272</v>
      </c>
      <c r="E1238" t="s">
        <v>9</v>
      </c>
      <c r="F1238" t="s">
        <v>3066</v>
      </c>
      <c r="G1238" s="1">
        <v>45217</v>
      </c>
    </row>
    <row r="1239" spans="1:7">
      <c r="A1239" t="s">
        <v>3067</v>
      </c>
      <c r="B1239">
        <v>23</v>
      </c>
      <c r="C1239" t="s">
        <v>3068</v>
      </c>
      <c r="D1239">
        <v>0</v>
      </c>
      <c r="E1239" t="s">
        <v>27</v>
      </c>
      <c r="F1239" t="s">
        <v>3069</v>
      </c>
      <c r="G1239" s="1">
        <v>45241</v>
      </c>
    </row>
    <row r="1240" spans="1:7">
      <c r="A1240" t="s">
        <v>3070</v>
      </c>
      <c r="B1240">
        <v>43</v>
      </c>
      <c r="C1240" t="s">
        <v>3071</v>
      </c>
      <c r="D1240">
        <v>-10000</v>
      </c>
      <c r="E1240" t="s">
        <v>12</v>
      </c>
      <c r="F1240">
        <f>1-846-552-6549</f>
        <v>-7946</v>
      </c>
      <c r="G1240" t="s">
        <v>1627</v>
      </c>
    </row>
    <row r="1241" spans="1:7">
      <c r="A1241" t="s">
        <v>3072</v>
      </c>
      <c r="B1241">
        <v>34</v>
      </c>
      <c r="C1241" t="s">
        <v>3073</v>
      </c>
      <c r="D1241">
        <v>91692</v>
      </c>
      <c r="E1241" t="s">
        <v>12</v>
      </c>
      <c r="F1241">
        <v>5945236997</v>
      </c>
      <c r="G1241" s="1">
        <v>45194</v>
      </c>
    </row>
    <row r="1242" spans="1:7">
      <c r="A1242" t="s">
        <v>3074</v>
      </c>
      <c r="B1242">
        <v>29</v>
      </c>
      <c r="C1242" t="s">
        <v>3075</v>
      </c>
      <c r="D1242">
        <v>156519</v>
      </c>
      <c r="E1242" t="s">
        <v>9</v>
      </c>
      <c r="F1242" t="s">
        <v>3076</v>
      </c>
      <c r="G1242" s="1">
        <v>44932</v>
      </c>
    </row>
    <row r="1243" spans="1:7">
      <c r="A1243" t="s">
        <v>3077</v>
      </c>
      <c r="B1243">
        <v>72</v>
      </c>
      <c r="C1243" t="s">
        <v>3078</v>
      </c>
      <c r="D1243">
        <v>141362</v>
      </c>
      <c r="E1243" t="s">
        <v>294</v>
      </c>
      <c r="F1243">
        <f>1-955-993-4971</f>
        <v>-6918</v>
      </c>
      <c r="G1243" s="1">
        <v>45052</v>
      </c>
    </row>
    <row r="1244" spans="1:7">
      <c r="A1244" t="s">
        <v>3079</v>
      </c>
      <c r="B1244">
        <v>43</v>
      </c>
      <c r="C1244" t="s">
        <v>3080</v>
      </c>
      <c r="D1244">
        <v>61169</v>
      </c>
      <c r="E1244" t="s">
        <v>27</v>
      </c>
      <c r="F1244">
        <f>1-558-898-4179</f>
        <v>-5634</v>
      </c>
      <c r="G1244" s="1">
        <v>45291</v>
      </c>
    </row>
    <row r="1245" spans="1:7">
      <c r="A1245" t="s">
        <v>2766</v>
      </c>
      <c r="B1245">
        <v>24</v>
      </c>
      <c r="C1245" t="s">
        <v>3081</v>
      </c>
      <c r="D1245">
        <v>195750</v>
      </c>
      <c r="E1245" t="s">
        <v>36</v>
      </c>
      <c r="F1245">
        <v>4271332825</v>
      </c>
      <c r="G1245" s="1">
        <v>45160</v>
      </c>
    </row>
    <row r="1246" spans="1:7">
      <c r="A1246" t="s">
        <v>1580</v>
      </c>
      <c r="B1246">
        <v>41</v>
      </c>
      <c r="C1246" t="s">
        <v>3082</v>
      </c>
      <c r="D1246">
        <v>63340</v>
      </c>
      <c r="E1246" t="s">
        <v>36</v>
      </c>
      <c r="F1246">
        <f>1-340-589-8949</f>
        <v>-9877</v>
      </c>
      <c r="G1246" s="1">
        <v>45073</v>
      </c>
    </row>
    <row r="1247" spans="1:7">
      <c r="A1247" t="s">
        <v>3083</v>
      </c>
      <c r="B1247">
        <v>50</v>
      </c>
      <c r="C1247" t="s">
        <v>299</v>
      </c>
      <c r="D1247">
        <v>184237</v>
      </c>
      <c r="E1247" t="s">
        <v>9</v>
      </c>
      <c r="F1247" t="s">
        <v>3084</v>
      </c>
      <c r="G1247" s="1">
        <v>44977</v>
      </c>
    </row>
    <row r="1248" spans="1:7">
      <c r="A1248" t="s">
        <v>3085</v>
      </c>
      <c r="B1248">
        <v>77</v>
      </c>
      <c r="C1248" t="s">
        <v>3086</v>
      </c>
      <c r="D1248">
        <v>101260</v>
      </c>
      <c r="E1248" t="s">
        <v>27</v>
      </c>
      <c r="G1248" s="1">
        <v>45110</v>
      </c>
    </row>
    <row r="1249" spans="1:7">
      <c r="A1249" t="s">
        <v>3087</v>
      </c>
      <c r="B1249">
        <v>76</v>
      </c>
      <c r="C1249" t="s">
        <v>3088</v>
      </c>
      <c r="D1249">
        <v>44175</v>
      </c>
      <c r="E1249" t="s">
        <v>9</v>
      </c>
      <c r="F1249" t="s">
        <v>3089</v>
      </c>
      <c r="G1249" s="1">
        <v>45082</v>
      </c>
    </row>
    <row r="1250" spans="1:7">
      <c r="A1250" t="s">
        <v>3090</v>
      </c>
      <c r="B1250">
        <v>49</v>
      </c>
      <c r="C1250" t="s">
        <v>115</v>
      </c>
      <c r="D1250">
        <v>64924</v>
      </c>
      <c r="E1250" t="s">
        <v>36</v>
      </c>
      <c r="G1250" s="1">
        <v>44986</v>
      </c>
    </row>
    <row r="1251" spans="1:7">
      <c r="A1251" t="s">
        <v>3091</v>
      </c>
      <c r="B1251">
        <v>20</v>
      </c>
      <c r="D1251">
        <v>-50000</v>
      </c>
      <c r="E1251" t="s">
        <v>36</v>
      </c>
      <c r="F1251">
        <v>3119490078</v>
      </c>
      <c r="G1251" s="1">
        <v>45006</v>
      </c>
    </row>
    <row r="1252" spans="1:7">
      <c r="A1252" t="s">
        <v>3092</v>
      </c>
      <c r="B1252">
        <v>39</v>
      </c>
      <c r="C1252" t="s">
        <v>3093</v>
      </c>
      <c r="D1252">
        <v>174825</v>
      </c>
      <c r="E1252" t="s">
        <v>12</v>
      </c>
      <c r="F1252" t="s">
        <v>3094</v>
      </c>
      <c r="G1252" s="1">
        <v>44970</v>
      </c>
    </row>
    <row r="1253" spans="1:7">
      <c r="A1253" t="s">
        <v>3095</v>
      </c>
      <c r="B1253">
        <v>38</v>
      </c>
      <c r="C1253" t="s">
        <v>3096</v>
      </c>
      <c r="D1253">
        <v>48375</v>
      </c>
      <c r="E1253" t="s">
        <v>27</v>
      </c>
      <c r="F1253" t="s">
        <v>3097</v>
      </c>
      <c r="G1253" s="1">
        <v>45243</v>
      </c>
    </row>
    <row r="1254" spans="1:7">
      <c r="A1254" t="s">
        <v>3098</v>
      </c>
      <c r="B1254">
        <v>60</v>
      </c>
      <c r="C1254" t="s">
        <v>169</v>
      </c>
      <c r="D1254">
        <v>111110</v>
      </c>
      <c r="E1254" t="s">
        <v>36</v>
      </c>
      <c r="F1254" t="s">
        <v>3099</v>
      </c>
      <c r="G1254" s="1">
        <v>45289</v>
      </c>
    </row>
    <row r="1255" spans="1:7">
      <c r="A1255" t="s">
        <v>3100</v>
      </c>
      <c r="B1255">
        <v>77</v>
      </c>
      <c r="C1255" t="s">
        <v>3101</v>
      </c>
      <c r="D1255">
        <v>191953</v>
      </c>
      <c r="E1255" t="s">
        <v>36</v>
      </c>
      <c r="F1255" t="s">
        <v>3102</v>
      </c>
      <c r="G1255" s="1">
        <v>44984</v>
      </c>
    </row>
    <row r="1256" spans="1:7">
      <c r="A1256" t="s">
        <v>3103</v>
      </c>
      <c r="B1256">
        <v>56</v>
      </c>
      <c r="C1256" t="s">
        <v>3104</v>
      </c>
      <c r="D1256">
        <v>164457</v>
      </c>
      <c r="E1256" t="s">
        <v>36</v>
      </c>
      <c r="F1256" t="s">
        <v>3105</v>
      </c>
      <c r="G1256" s="1">
        <v>45032</v>
      </c>
    </row>
    <row r="1257" spans="1:7">
      <c r="B1257">
        <v>66</v>
      </c>
      <c r="C1257" t="s">
        <v>3106</v>
      </c>
      <c r="D1257">
        <v>127170</v>
      </c>
      <c r="E1257" t="s">
        <v>36</v>
      </c>
      <c r="G1257" s="1">
        <v>44951</v>
      </c>
    </row>
    <row r="1258" spans="1:7">
      <c r="A1258" t="s">
        <v>3107</v>
      </c>
      <c r="B1258">
        <v>-25</v>
      </c>
      <c r="C1258" t="s">
        <v>3108</v>
      </c>
      <c r="D1258">
        <v>113123</v>
      </c>
      <c r="E1258" t="s">
        <v>9</v>
      </c>
      <c r="F1258">
        <v>6263567754</v>
      </c>
      <c r="G1258" s="1">
        <v>44982</v>
      </c>
    </row>
    <row r="1259" spans="1:7">
      <c r="A1259" t="s">
        <v>3109</v>
      </c>
      <c r="B1259">
        <v>41</v>
      </c>
      <c r="C1259" t="s">
        <v>3110</v>
      </c>
      <c r="E1259" t="s">
        <v>27</v>
      </c>
      <c r="F1259">
        <v>9742656117</v>
      </c>
      <c r="G1259" t="s">
        <v>422</v>
      </c>
    </row>
    <row r="1260" spans="1:7">
      <c r="A1260" t="s">
        <v>3111</v>
      </c>
      <c r="B1260">
        <v>50</v>
      </c>
      <c r="C1260" t="s">
        <v>3112</v>
      </c>
      <c r="D1260">
        <v>137792</v>
      </c>
      <c r="E1260" t="s">
        <v>12</v>
      </c>
      <c r="F1260" t="s">
        <v>3113</v>
      </c>
      <c r="G1260" s="1">
        <v>45209</v>
      </c>
    </row>
    <row r="1261" spans="1:7">
      <c r="A1261" t="s">
        <v>3114</v>
      </c>
      <c r="B1261">
        <v>41</v>
      </c>
      <c r="C1261" t="s">
        <v>3115</v>
      </c>
      <c r="D1261">
        <v>32382</v>
      </c>
      <c r="E1261" t="s">
        <v>9</v>
      </c>
      <c r="F1261" t="s">
        <v>3116</v>
      </c>
      <c r="G1261" s="1">
        <v>44990</v>
      </c>
    </row>
    <row r="1262" spans="1:7">
      <c r="A1262" t="s">
        <v>3117</v>
      </c>
      <c r="B1262">
        <v>-5</v>
      </c>
      <c r="C1262" t="s">
        <v>3118</v>
      </c>
      <c r="D1262">
        <v>73527</v>
      </c>
      <c r="E1262" t="s">
        <v>36</v>
      </c>
      <c r="F1262" t="s">
        <v>3119</v>
      </c>
      <c r="G1262" s="1">
        <v>44996</v>
      </c>
    </row>
    <row r="1263" spans="1:7">
      <c r="A1263" t="s">
        <v>1547</v>
      </c>
      <c r="B1263">
        <v>29</v>
      </c>
      <c r="C1263" t="s">
        <v>3120</v>
      </c>
      <c r="D1263">
        <v>141001</v>
      </c>
      <c r="E1263" t="s">
        <v>36</v>
      </c>
      <c r="F1263">
        <v>1181563479</v>
      </c>
      <c r="G1263" t="s">
        <v>422</v>
      </c>
    </row>
    <row r="1264" spans="1:7">
      <c r="A1264" t="s">
        <v>3121</v>
      </c>
      <c r="B1264">
        <v>65</v>
      </c>
      <c r="C1264" t="s">
        <v>3122</v>
      </c>
      <c r="D1264">
        <v>73361</v>
      </c>
      <c r="E1264" t="s">
        <v>27</v>
      </c>
      <c r="F1264" t="s">
        <v>3123</v>
      </c>
      <c r="G1264" s="1">
        <v>45012</v>
      </c>
    </row>
    <row r="1265" spans="1:7">
      <c r="A1265" t="s">
        <v>3124</v>
      </c>
      <c r="D1265">
        <v>50991</v>
      </c>
      <c r="E1265" t="s">
        <v>36</v>
      </c>
      <c r="G1265" s="1">
        <v>45158</v>
      </c>
    </row>
    <row r="1266" spans="1:7">
      <c r="A1266" t="s">
        <v>3125</v>
      </c>
      <c r="B1266">
        <v>38</v>
      </c>
      <c r="C1266" t="s">
        <v>3126</v>
      </c>
      <c r="E1266" t="s">
        <v>12</v>
      </c>
      <c r="F1266">
        <f>1-925-133-5749</f>
        <v>-6806</v>
      </c>
      <c r="G1266" s="1">
        <v>45277</v>
      </c>
    </row>
    <row r="1267" spans="1:7">
      <c r="A1267" t="s">
        <v>3127</v>
      </c>
      <c r="B1267">
        <v>35</v>
      </c>
      <c r="C1267" t="s">
        <v>169</v>
      </c>
      <c r="D1267">
        <v>81482</v>
      </c>
      <c r="E1267" t="s">
        <v>27</v>
      </c>
      <c r="F1267" t="s">
        <v>3128</v>
      </c>
      <c r="G1267" s="1">
        <v>44986</v>
      </c>
    </row>
    <row r="1268" spans="1:7">
      <c r="A1268" t="s">
        <v>3129</v>
      </c>
      <c r="B1268">
        <v>39</v>
      </c>
      <c r="C1268" t="s">
        <v>3130</v>
      </c>
      <c r="D1268">
        <v>60348</v>
      </c>
      <c r="E1268" t="s">
        <v>36</v>
      </c>
      <c r="F1268" t="s">
        <v>3131</v>
      </c>
      <c r="G1268" s="1">
        <v>44988</v>
      </c>
    </row>
    <row r="1269" spans="1:7">
      <c r="A1269" t="s">
        <v>3132</v>
      </c>
      <c r="B1269">
        <v>38</v>
      </c>
      <c r="C1269" t="s">
        <v>169</v>
      </c>
      <c r="D1269">
        <v>40358</v>
      </c>
      <c r="E1269" t="s">
        <v>36</v>
      </c>
      <c r="F1269">
        <f>1-981-714-7335</f>
        <v>-9029</v>
      </c>
      <c r="G1269" s="1">
        <v>45024</v>
      </c>
    </row>
    <row r="1270" spans="1:7">
      <c r="A1270" t="s">
        <v>3133</v>
      </c>
      <c r="B1270">
        <v>57</v>
      </c>
      <c r="C1270" t="s">
        <v>3134</v>
      </c>
      <c r="D1270">
        <v>95679</v>
      </c>
      <c r="E1270" t="s">
        <v>12</v>
      </c>
      <c r="G1270" s="1">
        <v>45288</v>
      </c>
    </row>
    <row r="1271" spans="1:7">
      <c r="A1271" t="s">
        <v>3135</v>
      </c>
      <c r="B1271">
        <v>60</v>
      </c>
      <c r="C1271" t="s">
        <v>3136</v>
      </c>
      <c r="D1271">
        <v>65031</v>
      </c>
      <c r="E1271" t="s">
        <v>9</v>
      </c>
      <c r="F1271" t="s">
        <v>3137</v>
      </c>
      <c r="G1271" s="1">
        <v>45243</v>
      </c>
    </row>
    <row r="1272" spans="1:7">
      <c r="A1272" t="s">
        <v>3138</v>
      </c>
      <c r="B1272">
        <v>61</v>
      </c>
      <c r="C1272" t="s">
        <v>3139</v>
      </c>
      <c r="D1272">
        <v>45916</v>
      </c>
      <c r="E1272" t="s">
        <v>527</v>
      </c>
      <c r="F1272" t="s">
        <v>3140</v>
      </c>
      <c r="G1272" s="1">
        <v>45280</v>
      </c>
    </row>
    <row r="1273" spans="1:7">
      <c r="A1273" t="s">
        <v>3141</v>
      </c>
      <c r="B1273">
        <v>67</v>
      </c>
      <c r="C1273" t="s">
        <v>170</v>
      </c>
      <c r="D1273">
        <v>110771</v>
      </c>
      <c r="E1273" t="s">
        <v>358</v>
      </c>
      <c r="F1273">
        <f>1-884-995-6131</f>
        <v>-8009</v>
      </c>
      <c r="G1273" s="1">
        <v>45188</v>
      </c>
    </row>
    <row r="1274" spans="1:7">
      <c r="A1274" t="s">
        <v>3142</v>
      </c>
      <c r="B1274">
        <v>28</v>
      </c>
      <c r="D1274">
        <v>172182</v>
      </c>
      <c r="E1274" t="s">
        <v>12</v>
      </c>
      <c r="F1274">
        <f>1-740-701-5747</f>
        <v>-7187</v>
      </c>
      <c r="G1274" s="1">
        <v>44973</v>
      </c>
    </row>
    <row r="1275" spans="1:7">
      <c r="A1275" t="s">
        <v>3143</v>
      </c>
      <c r="B1275">
        <v>48</v>
      </c>
      <c r="C1275" t="s">
        <v>3144</v>
      </c>
      <c r="D1275">
        <v>72291</v>
      </c>
      <c r="E1275" t="s">
        <v>9</v>
      </c>
      <c r="F1275">
        <f>1-627-564-9971</f>
        <v>-11161</v>
      </c>
      <c r="G1275" s="1">
        <v>45290</v>
      </c>
    </row>
    <row r="1276" spans="1:7">
      <c r="A1276" t="s">
        <v>3145</v>
      </c>
      <c r="B1276">
        <v>23</v>
      </c>
      <c r="C1276" t="s">
        <v>3146</v>
      </c>
      <c r="D1276">
        <v>66320</v>
      </c>
      <c r="E1276" t="s">
        <v>27</v>
      </c>
      <c r="F1276" t="s">
        <v>3147</v>
      </c>
      <c r="G1276" s="1">
        <v>44928</v>
      </c>
    </row>
    <row r="1277" spans="1:7">
      <c r="A1277" t="s">
        <v>3148</v>
      </c>
      <c r="B1277">
        <v>61</v>
      </c>
      <c r="D1277">
        <v>169379</v>
      </c>
      <c r="E1277" t="s">
        <v>12</v>
      </c>
      <c r="F1277" t="s">
        <v>3149</v>
      </c>
      <c r="G1277" s="1">
        <v>45226</v>
      </c>
    </row>
    <row r="1278" spans="1:7">
      <c r="A1278" t="s">
        <v>3150</v>
      </c>
      <c r="B1278">
        <v>30</v>
      </c>
      <c r="C1278" t="s">
        <v>3151</v>
      </c>
      <c r="D1278">
        <v>139598</v>
      </c>
      <c r="E1278" t="s">
        <v>36</v>
      </c>
      <c r="F1278" t="s">
        <v>3152</v>
      </c>
      <c r="G1278" s="1">
        <v>44983</v>
      </c>
    </row>
    <row r="1279" spans="1:7">
      <c r="A1279" t="s">
        <v>3153</v>
      </c>
      <c r="B1279">
        <v>23</v>
      </c>
      <c r="C1279" t="s">
        <v>3154</v>
      </c>
      <c r="D1279">
        <v>116005</v>
      </c>
      <c r="E1279" t="s">
        <v>9</v>
      </c>
      <c r="F1279" t="s">
        <v>3155</v>
      </c>
      <c r="G1279" s="1">
        <v>44958</v>
      </c>
    </row>
    <row r="1280" spans="1:7">
      <c r="A1280" t="s">
        <v>3156</v>
      </c>
      <c r="B1280">
        <v>150</v>
      </c>
      <c r="C1280" t="s">
        <v>3157</v>
      </c>
      <c r="D1280">
        <v>129485</v>
      </c>
      <c r="E1280" t="s">
        <v>12</v>
      </c>
      <c r="F1280" t="s">
        <v>3158</v>
      </c>
      <c r="G1280" s="1">
        <v>44975</v>
      </c>
    </row>
    <row r="1281" spans="1:7">
      <c r="A1281" t="s">
        <v>3159</v>
      </c>
      <c r="B1281">
        <v>49</v>
      </c>
      <c r="C1281" t="s">
        <v>3160</v>
      </c>
      <c r="D1281">
        <v>48019</v>
      </c>
      <c r="E1281" t="s">
        <v>12</v>
      </c>
      <c r="F1281" t="s">
        <v>3161</v>
      </c>
      <c r="G1281" s="1">
        <v>45025</v>
      </c>
    </row>
    <row r="1282" spans="1:7">
      <c r="A1282" t="s">
        <v>3162</v>
      </c>
      <c r="B1282">
        <v>43</v>
      </c>
      <c r="D1282">
        <v>159887</v>
      </c>
      <c r="E1282" t="s">
        <v>9</v>
      </c>
      <c r="F1282" t="s">
        <v>3163</v>
      </c>
      <c r="G1282" s="1">
        <v>45017</v>
      </c>
    </row>
    <row r="1283" spans="1:7">
      <c r="A1283" t="s">
        <v>3164</v>
      </c>
      <c r="B1283">
        <v>29</v>
      </c>
      <c r="C1283" t="s">
        <v>3165</v>
      </c>
      <c r="E1283" t="s">
        <v>9</v>
      </c>
      <c r="F1283" t="s">
        <v>3166</v>
      </c>
      <c r="G1283" s="1">
        <v>45183</v>
      </c>
    </row>
    <row r="1284" spans="1:7">
      <c r="A1284" t="s">
        <v>3167</v>
      </c>
      <c r="B1284">
        <v>64</v>
      </c>
      <c r="C1284" t="s">
        <v>3168</v>
      </c>
      <c r="D1284">
        <v>111199</v>
      </c>
      <c r="E1284" t="s">
        <v>36</v>
      </c>
      <c r="F1284">
        <v>2202584661</v>
      </c>
      <c r="G1284" s="1">
        <v>45135</v>
      </c>
    </row>
    <row r="1285" spans="1:7">
      <c r="A1285" t="s">
        <v>3169</v>
      </c>
      <c r="B1285">
        <v>0</v>
      </c>
      <c r="C1285" t="s">
        <v>3170</v>
      </c>
      <c r="D1285">
        <v>78803</v>
      </c>
      <c r="E1285" t="s">
        <v>12</v>
      </c>
      <c r="F1285">
        <v>2950212154</v>
      </c>
      <c r="G1285" s="1">
        <v>45191</v>
      </c>
    </row>
    <row r="1286" spans="1:7">
      <c r="A1286" t="s">
        <v>3171</v>
      </c>
      <c r="B1286">
        <v>62</v>
      </c>
      <c r="C1286" t="s">
        <v>3172</v>
      </c>
      <c r="D1286">
        <v>62101</v>
      </c>
      <c r="E1286" t="s">
        <v>27</v>
      </c>
      <c r="F1286" t="s">
        <v>3173</v>
      </c>
      <c r="G1286" s="1">
        <v>45086</v>
      </c>
    </row>
    <row r="1287" spans="1:7">
      <c r="A1287" t="s">
        <v>3056</v>
      </c>
      <c r="B1287">
        <v>34</v>
      </c>
      <c r="C1287" t="s">
        <v>3174</v>
      </c>
      <c r="D1287">
        <v>169282</v>
      </c>
      <c r="E1287" t="s">
        <v>9</v>
      </c>
      <c r="F1287">
        <v>1713506306</v>
      </c>
      <c r="G1287" s="1">
        <v>45079</v>
      </c>
    </row>
    <row r="1288" spans="1:7">
      <c r="A1288" t="s">
        <v>3175</v>
      </c>
      <c r="B1288">
        <v>33</v>
      </c>
      <c r="C1288" t="s">
        <v>3176</v>
      </c>
      <c r="D1288">
        <v>-1000</v>
      </c>
      <c r="E1288" t="s">
        <v>9</v>
      </c>
      <c r="F1288">
        <v>9555450885</v>
      </c>
      <c r="G1288" s="1">
        <v>45180</v>
      </c>
    </row>
    <row r="1289" spans="1:7">
      <c r="A1289" t="s">
        <v>3177</v>
      </c>
      <c r="B1289">
        <v>75</v>
      </c>
      <c r="D1289">
        <v>46619</v>
      </c>
      <c r="E1289" t="s">
        <v>36</v>
      </c>
      <c r="F1289" t="s">
        <v>3178</v>
      </c>
      <c r="G1289" s="1">
        <v>45002</v>
      </c>
    </row>
    <row r="1290" spans="1:7">
      <c r="A1290" t="s">
        <v>3179</v>
      </c>
      <c r="B1290">
        <v>43</v>
      </c>
      <c r="C1290" t="s">
        <v>3180</v>
      </c>
      <c r="D1290">
        <v>130485</v>
      </c>
      <c r="E1290" t="s">
        <v>9</v>
      </c>
      <c r="G1290" s="1">
        <v>45013</v>
      </c>
    </row>
    <row r="1291" spans="1:7">
      <c r="A1291" t="s">
        <v>3181</v>
      </c>
      <c r="B1291">
        <v>71</v>
      </c>
      <c r="D1291">
        <v>179725</v>
      </c>
      <c r="E1291" t="s">
        <v>90</v>
      </c>
      <c r="F1291" t="s">
        <v>3182</v>
      </c>
      <c r="G1291" s="1">
        <v>45242</v>
      </c>
    </row>
    <row r="1292" spans="1:7">
      <c r="A1292" t="s">
        <v>3183</v>
      </c>
      <c r="B1292">
        <v>39</v>
      </c>
      <c r="C1292" t="s">
        <v>17</v>
      </c>
      <c r="D1292">
        <v>55711</v>
      </c>
      <c r="E1292" t="s">
        <v>12</v>
      </c>
      <c r="F1292" t="s">
        <v>3184</v>
      </c>
      <c r="G1292" s="1">
        <v>44961</v>
      </c>
    </row>
    <row r="1293" spans="1:7">
      <c r="A1293" t="s">
        <v>3185</v>
      </c>
      <c r="B1293">
        <v>74</v>
      </c>
      <c r="C1293" t="s">
        <v>3186</v>
      </c>
      <c r="D1293">
        <v>99639</v>
      </c>
      <c r="E1293" t="s">
        <v>36</v>
      </c>
      <c r="F1293" t="s">
        <v>3187</v>
      </c>
      <c r="G1293" s="1">
        <v>45112</v>
      </c>
    </row>
    <row r="1294" spans="1:7">
      <c r="A1294" t="s">
        <v>3188</v>
      </c>
      <c r="B1294">
        <v>78</v>
      </c>
      <c r="C1294" t="s">
        <v>3189</v>
      </c>
      <c r="D1294">
        <v>153637</v>
      </c>
      <c r="E1294" t="s">
        <v>12</v>
      </c>
      <c r="F1294" t="s">
        <v>3190</v>
      </c>
      <c r="G1294" s="1">
        <v>45081</v>
      </c>
    </row>
    <row r="1295" spans="1:7">
      <c r="A1295" t="s">
        <v>3191</v>
      </c>
      <c r="B1295">
        <v>500</v>
      </c>
      <c r="C1295" t="s">
        <v>3192</v>
      </c>
      <c r="D1295">
        <v>74462</v>
      </c>
      <c r="E1295" t="s">
        <v>36</v>
      </c>
      <c r="F1295" t="s">
        <v>3193</v>
      </c>
      <c r="G1295" s="1">
        <v>45233</v>
      </c>
    </row>
    <row r="1296" spans="1:7">
      <c r="A1296" t="s">
        <v>3194</v>
      </c>
      <c r="B1296">
        <v>49</v>
      </c>
      <c r="C1296" t="s">
        <v>3195</v>
      </c>
      <c r="D1296">
        <v>105839</v>
      </c>
      <c r="E1296" t="s">
        <v>9</v>
      </c>
      <c r="F1296" t="s">
        <v>3196</v>
      </c>
      <c r="G1296" s="1">
        <v>44976</v>
      </c>
    </row>
    <row r="1297" spans="1:7">
      <c r="A1297" t="s">
        <v>3197</v>
      </c>
      <c r="B1297">
        <v>64</v>
      </c>
      <c r="C1297" t="s">
        <v>3198</v>
      </c>
      <c r="D1297">
        <v>103366</v>
      </c>
      <c r="E1297" t="s">
        <v>12</v>
      </c>
      <c r="F1297">
        <v>8514580698</v>
      </c>
      <c r="G1297" s="1">
        <v>45242</v>
      </c>
    </row>
    <row r="1298" spans="1:7">
      <c r="A1298" t="s">
        <v>3199</v>
      </c>
      <c r="B1298">
        <v>38</v>
      </c>
      <c r="C1298" t="s">
        <v>389</v>
      </c>
      <c r="D1298">
        <v>93230</v>
      </c>
      <c r="E1298" t="s">
        <v>9</v>
      </c>
      <c r="F1298">
        <f>1-530-231-8815</f>
        <v>-9575</v>
      </c>
      <c r="G1298" s="1">
        <v>45202</v>
      </c>
    </row>
    <row r="1299" spans="1:7">
      <c r="A1299" t="s">
        <v>3200</v>
      </c>
      <c r="B1299">
        <v>56</v>
      </c>
      <c r="C1299" t="s">
        <v>170</v>
      </c>
      <c r="D1299">
        <v>111099</v>
      </c>
      <c r="E1299" t="s">
        <v>36</v>
      </c>
      <c r="F1299" t="s">
        <v>3201</v>
      </c>
      <c r="G1299" s="1">
        <v>45234</v>
      </c>
    </row>
    <row r="1300" spans="1:7">
      <c r="A1300" t="s">
        <v>3202</v>
      </c>
      <c r="B1300">
        <v>78</v>
      </c>
      <c r="C1300" t="s">
        <v>3203</v>
      </c>
      <c r="D1300">
        <v>49222</v>
      </c>
      <c r="E1300" t="s">
        <v>36</v>
      </c>
      <c r="F1300" t="s">
        <v>3204</v>
      </c>
      <c r="G1300" s="1">
        <v>44985</v>
      </c>
    </row>
    <row r="1301" spans="1:7">
      <c r="A1301" t="s">
        <v>3205</v>
      </c>
      <c r="B1301">
        <v>74</v>
      </c>
      <c r="C1301" t="s">
        <v>3206</v>
      </c>
      <c r="D1301">
        <v>176895</v>
      </c>
      <c r="E1301" t="s">
        <v>36</v>
      </c>
      <c r="F1301" t="s">
        <v>3207</v>
      </c>
      <c r="G1301" s="1">
        <v>44985</v>
      </c>
    </row>
    <row r="1302" spans="1:7">
      <c r="A1302" t="s">
        <v>3208</v>
      </c>
      <c r="B1302">
        <v>72</v>
      </c>
      <c r="C1302" t="s">
        <v>3209</v>
      </c>
      <c r="D1302">
        <v>126462</v>
      </c>
      <c r="E1302" t="s">
        <v>36</v>
      </c>
      <c r="F1302">
        <v>2323280914</v>
      </c>
      <c r="G1302" s="1">
        <v>45139</v>
      </c>
    </row>
    <row r="1303" spans="1:7">
      <c r="A1303" t="s">
        <v>3210</v>
      </c>
      <c r="B1303">
        <v>41</v>
      </c>
      <c r="C1303" t="s">
        <v>3211</v>
      </c>
      <c r="D1303">
        <v>167046</v>
      </c>
      <c r="E1303" t="s">
        <v>9</v>
      </c>
      <c r="F1303" t="s">
        <v>3212</v>
      </c>
      <c r="G1303" t="s">
        <v>493</v>
      </c>
    </row>
    <row r="1304" spans="1:7">
      <c r="A1304" t="s">
        <v>3213</v>
      </c>
      <c r="B1304">
        <v>64</v>
      </c>
      <c r="C1304" t="s">
        <v>3214</v>
      </c>
      <c r="D1304">
        <v>120140</v>
      </c>
      <c r="E1304" t="s">
        <v>9</v>
      </c>
      <c r="F1304">
        <f>1-329-241-9247</f>
        <v>-9816</v>
      </c>
      <c r="G1304" s="1">
        <v>45110</v>
      </c>
    </row>
    <row r="1305" spans="1:7">
      <c r="A1305" t="s">
        <v>3215</v>
      </c>
      <c r="B1305">
        <v>29</v>
      </c>
      <c r="E1305" t="s">
        <v>12</v>
      </c>
      <c r="F1305">
        <f>1-717-722-3855</f>
        <v>-5293</v>
      </c>
      <c r="G1305" s="1">
        <v>45252</v>
      </c>
    </row>
    <row r="1306" spans="1:7">
      <c r="A1306" t="s">
        <v>3216</v>
      </c>
      <c r="B1306">
        <v>77</v>
      </c>
      <c r="C1306" t="s">
        <v>3217</v>
      </c>
      <c r="D1306">
        <v>0</v>
      </c>
      <c r="E1306" t="s">
        <v>9</v>
      </c>
      <c r="F1306">
        <v>2124023059</v>
      </c>
      <c r="G1306" s="1">
        <v>45090</v>
      </c>
    </row>
    <row r="1307" spans="1:7">
      <c r="A1307" t="s">
        <v>315</v>
      </c>
      <c r="B1307">
        <v>25</v>
      </c>
      <c r="C1307" t="s">
        <v>3218</v>
      </c>
      <c r="E1307" t="s">
        <v>36</v>
      </c>
      <c r="F1307" t="s">
        <v>3219</v>
      </c>
      <c r="G1307" s="1">
        <v>45089</v>
      </c>
    </row>
    <row r="1308" spans="1:7">
      <c r="A1308" t="s">
        <v>3220</v>
      </c>
      <c r="B1308">
        <v>-1</v>
      </c>
      <c r="C1308" t="s">
        <v>3221</v>
      </c>
      <c r="D1308">
        <v>112203</v>
      </c>
      <c r="E1308" t="s">
        <v>9</v>
      </c>
      <c r="F1308">
        <f>1-937-410-6913</f>
        <v>-8259</v>
      </c>
      <c r="G1308" s="1">
        <v>45169</v>
      </c>
    </row>
    <row r="1309" spans="1:7">
      <c r="A1309" t="s">
        <v>3222</v>
      </c>
      <c r="B1309">
        <v>34</v>
      </c>
      <c r="C1309" t="s">
        <v>3223</v>
      </c>
      <c r="D1309">
        <v>156189</v>
      </c>
      <c r="E1309" t="s">
        <v>36</v>
      </c>
      <c r="F1309">
        <v>1130341144</v>
      </c>
      <c r="G1309" s="1">
        <v>45075</v>
      </c>
    </row>
    <row r="1310" spans="1:7">
      <c r="A1310" t="s">
        <v>3224</v>
      </c>
      <c r="B1310">
        <v>42</v>
      </c>
      <c r="C1310" t="s">
        <v>3225</v>
      </c>
      <c r="E1310" t="s">
        <v>36</v>
      </c>
      <c r="F1310" t="s">
        <v>3226</v>
      </c>
      <c r="G1310" s="1">
        <v>44930</v>
      </c>
    </row>
    <row r="1311" spans="1:7">
      <c r="A1311" t="s">
        <v>3227</v>
      </c>
      <c r="B1311">
        <v>79</v>
      </c>
      <c r="C1311" t="s">
        <v>3228</v>
      </c>
      <c r="D1311">
        <v>70387</v>
      </c>
      <c r="E1311" t="s">
        <v>9</v>
      </c>
      <c r="F1311" t="s">
        <v>3229</v>
      </c>
      <c r="G1311" s="1">
        <v>44941</v>
      </c>
    </row>
    <row r="1312" spans="1:7">
      <c r="A1312" t="s">
        <v>3230</v>
      </c>
      <c r="B1312">
        <v>77</v>
      </c>
      <c r="C1312" t="s">
        <v>3231</v>
      </c>
      <c r="D1312">
        <v>-20000</v>
      </c>
      <c r="E1312" t="s">
        <v>27</v>
      </c>
      <c r="F1312" t="s">
        <v>3232</v>
      </c>
      <c r="G1312" s="1">
        <v>45179</v>
      </c>
    </row>
    <row r="1313" spans="1:7">
      <c r="A1313" t="s">
        <v>3233</v>
      </c>
      <c r="B1313">
        <v>41</v>
      </c>
      <c r="C1313" t="s">
        <v>3234</v>
      </c>
      <c r="D1313">
        <v>174375</v>
      </c>
      <c r="E1313" t="s">
        <v>36</v>
      </c>
      <c r="F1313">
        <f>1-319-937-7872</f>
        <v>-9127</v>
      </c>
      <c r="G1313" s="1">
        <v>44936</v>
      </c>
    </row>
    <row r="1314" spans="1:7">
      <c r="B1314">
        <v>76</v>
      </c>
      <c r="C1314" t="s">
        <v>3235</v>
      </c>
      <c r="D1314">
        <v>189973</v>
      </c>
      <c r="E1314" t="s">
        <v>36</v>
      </c>
      <c r="F1314" t="s">
        <v>3236</v>
      </c>
      <c r="G1314" s="1">
        <v>45038</v>
      </c>
    </row>
    <row r="1315" spans="1:7">
      <c r="A1315" t="s">
        <v>3237</v>
      </c>
      <c r="B1315">
        <v>49</v>
      </c>
      <c r="C1315" t="s">
        <v>3238</v>
      </c>
      <c r="D1315">
        <v>188761</v>
      </c>
      <c r="E1315" t="s">
        <v>36</v>
      </c>
      <c r="F1315" t="s">
        <v>3239</v>
      </c>
      <c r="G1315" s="1">
        <v>45129</v>
      </c>
    </row>
    <row r="1316" spans="1:7">
      <c r="A1316" t="s">
        <v>3240</v>
      </c>
      <c r="B1316">
        <v>77</v>
      </c>
      <c r="C1316" t="s">
        <v>3241</v>
      </c>
      <c r="E1316" t="s">
        <v>27</v>
      </c>
      <c r="F1316" t="s">
        <v>3242</v>
      </c>
      <c r="G1316" s="1">
        <v>44985</v>
      </c>
    </row>
    <row r="1317" spans="1:7">
      <c r="A1317" t="s">
        <v>3243</v>
      </c>
      <c r="B1317">
        <v>76</v>
      </c>
      <c r="C1317" t="s">
        <v>3244</v>
      </c>
      <c r="D1317">
        <v>99959</v>
      </c>
      <c r="E1317" t="s">
        <v>527</v>
      </c>
      <c r="F1317">
        <v>4779805199</v>
      </c>
      <c r="G1317" s="1">
        <v>44959</v>
      </c>
    </row>
    <row r="1318" spans="1:7">
      <c r="A1318" t="s">
        <v>1682</v>
      </c>
      <c r="B1318">
        <v>67</v>
      </c>
      <c r="C1318" t="s">
        <v>3245</v>
      </c>
      <c r="D1318">
        <v>59063</v>
      </c>
      <c r="E1318" t="s">
        <v>18</v>
      </c>
      <c r="F1318">
        <v>2821658058</v>
      </c>
      <c r="G1318" s="1">
        <v>45054</v>
      </c>
    </row>
    <row r="1319" spans="1:7">
      <c r="A1319" t="s">
        <v>3246</v>
      </c>
      <c r="B1319">
        <v>53</v>
      </c>
      <c r="C1319" t="s">
        <v>3247</v>
      </c>
      <c r="D1319">
        <v>115744</v>
      </c>
      <c r="E1319" t="s">
        <v>12</v>
      </c>
      <c r="G1319" s="1">
        <v>45102</v>
      </c>
    </row>
    <row r="1320" spans="1:7">
      <c r="A1320" t="s">
        <v>3248</v>
      </c>
      <c r="B1320">
        <v>43</v>
      </c>
      <c r="D1320">
        <v>80387</v>
      </c>
      <c r="E1320" t="s">
        <v>9</v>
      </c>
      <c r="F1320" t="s">
        <v>3249</v>
      </c>
      <c r="G1320" s="1">
        <v>45144</v>
      </c>
    </row>
    <row r="1321" spans="1:7">
      <c r="A1321" t="s">
        <v>3250</v>
      </c>
      <c r="B1321">
        <v>78</v>
      </c>
      <c r="C1321" t="s">
        <v>3251</v>
      </c>
      <c r="D1321">
        <v>154069</v>
      </c>
      <c r="E1321" t="s">
        <v>12</v>
      </c>
      <c r="F1321">
        <v>9708376770</v>
      </c>
      <c r="G1321" s="1">
        <v>45194</v>
      </c>
    </row>
    <row r="1322" spans="1:7">
      <c r="A1322" t="s">
        <v>3252</v>
      </c>
      <c r="B1322">
        <v>29</v>
      </c>
      <c r="D1322">
        <v>0</v>
      </c>
      <c r="E1322" t="s">
        <v>36</v>
      </c>
      <c r="F1322" t="s">
        <v>3253</v>
      </c>
      <c r="G1322" s="1">
        <v>45226</v>
      </c>
    </row>
    <row r="1323" spans="1:7">
      <c r="A1323" t="s">
        <v>1226</v>
      </c>
      <c r="B1323">
        <v>56</v>
      </c>
      <c r="C1323" t="s">
        <v>3254</v>
      </c>
      <c r="D1323">
        <v>183619</v>
      </c>
      <c r="E1323" t="s">
        <v>9</v>
      </c>
      <c r="F1323" t="s">
        <v>3255</v>
      </c>
      <c r="G1323" s="1">
        <v>44964</v>
      </c>
    </row>
    <row r="1324" spans="1:7">
      <c r="A1324" t="s">
        <v>3256</v>
      </c>
      <c r="B1324">
        <v>40</v>
      </c>
      <c r="C1324" t="s">
        <v>3257</v>
      </c>
      <c r="D1324">
        <v>78113</v>
      </c>
      <c r="E1324" t="s">
        <v>36</v>
      </c>
      <c r="F1324" t="s">
        <v>3258</v>
      </c>
      <c r="G1324" s="1">
        <v>44967</v>
      </c>
    </row>
    <row r="1325" spans="1:7">
      <c r="A1325" t="s">
        <v>3259</v>
      </c>
      <c r="D1325">
        <v>67038</v>
      </c>
      <c r="E1325" t="s">
        <v>9</v>
      </c>
      <c r="F1325">
        <f>1-756-213-6427</f>
        <v>-7395</v>
      </c>
      <c r="G1325" s="1">
        <v>45018</v>
      </c>
    </row>
    <row r="1326" spans="1:7">
      <c r="A1326" t="s">
        <v>3260</v>
      </c>
      <c r="B1326">
        <v>76</v>
      </c>
      <c r="C1326" t="s">
        <v>3261</v>
      </c>
      <c r="D1326">
        <v>73822</v>
      </c>
      <c r="E1326" t="s">
        <v>36</v>
      </c>
      <c r="F1326" t="s">
        <v>3262</v>
      </c>
      <c r="G1326" s="1">
        <v>44970</v>
      </c>
    </row>
    <row r="1327" spans="1:7">
      <c r="A1327" t="s">
        <v>3263</v>
      </c>
      <c r="C1327" t="s">
        <v>3264</v>
      </c>
      <c r="D1327">
        <v>62769</v>
      </c>
      <c r="E1327" t="s">
        <v>9</v>
      </c>
      <c r="F1327">
        <f>1-388-449-7117</f>
        <v>-7953</v>
      </c>
      <c r="G1327" s="1">
        <v>44948</v>
      </c>
    </row>
    <row r="1328" spans="1:7">
      <c r="A1328" t="s">
        <v>3265</v>
      </c>
      <c r="B1328">
        <v>66</v>
      </c>
      <c r="C1328" t="s">
        <v>3266</v>
      </c>
      <c r="D1328">
        <v>67387</v>
      </c>
      <c r="E1328" t="s">
        <v>27</v>
      </c>
      <c r="F1328" t="s">
        <v>3267</v>
      </c>
      <c r="G1328" s="1">
        <v>45246</v>
      </c>
    </row>
    <row r="1329" spans="1:7">
      <c r="A1329" t="s">
        <v>3268</v>
      </c>
      <c r="B1329">
        <v>61</v>
      </c>
      <c r="C1329" t="s">
        <v>3269</v>
      </c>
      <c r="D1329">
        <v>109788</v>
      </c>
      <c r="E1329" t="s">
        <v>12</v>
      </c>
      <c r="F1329">
        <f>1-996-270-9782</f>
        <v>-11047</v>
      </c>
      <c r="G1329" s="1">
        <v>45004</v>
      </c>
    </row>
    <row r="1330" spans="1:7">
      <c r="A1330" t="s">
        <v>3270</v>
      </c>
      <c r="B1330">
        <v>64</v>
      </c>
      <c r="C1330" t="s">
        <v>3271</v>
      </c>
      <c r="D1330">
        <v>176653</v>
      </c>
      <c r="E1330" t="s">
        <v>12</v>
      </c>
      <c r="F1330" t="s">
        <v>3272</v>
      </c>
      <c r="G1330" s="1">
        <v>45120</v>
      </c>
    </row>
    <row r="1331" spans="1:7">
      <c r="A1331" t="s">
        <v>3273</v>
      </c>
      <c r="B1331">
        <v>49</v>
      </c>
      <c r="C1331" t="s">
        <v>3274</v>
      </c>
      <c r="D1331">
        <v>111982</v>
      </c>
      <c r="E1331" t="s">
        <v>27</v>
      </c>
      <c r="F1331" t="s">
        <v>3275</v>
      </c>
      <c r="G1331" s="1">
        <v>45200</v>
      </c>
    </row>
    <row r="1332" spans="1:7">
      <c r="A1332" t="s">
        <v>3276</v>
      </c>
      <c r="B1332">
        <v>43</v>
      </c>
      <c r="C1332" t="s">
        <v>3277</v>
      </c>
      <c r="D1332">
        <v>198636</v>
      </c>
      <c r="E1332" t="s">
        <v>9</v>
      </c>
      <c r="F1332">
        <v>4195279456</v>
      </c>
      <c r="G1332" s="1">
        <v>45198</v>
      </c>
    </row>
    <row r="1333" spans="1:7">
      <c r="A1333" t="s">
        <v>3278</v>
      </c>
      <c r="B1333">
        <v>71</v>
      </c>
      <c r="C1333" t="s">
        <v>3279</v>
      </c>
      <c r="D1333">
        <v>39589</v>
      </c>
      <c r="E1333" t="s">
        <v>27</v>
      </c>
      <c r="F1333">
        <f>1-568-929-1586</f>
        <v>-3082</v>
      </c>
      <c r="G1333" s="1">
        <v>45049</v>
      </c>
    </row>
    <row r="1334" spans="1:7">
      <c r="A1334" t="s">
        <v>3280</v>
      </c>
      <c r="B1334">
        <v>75</v>
      </c>
      <c r="C1334" t="s">
        <v>3281</v>
      </c>
      <c r="D1334">
        <v>80961</v>
      </c>
      <c r="E1334" t="s">
        <v>27</v>
      </c>
      <c r="F1334" t="s">
        <v>3282</v>
      </c>
      <c r="G1334" s="1">
        <v>45099</v>
      </c>
    </row>
    <row r="1335" spans="1:7">
      <c r="A1335" t="s">
        <v>3283</v>
      </c>
      <c r="B1335">
        <v>65</v>
      </c>
      <c r="C1335" t="s">
        <v>3284</v>
      </c>
      <c r="D1335">
        <v>70860</v>
      </c>
      <c r="E1335" t="s">
        <v>9</v>
      </c>
      <c r="F1335">
        <f>1-126-743-8114</f>
        <v>-8982</v>
      </c>
      <c r="G1335" s="1">
        <v>45129</v>
      </c>
    </row>
    <row r="1336" spans="1:7">
      <c r="B1336">
        <v>35</v>
      </c>
      <c r="D1336">
        <v>91169</v>
      </c>
      <c r="E1336" t="s">
        <v>36</v>
      </c>
      <c r="F1336" t="s">
        <v>3285</v>
      </c>
      <c r="G1336" s="1">
        <v>44937</v>
      </c>
    </row>
    <row r="1337" spans="1:7">
      <c r="A1337" t="s">
        <v>3286</v>
      </c>
      <c r="B1337">
        <v>54</v>
      </c>
      <c r="C1337" t="s">
        <v>3287</v>
      </c>
      <c r="D1337">
        <v>131121</v>
      </c>
      <c r="E1337" t="s">
        <v>36</v>
      </c>
      <c r="G1337" s="1">
        <v>45078</v>
      </c>
    </row>
    <row r="1338" spans="1:7">
      <c r="A1338" t="s">
        <v>3288</v>
      </c>
      <c r="B1338">
        <v>57</v>
      </c>
      <c r="C1338" t="s">
        <v>3289</v>
      </c>
      <c r="D1338">
        <v>58054</v>
      </c>
      <c r="E1338" t="s">
        <v>36</v>
      </c>
      <c r="F1338">
        <v>9488312421</v>
      </c>
      <c r="G1338" s="1">
        <v>45089</v>
      </c>
    </row>
    <row r="1339" spans="1:7">
      <c r="A1339" t="s">
        <v>3290</v>
      </c>
      <c r="B1339">
        <v>37</v>
      </c>
      <c r="C1339" t="s">
        <v>3291</v>
      </c>
      <c r="D1339">
        <v>51042</v>
      </c>
      <c r="E1339" t="s">
        <v>36</v>
      </c>
      <c r="F1339">
        <f>1-315-684-3532</f>
        <v>-4530</v>
      </c>
      <c r="G1339" s="1">
        <v>45103</v>
      </c>
    </row>
    <row r="1340" spans="1:7">
      <c r="A1340" t="s">
        <v>3292</v>
      </c>
      <c r="B1340">
        <v>67</v>
      </c>
      <c r="C1340" t="s">
        <v>3293</v>
      </c>
      <c r="D1340">
        <v>139708</v>
      </c>
      <c r="E1340" t="s">
        <v>36</v>
      </c>
      <c r="F1340">
        <v>5250149467</v>
      </c>
      <c r="G1340" t="s">
        <v>483</v>
      </c>
    </row>
    <row r="1341" spans="1:7">
      <c r="A1341" t="s">
        <v>3294</v>
      </c>
      <c r="B1341">
        <v>999</v>
      </c>
      <c r="C1341" t="s">
        <v>3295</v>
      </c>
      <c r="D1341">
        <v>107506</v>
      </c>
      <c r="E1341" t="s">
        <v>12</v>
      </c>
      <c r="F1341" t="s">
        <v>3296</v>
      </c>
      <c r="G1341" s="1">
        <v>45221</v>
      </c>
    </row>
    <row r="1342" spans="1:7">
      <c r="A1342" t="s">
        <v>3297</v>
      </c>
      <c r="B1342">
        <v>78</v>
      </c>
      <c r="C1342" t="s">
        <v>3298</v>
      </c>
      <c r="E1342" t="s">
        <v>27</v>
      </c>
      <c r="F1342">
        <f>1-433-285-1445</f>
        <v>-2162</v>
      </c>
      <c r="G1342" s="1">
        <v>45115</v>
      </c>
    </row>
    <row r="1343" spans="1:7">
      <c r="A1343" t="s">
        <v>3299</v>
      </c>
      <c r="B1343">
        <v>-1</v>
      </c>
      <c r="C1343" t="s">
        <v>3300</v>
      </c>
      <c r="D1343">
        <v>75712</v>
      </c>
      <c r="E1343" t="s">
        <v>36</v>
      </c>
      <c r="F1343" t="s">
        <v>3301</v>
      </c>
      <c r="G1343" s="1">
        <v>44977</v>
      </c>
    </row>
    <row r="1344" spans="1:7">
      <c r="A1344" t="s">
        <v>3302</v>
      </c>
      <c r="B1344">
        <v>68</v>
      </c>
      <c r="C1344" t="s">
        <v>3303</v>
      </c>
      <c r="D1344">
        <v>86411</v>
      </c>
      <c r="E1344" t="s">
        <v>27</v>
      </c>
      <c r="F1344" t="s">
        <v>3304</v>
      </c>
      <c r="G1344" s="1">
        <v>45115</v>
      </c>
    </row>
    <row r="1345" spans="1:7">
      <c r="A1345" t="s">
        <v>3305</v>
      </c>
      <c r="B1345">
        <v>79</v>
      </c>
      <c r="D1345">
        <v>143000</v>
      </c>
      <c r="E1345" t="s">
        <v>12</v>
      </c>
      <c r="G1345" s="1">
        <v>45176</v>
      </c>
    </row>
    <row r="1346" spans="1:7">
      <c r="A1346" t="s">
        <v>3306</v>
      </c>
      <c r="B1346">
        <v>24</v>
      </c>
      <c r="C1346" t="s">
        <v>478</v>
      </c>
      <c r="D1346">
        <v>84935</v>
      </c>
      <c r="E1346" t="s">
        <v>36</v>
      </c>
      <c r="F1346" t="s">
        <v>3307</v>
      </c>
      <c r="G1346" s="1">
        <v>45241</v>
      </c>
    </row>
    <row r="1347" spans="1:7">
      <c r="A1347" t="s">
        <v>3308</v>
      </c>
      <c r="B1347">
        <v>25</v>
      </c>
      <c r="C1347" t="s">
        <v>3309</v>
      </c>
      <c r="D1347">
        <v>-50000</v>
      </c>
      <c r="E1347" t="s">
        <v>27</v>
      </c>
      <c r="F1347" t="s">
        <v>3310</v>
      </c>
      <c r="G1347" s="1">
        <v>45061</v>
      </c>
    </row>
    <row r="1348" spans="1:7">
      <c r="A1348" t="s">
        <v>3311</v>
      </c>
      <c r="B1348">
        <v>20</v>
      </c>
      <c r="C1348" t="s">
        <v>3312</v>
      </c>
      <c r="D1348">
        <v>188353</v>
      </c>
      <c r="E1348" t="s">
        <v>36</v>
      </c>
      <c r="F1348" t="s">
        <v>3313</v>
      </c>
      <c r="G1348" s="1">
        <v>45068</v>
      </c>
    </row>
    <row r="1349" spans="1:7">
      <c r="A1349" t="s">
        <v>3314</v>
      </c>
      <c r="B1349">
        <v>71</v>
      </c>
      <c r="C1349" t="s">
        <v>3315</v>
      </c>
      <c r="D1349">
        <v>198616</v>
      </c>
      <c r="E1349" t="s">
        <v>27</v>
      </c>
      <c r="F1349">
        <f>1-899-846-4962</f>
        <v>-6706</v>
      </c>
      <c r="G1349" s="1">
        <v>45185</v>
      </c>
    </row>
    <row r="1350" spans="1:7">
      <c r="A1350" t="s">
        <v>3316</v>
      </c>
      <c r="B1350">
        <v>-50</v>
      </c>
      <c r="C1350" t="s">
        <v>3317</v>
      </c>
      <c r="D1350">
        <v>76607</v>
      </c>
      <c r="E1350" t="s">
        <v>12</v>
      </c>
      <c r="F1350" t="s">
        <v>3318</v>
      </c>
      <c r="G1350" s="1">
        <v>44950</v>
      </c>
    </row>
    <row r="1351" spans="1:7">
      <c r="B1351">
        <v>45</v>
      </c>
      <c r="C1351" t="s">
        <v>3319</v>
      </c>
      <c r="E1351" t="s">
        <v>12</v>
      </c>
      <c r="F1351">
        <v>6698426649</v>
      </c>
      <c r="G1351" s="1">
        <v>44997</v>
      </c>
    </row>
    <row r="1352" spans="1:7">
      <c r="A1352" t="s">
        <v>3320</v>
      </c>
      <c r="B1352">
        <v>65</v>
      </c>
      <c r="C1352" t="s">
        <v>3321</v>
      </c>
      <c r="D1352">
        <v>46122</v>
      </c>
      <c r="E1352" t="s">
        <v>90</v>
      </c>
      <c r="F1352" t="s">
        <v>3322</v>
      </c>
      <c r="G1352" s="1">
        <v>45278</v>
      </c>
    </row>
    <row r="1353" spans="1:7">
      <c r="A1353" t="s">
        <v>3323</v>
      </c>
      <c r="B1353">
        <v>52</v>
      </c>
      <c r="C1353" t="s">
        <v>3324</v>
      </c>
      <c r="D1353">
        <v>153769</v>
      </c>
      <c r="E1353" t="s">
        <v>90</v>
      </c>
      <c r="F1353" t="s">
        <v>3325</v>
      </c>
      <c r="G1353" s="1">
        <v>45121</v>
      </c>
    </row>
    <row r="1354" spans="1:7">
      <c r="A1354" t="s">
        <v>3326</v>
      </c>
      <c r="B1354">
        <v>20</v>
      </c>
      <c r="C1354" t="s">
        <v>3327</v>
      </c>
      <c r="D1354">
        <v>62966</v>
      </c>
      <c r="E1354" t="s">
        <v>9</v>
      </c>
      <c r="F1354" t="s">
        <v>3328</v>
      </c>
      <c r="G1354" t="s">
        <v>81</v>
      </c>
    </row>
    <row r="1355" spans="1:7">
      <c r="A1355" t="s">
        <v>3329</v>
      </c>
      <c r="B1355">
        <v>71</v>
      </c>
      <c r="D1355">
        <v>133937</v>
      </c>
      <c r="E1355" t="s">
        <v>36</v>
      </c>
      <c r="F1355" t="s">
        <v>3330</v>
      </c>
      <c r="G1355" s="1">
        <v>45158</v>
      </c>
    </row>
    <row r="1356" spans="1:7">
      <c r="A1356" t="s">
        <v>3331</v>
      </c>
      <c r="B1356">
        <v>28</v>
      </c>
      <c r="C1356" t="s">
        <v>169</v>
      </c>
      <c r="D1356">
        <v>101088</v>
      </c>
      <c r="E1356" t="s">
        <v>49</v>
      </c>
      <c r="F1356">
        <f>1-508-974-2195</f>
        <v>-3676</v>
      </c>
      <c r="G1356" s="1">
        <v>44967</v>
      </c>
    </row>
    <row r="1357" spans="1:7">
      <c r="A1357" t="s">
        <v>3332</v>
      </c>
      <c r="C1357" t="s">
        <v>3333</v>
      </c>
      <c r="D1357">
        <v>111326</v>
      </c>
      <c r="E1357" t="s">
        <v>12</v>
      </c>
      <c r="F1357">
        <v>2228744350</v>
      </c>
      <c r="G1357" s="1">
        <v>44951</v>
      </c>
    </row>
    <row r="1358" spans="1:7">
      <c r="A1358" t="s">
        <v>3334</v>
      </c>
      <c r="B1358">
        <v>38</v>
      </c>
      <c r="C1358" t="s">
        <v>3335</v>
      </c>
      <c r="D1358">
        <v>142698</v>
      </c>
      <c r="E1358" t="s">
        <v>36</v>
      </c>
      <c r="F1358" t="s">
        <v>3336</v>
      </c>
      <c r="G1358" s="1">
        <v>45027</v>
      </c>
    </row>
    <row r="1359" spans="1:7">
      <c r="A1359" t="s">
        <v>3337</v>
      </c>
      <c r="B1359">
        <v>39</v>
      </c>
      <c r="C1359" t="s">
        <v>3338</v>
      </c>
      <c r="D1359">
        <v>89821</v>
      </c>
      <c r="E1359" t="s">
        <v>36</v>
      </c>
      <c r="F1359" t="s">
        <v>3339</v>
      </c>
      <c r="G1359" s="1">
        <v>45152</v>
      </c>
    </row>
    <row r="1360" spans="1:7">
      <c r="A1360" t="s">
        <v>3340</v>
      </c>
      <c r="B1360">
        <v>70</v>
      </c>
      <c r="C1360" t="s">
        <v>3341</v>
      </c>
      <c r="D1360">
        <v>119524</v>
      </c>
      <c r="E1360" t="s">
        <v>9</v>
      </c>
      <c r="F1360" t="s">
        <v>3342</v>
      </c>
      <c r="G1360" s="1">
        <v>45108</v>
      </c>
    </row>
    <row r="1361" spans="1:7">
      <c r="A1361" t="s">
        <v>3343</v>
      </c>
      <c r="B1361">
        <v>29</v>
      </c>
      <c r="C1361" t="s">
        <v>3344</v>
      </c>
      <c r="D1361">
        <v>195250</v>
      </c>
      <c r="E1361" t="s">
        <v>358</v>
      </c>
      <c r="F1361">
        <f>1-210-587-8162</f>
        <v>-8958</v>
      </c>
      <c r="G1361" s="1">
        <v>45135</v>
      </c>
    </row>
    <row r="1362" spans="1:7">
      <c r="A1362" t="s">
        <v>3345</v>
      </c>
      <c r="B1362">
        <v>45</v>
      </c>
      <c r="C1362" t="s">
        <v>3346</v>
      </c>
      <c r="D1362">
        <v>52553</v>
      </c>
      <c r="E1362" t="s">
        <v>36</v>
      </c>
      <c r="F1362" t="s">
        <v>3347</v>
      </c>
      <c r="G1362" s="1">
        <v>45034</v>
      </c>
    </row>
    <row r="1363" spans="1:7">
      <c r="A1363" t="s">
        <v>3348</v>
      </c>
      <c r="B1363">
        <v>53</v>
      </c>
      <c r="C1363" t="s">
        <v>3349</v>
      </c>
      <c r="D1363">
        <v>93044</v>
      </c>
      <c r="E1363" t="s">
        <v>9</v>
      </c>
      <c r="F1363" t="s">
        <v>3350</v>
      </c>
      <c r="G1363" s="1">
        <v>45265</v>
      </c>
    </row>
    <row r="1364" spans="1:7">
      <c r="A1364" t="s">
        <v>3351</v>
      </c>
      <c r="B1364">
        <v>43</v>
      </c>
      <c r="C1364" t="s">
        <v>3352</v>
      </c>
      <c r="D1364">
        <v>56206</v>
      </c>
      <c r="E1364" t="s">
        <v>27</v>
      </c>
      <c r="F1364" t="s">
        <v>3353</v>
      </c>
      <c r="G1364" s="1">
        <v>45162</v>
      </c>
    </row>
    <row r="1365" spans="1:7">
      <c r="A1365" t="s">
        <v>3354</v>
      </c>
      <c r="B1365">
        <v>30</v>
      </c>
      <c r="C1365" t="s">
        <v>3355</v>
      </c>
      <c r="D1365">
        <v>126444</v>
      </c>
      <c r="E1365" t="s">
        <v>9</v>
      </c>
      <c r="F1365">
        <v>7010091529</v>
      </c>
      <c r="G1365" s="1">
        <v>45109</v>
      </c>
    </row>
    <row r="1366" spans="1:7">
      <c r="A1366" t="s">
        <v>3356</v>
      </c>
      <c r="B1366">
        <v>50</v>
      </c>
      <c r="C1366" t="s">
        <v>3357</v>
      </c>
      <c r="D1366">
        <v>122036</v>
      </c>
      <c r="E1366" t="s">
        <v>12</v>
      </c>
      <c r="F1366">
        <f>1-320-943-5636</f>
        <v>-6898</v>
      </c>
      <c r="G1366" s="1">
        <v>44959</v>
      </c>
    </row>
    <row r="1367" spans="1:7">
      <c r="A1367" t="s">
        <v>3358</v>
      </c>
      <c r="B1367">
        <v>55</v>
      </c>
      <c r="C1367" t="s">
        <v>3359</v>
      </c>
      <c r="E1367" t="s">
        <v>9</v>
      </c>
      <c r="F1367" t="s">
        <v>3360</v>
      </c>
      <c r="G1367" s="1">
        <v>45017</v>
      </c>
    </row>
    <row r="1368" spans="1:7">
      <c r="A1368" t="s">
        <v>3361</v>
      </c>
      <c r="B1368">
        <v>71</v>
      </c>
      <c r="C1368" t="s">
        <v>3362</v>
      </c>
      <c r="D1368">
        <v>149289</v>
      </c>
      <c r="E1368" t="s">
        <v>12</v>
      </c>
      <c r="F1368" t="s">
        <v>3363</v>
      </c>
      <c r="G1368" s="1">
        <v>45253</v>
      </c>
    </row>
    <row r="1369" spans="1:7">
      <c r="A1369" t="s">
        <v>3364</v>
      </c>
      <c r="B1369">
        <v>70</v>
      </c>
      <c r="C1369" t="s">
        <v>3365</v>
      </c>
      <c r="E1369" t="s">
        <v>27</v>
      </c>
      <c r="F1369" t="s">
        <v>3366</v>
      </c>
      <c r="G1369" s="1">
        <v>45065</v>
      </c>
    </row>
    <row r="1370" spans="1:7">
      <c r="A1370" t="s">
        <v>3367</v>
      </c>
      <c r="B1370">
        <v>72</v>
      </c>
      <c r="C1370" t="s">
        <v>3368</v>
      </c>
      <c r="D1370">
        <v>73258</v>
      </c>
      <c r="E1370" t="s">
        <v>27</v>
      </c>
      <c r="F1370" t="s">
        <v>3369</v>
      </c>
      <c r="G1370" t="s">
        <v>715</v>
      </c>
    </row>
    <row r="1371" spans="1:7">
      <c r="A1371" t="s">
        <v>3370</v>
      </c>
      <c r="B1371">
        <v>63</v>
      </c>
      <c r="C1371" t="s">
        <v>3371</v>
      </c>
      <c r="D1371">
        <v>172339</v>
      </c>
      <c r="E1371" t="s">
        <v>12</v>
      </c>
      <c r="F1371" t="s">
        <v>3372</v>
      </c>
      <c r="G1371" s="1">
        <v>45209</v>
      </c>
    </row>
    <row r="1372" spans="1:7">
      <c r="A1372" t="s">
        <v>3373</v>
      </c>
      <c r="B1372">
        <v>51</v>
      </c>
      <c r="C1372" t="s">
        <v>3374</v>
      </c>
      <c r="D1372">
        <v>-10000</v>
      </c>
      <c r="E1372" t="s">
        <v>27</v>
      </c>
      <c r="F1372">
        <f>1-974-912-4993</f>
        <v>-6878</v>
      </c>
      <c r="G1372" s="1">
        <v>44937</v>
      </c>
    </row>
    <row r="1373" spans="1:7">
      <c r="A1373" t="s">
        <v>3375</v>
      </c>
      <c r="B1373">
        <v>49</v>
      </c>
      <c r="C1373" t="s">
        <v>3376</v>
      </c>
      <c r="D1373">
        <v>41539</v>
      </c>
      <c r="E1373" t="s">
        <v>9</v>
      </c>
      <c r="F1373" t="s">
        <v>3377</v>
      </c>
      <c r="G1373" s="1">
        <v>45000</v>
      </c>
    </row>
    <row r="1374" spans="1:7">
      <c r="A1374" t="s">
        <v>3378</v>
      </c>
      <c r="B1374">
        <v>-1</v>
      </c>
      <c r="C1374" t="s">
        <v>3379</v>
      </c>
      <c r="D1374">
        <v>55163</v>
      </c>
      <c r="E1374" t="s">
        <v>9</v>
      </c>
      <c r="F1374">
        <v>7717423384</v>
      </c>
      <c r="G1374" s="1">
        <v>44928</v>
      </c>
    </row>
    <row r="1375" spans="1:7">
      <c r="A1375" t="s">
        <v>3380</v>
      </c>
      <c r="B1375">
        <v>58</v>
      </c>
      <c r="C1375" t="s">
        <v>518</v>
      </c>
      <c r="D1375">
        <v>50922</v>
      </c>
      <c r="E1375" t="s">
        <v>27</v>
      </c>
      <c r="F1375" t="s">
        <v>3381</v>
      </c>
      <c r="G1375" s="1">
        <v>45278</v>
      </c>
    </row>
    <row r="1376" spans="1:7">
      <c r="A1376" t="s">
        <v>3382</v>
      </c>
      <c r="B1376">
        <v>30</v>
      </c>
      <c r="C1376" t="s">
        <v>3383</v>
      </c>
      <c r="D1376">
        <v>101116</v>
      </c>
      <c r="E1376" t="s">
        <v>27</v>
      </c>
      <c r="F1376" t="s">
        <v>3384</v>
      </c>
      <c r="G1376" s="1">
        <v>44981</v>
      </c>
    </row>
    <row r="1377" spans="1:7">
      <c r="A1377" t="s">
        <v>3385</v>
      </c>
      <c r="B1377">
        <v>40</v>
      </c>
      <c r="D1377">
        <v>63541</v>
      </c>
      <c r="E1377" t="s">
        <v>12</v>
      </c>
      <c r="F1377" t="s">
        <v>3386</v>
      </c>
      <c r="G1377" s="1">
        <v>45210</v>
      </c>
    </row>
    <row r="1378" spans="1:7">
      <c r="A1378" t="s">
        <v>3387</v>
      </c>
      <c r="B1378">
        <v>61</v>
      </c>
      <c r="C1378" t="s">
        <v>3388</v>
      </c>
      <c r="D1378">
        <v>108484</v>
      </c>
      <c r="E1378" t="s">
        <v>9</v>
      </c>
      <c r="F1378">
        <v>7744459607</v>
      </c>
      <c r="G1378" s="1">
        <v>45206</v>
      </c>
    </row>
    <row r="1379" spans="1:7">
      <c r="A1379" t="s">
        <v>3389</v>
      </c>
      <c r="B1379">
        <v>-50</v>
      </c>
      <c r="C1379" t="s">
        <v>3390</v>
      </c>
      <c r="E1379" t="s">
        <v>36</v>
      </c>
      <c r="F1379">
        <v>5825241186</v>
      </c>
      <c r="G1379" s="1">
        <v>45194</v>
      </c>
    </row>
    <row r="1380" spans="1:7">
      <c r="A1380" t="s">
        <v>3117</v>
      </c>
      <c r="B1380">
        <v>23</v>
      </c>
      <c r="C1380" t="s">
        <v>3391</v>
      </c>
      <c r="D1380">
        <v>108116</v>
      </c>
      <c r="E1380" t="s">
        <v>36</v>
      </c>
      <c r="F1380" t="s">
        <v>3392</v>
      </c>
      <c r="G1380" s="1">
        <v>45190</v>
      </c>
    </row>
    <row r="1381" spans="1:7">
      <c r="A1381" t="s">
        <v>3393</v>
      </c>
      <c r="B1381">
        <v>46</v>
      </c>
      <c r="D1381">
        <v>0</v>
      </c>
      <c r="E1381" t="s">
        <v>27</v>
      </c>
      <c r="F1381" t="s">
        <v>3394</v>
      </c>
      <c r="G1381" s="1">
        <v>45037</v>
      </c>
    </row>
    <row r="1382" spans="1:7">
      <c r="A1382" t="s">
        <v>3395</v>
      </c>
      <c r="B1382">
        <v>-50</v>
      </c>
      <c r="C1382" t="s">
        <v>3396</v>
      </c>
      <c r="D1382">
        <v>186255</v>
      </c>
      <c r="E1382" t="s">
        <v>12</v>
      </c>
      <c r="F1382" t="s">
        <v>3397</v>
      </c>
      <c r="G1382" s="1">
        <v>44958</v>
      </c>
    </row>
    <row r="1383" spans="1:7">
      <c r="A1383" t="s">
        <v>3398</v>
      </c>
      <c r="B1383">
        <v>75</v>
      </c>
      <c r="C1383" t="s">
        <v>3399</v>
      </c>
      <c r="D1383">
        <v>112768</v>
      </c>
      <c r="E1383" t="s">
        <v>27</v>
      </c>
      <c r="F1383">
        <f>1-831-140-8696</f>
        <v>-9666</v>
      </c>
      <c r="G1383" s="1">
        <v>45199</v>
      </c>
    </row>
    <row r="1384" spans="1:7">
      <c r="A1384" t="s">
        <v>3400</v>
      </c>
      <c r="B1384">
        <v>43</v>
      </c>
      <c r="C1384" t="s">
        <v>3401</v>
      </c>
      <c r="D1384">
        <v>83997</v>
      </c>
      <c r="E1384" t="s">
        <v>9</v>
      </c>
      <c r="F1384" t="s">
        <v>3402</v>
      </c>
      <c r="G1384" s="1">
        <v>45115</v>
      </c>
    </row>
    <row r="1385" spans="1:7">
      <c r="A1385" t="s">
        <v>3403</v>
      </c>
      <c r="B1385">
        <v>43</v>
      </c>
      <c r="C1385" t="s">
        <v>3404</v>
      </c>
      <c r="D1385">
        <v>134127</v>
      </c>
      <c r="E1385" t="s">
        <v>27</v>
      </c>
      <c r="F1385">
        <v>4888501524</v>
      </c>
      <c r="G1385" s="1">
        <v>44968</v>
      </c>
    </row>
    <row r="1386" spans="1:7">
      <c r="A1386" t="s">
        <v>3405</v>
      </c>
      <c r="B1386">
        <v>33</v>
      </c>
      <c r="C1386" t="s">
        <v>3406</v>
      </c>
      <c r="D1386">
        <v>196280</v>
      </c>
      <c r="E1386" t="s">
        <v>873</v>
      </c>
      <c r="F1386">
        <f>1-754-890-5699</f>
        <v>-7342</v>
      </c>
      <c r="G1386" s="1">
        <v>45049</v>
      </c>
    </row>
    <row r="1387" spans="1:7">
      <c r="A1387" t="s">
        <v>3407</v>
      </c>
      <c r="D1387">
        <v>83014</v>
      </c>
      <c r="E1387" t="s">
        <v>9</v>
      </c>
      <c r="F1387" t="s">
        <v>3408</v>
      </c>
      <c r="G1387" s="1">
        <v>45222</v>
      </c>
    </row>
    <row r="1388" spans="1:7">
      <c r="A1388" t="s">
        <v>3409</v>
      </c>
      <c r="B1388">
        <v>69</v>
      </c>
      <c r="C1388" t="s">
        <v>3410</v>
      </c>
      <c r="D1388">
        <v>-5000</v>
      </c>
      <c r="E1388" t="s">
        <v>27</v>
      </c>
      <c r="F1388" t="s">
        <v>3411</v>
      </c>
      <c r="G1388" s="1">
        <v>45080</v>
      </c>
    </row>
    <row r="1389" spans="1:7">
      <c r="A1389" t="s">
        <v>3412</v>
      </c>
      <c r="B1389">
        <v>33</v>
      </c>
      <c r="C1389" t="s">
        <v>3413</v>
      </c>
      <c r="D1389">
        <v>124876</v>
      </c>
      <c r="E1389" t="s">
        <v>36</v>
      </c>
      <c r="F1389" t="s">
        <v>3414</v>
      </c>
      <c r="G1389" s="1">
        <v>45145</v>
      </c>
    </row>
    <row r="1390" spans="1:7">
      <c r="A1390" t="s">
        <v>3415</v>
      </c>
      <c r="B1390">
        <v>50</v>
      </c>
      <c r="C1390" t="s">
        <v>3416</v>
      </c>
      <c r="D1390">
        <v>134504</v>
      </c>
      <c r="E1390" t="s">
        <v>12</v>
      </c>
      <c r="F1390" t="s">
        <v>3417</v>
      </c>
      <c r="G1390" s="1">
        <v>45023</v>
      </c>
    </row>
    <row r="1391" spans="1:7">
      <c r="A1391" t="s">
        <v>3418</v>
      </c>
      <c r="B1391">
        <v>27</v>
      </c>
      <c r="C1391" t="s">
        <v>3419</v>
      </c>
      <c r="D1391">
        <v>30060</v>
      </c>
      <c r="E1391" t="s">
        <v>12</v>
      </c>
      <c r="F1391" t="s">
        <v>3420</v>
      </c>
      <c r="G1391" s="1">
        <v>45221</v>
      </c>
    </row>
    <row r="1392" spans="1:7">
      <c r="A1392" t="s">
        <v>3421</v>
      </c>
      <c r="B1392">
        <v>43</v>
      </c>
      <c r="C1392" t="s">
        <v>3422</v>
      </c>
      <c r="D1392">
        <v>55517</v>
      </c>
      <c r="E1392" t="s">
        <v>27</v>
      </c>
      <c r="F1392">
        <v>5885787104</v>
      </c>
      <c r="G1392" s="1">
        <v>45072</v>
      </c>
    </row>
    <row r="1393" spans="1:7">
      <c r="A1393" t="s">
        <v>3423</v>
      </c>
      <c r="C1393" t="s">
        <v>3424</v>
      </c>
      <c r="D1393">
        <v>137096</v>
      </c>
      <c r="E1393" t="s">
        <v>12</v>
      </c>
      <c r="F1393" t="s">
        <v>3425</v>
      </c>
      <c r="G1393" s="1">
        <v>44972</v>
      </c>
    </row>
    <row r="1394" spans="1:7">
      <c r="A1394" t="s">
        <v>3426</v>
      </c>
      <c r="B1394">
        <v>43</v>
      </c>
      <c r="C1394" t="s">
        <v>3427</v>
      </c>
      <c r="D1394">
        <v>176510</v>
      </c>
      <c r="E1394" t="s">
        <v>36</v>
      </c>
      <c r="F1394" t="s">
        <v>3428</v>
      </c>
      <c r="G1394" t="s">
        <v>87</v>
      </c>
    </row>
    <row r="1395" spans="1:7">
      <c r="A1395" t="s">
        <v>3429</v>
      </c>
      <c r="B1395">
        <v>42</v>
      </c>
      <c r="C1395" t="s">
        <v>3430</v>
      </c>
      <c r="E1395" t="s">
        <v>9</v>
      </c>
      <c r="F1395" t="s">
        <v>3431</v>
      </c>
      <c r="G1395" s="1">
        <v>45134</v>
      </c>
    </row>
    <row r="1396" spans="1:7">
      <c r="A1396" t="s">
        <v>3432</v>
      </c>
      <c r="B1396">
        <v>73</v>
      </c>
      <c r="C1396" t="s">
        <v>61</v>
      </c>
      <c r="D1396">
        <v>173464</v>
      </c>
      <c r="E1396" t="s">
        <v>36</v>
      </c>
      <c r="G1396" s="1">
        <v>45008</v>
      </c>
    </row>
    <row r="1397" spans="1:7">
      <c r="A1397" t="s">
        <v>3433</v>
      </c>
      <c r="B1397">
        <v>79</v>
      </c>
      <c r="C1397" t="s">
        <v>3434</v>
      </c>
      <c r="D1397">
        <v>141585</v>
      </c>
      <c r="E1397" t="s">
        <v>27</v>
      </c>
      <c r="F1397">
        <f>1-539-444-7074</f>
        <v>-8056</v>
      </c>
      <c r="G1397" s="1">
        <v>45247</v>
      </c>
    </row>
    <row r="1398" spans="1:7">
      <c r="A1398" t="s">
        <v>3435</v>
      </c>
      <c r="B1398">
        <v>38</v>
      </c>
      <c r="C1398" t="s">
        <v>3436</v>
      </c>
      <c r="D1398">
        <v>185642</v>
      </c>
      <c r="E1398" t="s">
        <v>27</v>
      </c>
      <c r="F1398" t="s">
        <v>3437</v>
      </c>
      <c r="G1398" s="1">
        <v>45188</v>
      </c>
    </row>
    <row r="1399" spans="1:7">
      <c r="A1399" t="s">
        <v>3438</v>
      </c>
      <c r="B1399">
        <v>34</v>
      </c>
      <c r="C1399" t="s">
        <v>3439</v>
      </c>
      <c r="D1399">
        <v>101017</v>
      </c>
      <c r="E1399" t="s">
        <v>27</v>
      </c>
      <c r="F1399" t="s">
        <v>3440</v>
      </c>
      <c r="G1399" s="1">
        <v>45052</v>
      </c>
    </row>
    <row r="1400" spans="1:7">
      <c r="A1400" t="s">
        <v>3441</v>
      </c>
      <c r="B1400">
        <v>72</v>
      </c>
      <c r="C1400" t="s">
        <v>518</v>
      </c>
      <c r="D1400">
        <v>61551</v>
      </c>
      <c r="E1400" t="s">
        <v>36</v>
      </c>
      <c r="F1400" t="s">
        <v>3442</v>
      </c>
      <c r="G1400" s="1">
        <v>44945</v>
      </c>
    </row>
    <row r="1401" spans="1:7">
      <c r="A1401" t="s">
        <v>3443</v>
      </c>
      <c r="B1401">
        <v>57</v>
      </c>
      <c r="C1401" t="s">
        <v>3444</v>
      </c>
      <c r="D1401">
        <v>52800</v>
      </c>
      <c r="E1401" t="s">
        <v>27</v>
      </c>
      <c r="F1401" t="s">
        <v>3445</v>
      </c>
      <c r="G1401" s="1">
        <v>44931</v>
      </c>
    </row>
    <row r="1402" spans="1:7">
      <c r="B1402">
        <v>-10</v>
      </c>
      <c r="C1402" t="s">
        <v>3446</v>
      </c>
      <c r="D1402">
        <v>137340</v>
      </c>
      <c r="E1402" t="s">
        <v>12</v>
      </c>
      <c r="F1402" t="s">
        <v>3447</v>
      </c>
      <c r="G1402" s="1">
        <v>44940</v>
      </c>
    </row>
    <row r="1403" spans="1:7">
      <c r="A1403" t="s">
        <v>3448</v>
      </c>
      <c r="B1403">
        <v>55</v>
      </c>
      <c r="D1403">
        <v>146477</v>
      </c>
      <c r="E1403" t="s">
        <v>36</v>
      </c>
      <c r="F1403">
        <f>1-315-457-9602</f>
        <v>-10373</v>
      </c>
      <c r="G1403" s="1">
        <v>45192</v>
      </c>
    </row>
    <row r="1404" spans="1:7">
      <c r="A1404" t="s">
        <v>3449</v>
      </c>
      <c r="B1404">
        <v>67</v>
      </c>
      <c r="C1404" t="s">
        <v>3450</v>
      </c>
      <c r="D1404">
        <v>34763</v>
      </c>
      <c r="E1404" t="s">
        <v>27</v>
      </c>
      <c r="F1404">
        <v>2402777787</v>
      </c>
      <c r="G1404" s="1">
        <v>45134</v>
      </c>
    </row>
    <row r="1405" spans="1:7">
      <c r="A1405" t="s">
        <v>3451</v>
      </c>
      <c r="B1405">
        <v>45</v>
      </c>
      <c r="E1405" t="s">
        <v>9</v>
      </c>
      <c r="F1405">
        <f>1-828-435-5801</f>
        <v>-7063</v>
      </c>
      <c r="G1405" s="1">
        <v>45049</v>
      </c>
    </row>
    <row r="1406" spans="1:7">
      <c r="A1406" t="s">
        <v>3452</v>
      </c>
      <c r="B1406">
        <v>40</v>
      </c>
      <c r="C1406" t="s">
        <v>518</v>
      </c>
      <c r="D1406">
        <v>34006</v>
      </c>
      <c r="E1406" t="s">
        <v>9</v>
      </c>
      <c r="F1406" t="s">
        <v>3453</v>
      </c>
      <c r="G1406" s="1">
        <v>45076</v>
      </c>
    </row>
    <row r="1407" spans="1:7">
      <c r="A1407" t="s">
        <v>3454</v>
      </c>
      <c r="B1407">
        <v>64</v>
      </c>
      <c r="C1407" t="s">
        <v>3455</v>
      </c>
      <c r="D1407">
        <v>-20000</v>
      </c>
      <c r="E1407" t="s">
        <v>358</v>
      </c>
      <c r="F1407" t="s">
        <v>3456</v>
      </c>
      <c r="G1407" s="1">
        <v>44936</v>
      </c>
    </row>
    <row r="1408" spans="1:7">
      <c r="A1408" t="s">
        <v>3457</v>
      </c>
      <c r="B1408">
        <v>55</v>
      </c>
      <c r="C1408" t="s">
        <v>3458</v>
      </c>
      <c r="D1408">
        <v>132638</v>
      </c>
      <c r="E1408" t="s">
        <v>36</v>
      </c>
      <c r="F1408" t="s">
        <v>3459</v>
      </c>
      <c r="G1408" s="1">
        <v>45165</v>
      </c>
    </row>
    <row r="1409" spans="1:7">
      <c r="A1409" t="s">
        <v>3460</v>
      </c>
      <c r="B1409">
        <v>39</v>
      </c>
      <c r="C1409" t="s">
        <v>3461</v>
      </c>
      <c r="D1409">
        <v>37610</v>
      </c>
      <c r="E1409" t="s">
        <v>27</v>
      </c>
      <c r="F1409" t="s">
        <v>3462</v>
      </c>
      <c r="G1409" s="1">
        <v>45123</v>
      </c>
    </row>
    <row r="1410" spans="1:7">
      <c r="A1410" t="s">
        <v>3463</v>
      </c>
      <c r="B1410">
        <v>23</v>
      </c>
      <c r="D1410">
        <v>153800</v>
      </c>
      <c r="E1410" t="s">
        <v>12</v>
      </c>
      <c r="F1410" t="s">
        <v>3464</v>
      </c>
      <c r="G1410" s="1">
        <v>44950</v>
      </c>
    </row>
    <row r="1411" spans="1:7">
      <c r="A1411" t="s">
        <v>3465</v>
      </c>
      <c r="B1411">
        <v>24</v>
      </c>
      <c r="C1411" t="s">
        <v>3466</v>
      </c>
      <c r="D1411">
        <v>150243</v>
      </c>
      <c r="E1411" t="s">
        <v>27</v>
      </c>
      <c r="F1411">
        <f>1-928-908-4150</f>
        <v>-5985</v>
      </c>
      <c r="G1411" s="1">
        <v>45004</v>
      </c>
    </row>
    <row r="1412" spans="1:7">
      <c r="A1412" t="s">
        <v>3467</v>
      </c>
      <c r="B1412">
        <v>35</v>
      </c>
      <c r="C1412" t="s">
        <v>3468</v>
      </c>
      <c r="D1412">
        <v>143502</v>
      </c>
      <c r="E1412" t="s">
        <v>27</v>
      </c>
      <c r="F1412" t="s">
        <v>3469</v>
      </c>
      <c r="G1412" s="1">
        <v>45080</v>
      </c>
    </row>
    <row r="1413" spans="1:7">
      <c r="A1413" t="s">
        <v>3470</v>
      </c>
      <c r="B1413">
        <v>38</v>
      </c>
      <c r="C1413" t="s">
        <v>3471</v>
      </c>
      <c r="D1413">
        <v>105020</v>
      </c>
      <c r="E1413" t="s">
        <v>12</v>
      </c>
      <c r="F1413">
        <f>1-491-686-7198</f>
        <v>-8374</v>
      </c>
      <c r="G1413" s="1">
        <v>45089</v>
      </c>
    </row>
    <row r="1414" spans="1:7">
      <c r="A1414" t="s">
        <v>3472</v>
      </c>
      <c r="B1414">
        <v>74</v>
      </c>
      <c r="D1414">
        <v>172159</v>
      </c>
      <c r="E1414" t="s">
        <v>27</v>
      </c>
      <c r="F1414">
        <v>2855264537</v>
      </c>
      <c r="G1414" s="1">
        <v>45025</v>
      </c>
    </row>
    <row r="1415" spans="1:7">
      <c r="A1415" t="s">
        <v>3473</v>
      </c>
      <c r="B1415">
        <v>41</v>
      </c>
      <c r="C1415" t="s">
        <v>3474</v>
      </c>
      <c r="D1415">
        <v>171172</v>
      </c>
      <c r="E1415" t="s">
        <v>12</v>
      </c>
      <c r="F1415">
        <f>1-170-832-7493</f>
        <v>-8494</v>
      </c>
      <c r="G1415" s="1">
        <v>45213</v>
      </c>
    </row>
    <row r="1416" spans="1:7">
      <c r="A1416" t="s">
        <v>3475</v>
      </c>
      <c r="B1416">
        <v>35</v>
      </c>
      <c r="C1416" t="s">
        <v>3476</v>
      </c>
      <c r="E1416" t="s">
        <v>36</v>
      </c>
      <c r="F1416" t="s">
        <v>3477</v>
      </c>
      <c r="G1416" s="1">
        <v>45249</v>
      </c>
    </row>
    <row r="1417" spans="1:7">
      <c r="A1417" t="s">
        <v>3478</v>
      </c>
      <c r="B1417">
        <v>-25</v>
      </c>
      <c r="C1417" t="s">
        <v>3479</v>
      </c>
      <c r="D1417">
        <v>107527</v>
      </c>
      <c r="E1417" t="s">
        <v>12</v>
      </c>
      <c r="F1417" t="s">
        <v>3480</v>
      </c>
      <c r="G1417" s="1">
        <v>45038</v>
      </c>
    </row>
    <row r="1418" spans="1:7">
      <c r="A1418" t="s">
        <v>3481</v>
      </c>
      <c r="B1418">
        <v>62</v>
      </c>
      <c r="C1418" t="s">
        <v>3482</v>
      </c>
      <c r="D1418">
        <v>106425</v>
      </c>
      <c r="E1418" t="s">
        <v>9</v>
      </c>
      <c r="F1418" t="s">
        <v>3483</v>
      </c>
      <c r="G1418" s="1">
        <v>45238</v>
      </c>
    </row>
    <row r="1419" spans="1:7">
      <c r="A1419" t="s">
        <v>3484</v>
      </c>
      <c r="B1419">
        <v>40</v>
      </c>
      <c r="C1419" t="s">
        <v>3485</v>
      </c>
      <c r="D1419">
        <v>162681</v>
      </c>
      <c r="E1419" t="s">
        <v>36</v>
      </c>
      <c r="F1419">
        <v>3408399111</v>
      </c>
      <c r="G1419" s="1">
        <v>45199</v>
      </c>
    </row>
    <row r="1420" spans="1:7">
      <c r="A1420" t="s">
        <v>3486</v>
      </c>
      <c r="B1420">
        <v>65</v>
      </c>
      <c r="C1420" t="s">
        <v>3487</v>
      </c>
      <c r="D1420">
        <v>105432</v>
      </c>
      <c r="E1420" t="s">
        <v>9</v>
      </c>
      <c r="F1420" t="s">
        <v>3488</v>
      </c>
      <c r="G1420" s="1">
        <v>45188</v>
      </c>
    </row>
    <row r="1421" spans="1:7">
      <c r="A1421" t="s">
        <v>3489</v>
      </c>
      <c r="B1421">
        <v>71</v>
      </c>
      <c r="D1421">
        <v>49023</v>
      </c>
      <c r="E1421" t="s">
        <v>12</v>
      </c>
      <c r="F1421" t="s">
        <v>3490</v>
      </c>
      <c r="G1421" s="1">
        <v>44964</v>
      </c>
    </row>
    <row r="1422" spans="1:7">
      <c r="B1422">
        <v>78</v>
      </c>
      <c r="C1422" t="s">
        <v>3491</v>
      </c>
      <c r="D1422">
        <v>91360</v>
      </c>
      <c r="E1422" t="s">
        <v>36</v>
      </c>
      <c r="F1422" t="s">
        <v>3492</v>
      </c>
      <c r="G1422" s="1">
        <v>44993</v>
      </c>
    </row>
    <row r="1423" spans="1:7">
      <c r="A1423" t="s">
        <v>3493</v>
      </c>
      <c r="B1423">
        <v>38</v>
      </c>
      <c r="C1423" t="s">
        <v>3494</v>
      </c>
      <c r="D1423">
        <v>163851</v>
      </c>
      <c r="E1423" t="s">
        <v>9</v>
      </c>
      <c r="F1423">
        <v>4963167022</v>
      </c>
      <c r="G1423" s="1">
        <v>45261</v>
      </c>
    </row>
    <row r="1424" spans="1:7">
      <c r="A1424" t="s">
        <v>3495</v>
      </c>
      <c r="B1424">
        <v>45</v>
      </c>
      <c r="C1424" t="s">
        <v>3496</v>
      </c>
      <c r="D1424">
        <v>141560</v>
      </c>
      <c r="E1424" t="s">
        <v>873</v>
      </c>
      <c r="G1424" s="1">
        <v>45036</v>
      </c>
    </row>
    <row r="1425" spans="1:7">
      <c r="A1425" t="s">
        <v>3497</v>
      </c>
      <c r="B1425">
        <v>21</v>
      </c>
      <c r="C1425" t="s">
        <v>3498</v>
      </c>
      <c r="D1425">
        <v>56505</v>
      </c>
      <c r="E1425" t="s">
        <v>9</v>
      </c>
      <c r="F1425" t="s">
        <v>3499</v>
      </c>
      <c r="G1425" s="1">
        <v>44997</v>
      </c>
    </row>
    <row r="1426" spans="1:7">
      <c r="A1426" t="s">
        <v>3500</v>
      </c>
      <c r="B1426">
        <v>54</v>
      </c>
      <c r="C1426" t="s">
        <v>3501</v>
      </c>
      <c r="D1426">
        <v>94110</v>
      </c>
      <c r="E1426" t="s">
        <v>12</v>
      </c>
      <c r="F1426" t="s">
        <v>3502</v>
      </c>
      <c r="G1426" s="1">
        <v>44985</v>
      </c>
    </row>
    <row r="1427" spans="1:7">
      <c r="A1427" t="s">
        <v>3503</v>
      </c>
      <c r="C1427" t="s">
        <v>594</v>
      </c>
      <c r="D1427">
        <v>85798</v>
      </c>
      <c r="E1427" t="s">
        <v>36</v>
      </c>
      <c r="F1427" t="s">
        <v>3504</v>
      </c>
      <c r="G1427" s="1">
        <v>45036</v>
      </c>
    </row>
    <row r="1428" spans="1:7">
      <c r="A1428" t="s">
        <v>3505</v>
      </c>
      <c r="B1428">
        <v>62</v>
      </c>
      <c r="D1428">
        <v>199331</v>
      </c>
      <c r="E1428" t="s">
        <v>12</v>
      </c>
      <c r="F1428">
        <v>5577485214</v>
      </c>
      <c r="G1428" s="1">
        <v>45212</v>
      </c>
    </row>
    <row r="1429" spans="1:7">
      <c r="A1429" t="s">
        <v>3506</v>
      </c>
      <c r="B1429">
        <v>0</v>
      </c>
      <c r="C1429" t="s">
        <v>389</v>
      </c>
      <c r="D1429">
        <v>144816</v>
      </c>
      <c r="E1429" t="s">
        <v>9</v>
      </c>
      <c r="F1429" t="s">
        <v>3507</v>
      </c>
      <c r="G1429" s="1">
        <v>45100</v>
      </c>
    </row>
    <row r="1430" spans="1:7">
      <c r="A1430" t="s">
        <v>3508</v>
      </c>
      <c r="B1430">
        <v>38</v>
      </c>
      <c r="C1430" t="s">
        <v>3509</v>
      </c>
      <c r="D1430">
        <v>30727</v>
      </c>
      <c r="E1430" t="s">
        <v>9</v>
      </c>
      <c r="F1430" t="s">
        <v>3510</v>
      </c>
      <c r="G1430" s="1">
        <v>45031</v>
      </c>
    </row>
    <row r="1431" spans="1:7">
      <c r="A1431" t="s">
        <v>3511</v>
      </c>
      <c r="B1431">
        <v>59</v>
      </c>
      <c r="C1431" t="s">
        <v>170</v>
      </c>
      <c r="D1431">
        <v>194055</v>
      </c>
      <c r="E1431" t="s">
        <v>27</v>
      </c>
      <c r="F1431" t="s">
        <v>3512</v>
      </c>
      <c r="G1431" s="1">
        <v>45142</v>
      </c>
    </row>
    <row r="1432" spans="1:7">
      <c r="A1432" t="s">
        <v>3513</v>
      </c>
      <c r="B1432">
        <v>20</v>
      </c>
      <c r="C1432" t="s">
        <v>3514</v>
      </c>
      <c r="D1432">
        <v>90726</v>
      </c>
      <c r="E1432" t="s">
        <v>9</v>
      </c>
      <c r="F1432" t="s">
        <v>3515</v>
      </c>
      <c r="G1432" s="1">
        <v>44967</v>
      </c>
    </row>
    <row r="1433" spans="1:7">
      <c r="A1433" t="s">
        <v>3516</v>
      </c>
      <c r="B1433">
        <v>39</v>
      </c>
      <c r="D1433">
        <v>137967</v>
      </c>
      <c r="E1433" t="s">
        <v>27</v>
      </c>
      <c r="F1433" t="s">
        <v>3517</v>
      </c>
      <c r="G1433" s="1">
        <v>45192</v>
      </c>
    </row>
    <row r="1434" spans="1:7">
      <c r="A1434" t="s">
        <v>3518</v>
      </c>
      <c r="B1434">
        <v>300</v>
      </c>
      <c r="C1434" t="s">
        <v>3519</v>
      </c>
      <c r="D1434">
        <v>40451</v>
      </c>
      <c r="E1434" t="s">
        <v>27</v>
      </c>
      <c r="F1434" t="s">
        <v>3520</v>
      </c>
      <c r="G1434" s="1">
        <v>45125</v>
      </c>
    </row>
    <row r="1435" spans="1:7">
      <c r="A1435" t="s">
        <v>3521</v>
      </c>
      <c r="B1435">
        <v>50</v>
      </c>
      <c r="C1435" t="s">
        <v>3522</v>
      </c>
      <c r="E1435" t="s">
        <v>9</v>
      </c>
      <c r="F1435">
        <v>1471184735</v>
      </c>
      <c r="G1435" s="1">
        <v>44996</v>
      </c>
    </row>
    <row r="1436" spans="1:7">
      <c r="A1436" t="s">
        <v>3523</v>
      </c>
      <c r="B1436">
        <v>39</v>
      </c>
      <c r="C1436" t="s">
        <v>3524</v>
      </c>
      <c r="D1436">
        <v>-5000</v>
      </c>
      <c r="E1436" t="s">
        <v>9</v>
      </c>
      <c r="F1436">
        <f>1-463-832-3500</f>
        <v>-4794</v>
      </c>
      <c r="G1436" s="1">
        <v>45263</v>
      </c>
    </row>
    <row r="1437" spans="1:7">
      <c r="A1437" t="s">
        <v>3525</v>
      </c>
      <c r="B1437">
        <v>63</v>
      </c>
      <c r="C1437" t="s">
        <v>3526</v>
      </c>
      <c r="D1437">
        <v>53664</v>
      </c>
      <c r="E1437" t="s">
        <v>36</v>
      </c>
      <c r="F1437" t="s">
        <v>3527</v>
      </c>
      <c r="G1437" s="1">
        <v>44993</v>
      </c>
    </row>
    <row r="1438" spans="1:7">
      <c r="A1438" t="s">
        <v>3528</v>
      </c>
      <c r="B1438">
        <v>22</v>
      </c>
      <c r="C1438" t="s">
        <v>3529</v>
      </c>
      <c r="D1438">
        <v>116724</v>
      </c>
      <c r="E1438" t="s">
        <v>27</v>
      </c>
      <c r="F1438">
        <v>2850914417</v>
      </c>
      <c r="G1438" s="1">
        <v>44971</v>
      </c>
    </row>
    <row r="1439" spans="1:7">
      <c r="A1439" t="s">
        <v>3530</v>
      </c>
      <c r="B1439">
        <v>45</v>
      </c>
      <c r="C1439" t="s">
        <v>3531</v>
      </c>
      <c r="D1439">
        <v>165693</v>
      </c>
      <c r="E1439" t="s">
        <v>27</v>
      </c>
      <c r="F1439" t="s">
        <v>3532</v>
      </c>
      <c r="G1439" s="1">
        <v>45232</v>
      </c>
    </row>
    <row r="1440" spans="1:7">
      <c r="A1440" t="s">
        <v>3533</v>
      </c>
      <c r="B1440">
        <v>66</v>
      </c>
      <c r="C1440" t="s">
        <v>3534</v>
      </c>
      <c r="D1440">
        <v>198112</v>
      </c>
      <c r="E1440" t="s">
        <v>27</v>
      </c>
      <c r="F1440" t="s">
        <v>3535</v>
      </c>
      <c r="G1440" t="s">
        <v>371</v>
      </c>
    </row>
    <row r="1441" spans="1:7">
      <c r="A1441" t="s">
        <v>3536</v>
      </c>
      <c r="B1441">
        <v>68</v>
      </c>
      <c r="C1441" t="s">
        <v>3537</v>
      </c>
      <c r="D1441">
        <v>130356</v>
      </c>
      <c r="E1441" t="s">
        <v>9</v>
      </c>
      <c r="F1441">
        <v>9585846518</v>
      </c>
      <c r="G1441" s="1">
        <v>45247</v>
      </c>
    </row>
    <row r="1442" spans="1:7">
      <c r="A1442" t="s">
        <v>3538</v>
      </c>
      <c r="B1442">
        <v>0</v>
      </c>
      <c r="C1442" t="s">
        <v>3539</v>
      </c>
      <c r="D1442">
        <v>52625</v>
      </c>
      <c r="E1442" t="s">
        <v>36</v>
      </c>
      <c r="F1442" t="s">
        <v>3540</v>
      </c>
      <c r="G1442" s="1">
        <v>44927</v>
      </c>
    </row>
    <row r="1443" spans="1:7">
      <c r="B1443">
        <v>44</v>
      </c>
      <c r="C1443" t="s">
        <v>3541</v>
      </c>
      <c r="E1443" t="s">
        <v>27</v>
      </c>
      <c r="F1443" t="s">
        <v>3542</v>
      </c>
      <c r="G1443" s="1">
        <v>45070</v>
      </c>
    </row>
    <row r="1444" spans="1:7">
      <c r="A1444" t="s">
        <v>3543</v>
      </c>
      <c r="B1444">
        <v>31</v>
      </c>
      <c r="C1444" t="s">
        <v>3544</v>
      </c>
      <c r="D1444">
        <v>168928</v>
      </c>
      <c r="E1444" t="s">
        <v>36</v>
      </c>
      <c r="F1444" t="s">
        <v>3545</v>
      </c>
      <c r="G1444" s="1">
        <v>45102</v>
      </c>
    </row>
    <row r="1445" spans="1:7">
      <c r="A1445" t="s">
        <v>3546</v>
      </c>
      <c r="B1445">
        <v>69</v>
      </c>
      <c r="D1445">
        <v>152746</v>
      </c>
      <c r="E1445" t="s">
        <v>27</v>
      </c>
      <c r="F1445" t="s">
        <v>3547</v>
      </c>
      <c r="G1445" s="1">
        <v>45074</v>
      </c>
    </row>
    <row r="1446" spans="1:7">
      <c r="A1446" t="s">
        <v>3548</v>
      </c>
      <c r="B1446">
        <v>26</v>
      </c>
      <c r="C1446" t="s">
        <v>3549</v>
      </c>
      <c r="D1446">
        <v>124913</v>
      </c>
      <c r="E1446" t="s">
        <v>27</v>
      </c>
      <c r="F1446" t="s">
        <v>3550</v>
      </c>
      <c r="G1446" s="1">
        <v>45048</v>
      </c>
    </row>
    <row r="1447" spans="1:7">
      <c r="A1447" t="s">
        <v>3551</v>
      </c>
      <c r="B1447">
        <v>63</v>
      </c>
      <c r="C1447" t="s">
        <v>3552</v>
      </c>
      <c r="D1447">
        <v>107707</v>
      </c>
      <c r="E1447" t="s">
        <v>9</v>
      </c>
      <c r="F1447" t="s">
        <v>3553</v>
      </c>
      <c r="G1447" s="1">
        <v>45264</v>
      </c>
    </row>
    <row r="1448" spans="1:7">
      <c r="A1448" t="s">
        <v>3554</v>
      </c>
      <c r="B1448">
        <v>-100</v>
      </c>
      <c r="C1448" t="s">
        <v>3555</v>
      </c>
      <c r="E1448" t="s">
        <v>358</v>
      </c>
      <c r="F1448" t="s">
        <v>3556</v>
      </c>
      <c r="G1448" s="1">
        <v>45089</v>
      </c>
    </row>
    <row r="1449" spans="1:7">
      <c r="A1449" t="s">
        <v>3557</v>
      </c>
      <c r="B1449">
        <v>56</v>
      </c>
      <c r="C1449" t="s">
        <v>3558</v>
      </c>
      <c r="D1449">
        <v>141718</v>
      </c>
      <c r="E1449" t="s">
        <v>90</v>
      </c>
      <c r="F1449">
        <f>1-679-443-5909</f>
        <v>-7030</v>
      </c>
      <c r="G1449" s="1">
        <v>45290</v>
      </c>
    </row>
    <row r="1450" spans="1:7">
      <c r="A1450" t="s">
        <v>3559</v>
      </c>
      <c r="B1450">
        <v>63</v>
      </c>
      <c r="C1450" t="s">
        <v>3560</v>
      </c>
      <c r="D1450">
        <v>51576</v>
      </c>
      <c r="E1450" t="s">
        <v>12</v>
      </c>
      <c r="G1450" s="1">
        <v>44999</v>
      </c>
    </row>
    <row r="1451" spans="1:7">
      <c r="A1451" t="s">
        <v>3561</v>
      </c>
      <c r="B1451">
        <v>74</v>
      </c>
      <c r="D1451">
        <v>51322</v>
      </c>
      <c r="E1451" t="s">
        <v>12</v>
      </c>
      <c r="F1451" t="s">
        <v>3562</v>
      </c>
      <c r="G1451" s="1">
        <v>45286</v>
      </c>
    </row>
    <row r="1452" spans="1:7">
      <c r="A1452" t="s">
        <v>3563</v>
      </c>
      <c r="B1452">
        <v>79</v>
      </c>
      <c r="C1452" t="s">
        <v>3564</v>
      </c>
      <c r="D1452">
        <v>126090</v>
      </c>
      <c r="E1452" t="s">
        <v>36</v>
      </c>
      <c r="F1452" t="s">
        <v>3565</v>
      </c>
    </row>
    <row r="1453" spans="1:7">
      <c r="A1453" t="s">
        <v>3566</v>
      </c>
      <c r="B1453">
        <v>48</v>
      </c>
      <c r="E1453" t="s">
        <v>9</v>
      </c>
      <c r="F1453">
        <v>6040298842</v>
      </c>
      <c r="G1453" s="1">
        <v>45121</v>
      </c>
    </row>
    <row r="1454" spans="1:7">
      <c r="A1454" t="s">
        <v>3567</v>
      </c>
      <c r="B1454">
        <v>42</v>
      </c>
      <c r="C1454" t="s">
        <v>3568</v>
      </c>
      <c r="D1454">
        <v>54918</v>
      </c>
      <c r="E1454" t="s">
        <v>9</v>
      </c>
      <c r="F1454" t="s">
        <v>3569</v>
      </c>
      <c r="G1454" s="1">
        <v>45083</v>
      </c>
    </row>
    <row r="1455" spans="1:7">
      <c r="A1455" t="s">
        <v>3570</v>
      </c>
      <c r="B1455">
        <v>500</v>
      </c>
      <c r="C1455" t="s">
        <v>3571</v>
      </c>
      <c r="D1455">
        <v>107986</v>
      </c>
      <c r="E1455" t="s">
        <v>27</v>
      </c>
      <c r="F1455">
        <v>7663237365</v>
      </c>
      <c r="G1455" s="1">
        <v>45042</v>
      </c>
    </row>
    <row r="1456" spans="1:7">
      <c r="A1456" t="s">
        <v>3572</v>
      </c>
      <c r="C1456" t="s">
        <v>3573</v>
      </c>
      <c r="E1456" t="s">
        <v>36</v>
      </c>
      <c r="F1456" t="s">
        <v>3574</v>
      </c>
      <c r="G1456" s="1">
        <v>45041</v>
      </c>
    </row>
    <row r="1457" spans="1:7">
      <c r="A1457" t="s">
        <v>3575</v>
      </c>
      <c r="B1457">
        <v>36</v>
      </c>
      <c r="C1457" t="s">
        <v>3576</v>
      </c>
      <c r="D1457">
        <v>182614</v>
      </c>
      <c r="E1457" t="s">
        <v>36</v>
      </c>
      <c r="F1457">
        <v>4267980072</v>
      </c>
      <c r="G1457" s="1">
        <v>45075</v>
      </c>
    </row>
    <row r="1458" spans="1:7">
      <c r="A1458" t="s">
        <v>3577</v>
      </c>
      <c r="B1458">
        <v>23</v>
      </c>
      <c r="C1458" t="s">
        <v>3578</v>
      </c>
      <c r="D1458">
        <v>41094</v>
      </c>
      <c r="E1458" t="s">
        <v>12</v>
      </c>
      <c r="F1458">
        <v>5241790593</v>
      </c>
      <c r="G1458" s="1">
        <v>45168</v>
      </c>
    </row>
    <row r="1459" spans="1:7">
      <c r="A1459" t="s">
        <v>3579</v>
      </c>
      <c r="B1459">
        <v>43</v>
      </c>
      <c r="C1459" t="s">
        <v>3580</v>
      </c>
      <c r="D1459">
        <v>59863</v>
      </c>
      <c r="E1459" t="s">
        <v>27</v>
      </c>
      <c r="F1459" t="s">
        <v>3581</v>
      </c>
      <c r="G1459" s="1">
        <v>45151</v>
      </c>
    </row>
    <row r="1460" spans="1:7">
      <c r="A1460" t="s">
        <v>2414</v>
      </c>
      <c r="B1460">
        <v>57</v>
      </c>
      <c r="C1460" t="s">
        <v>3582</v>
      </c>
      <c r="D1460">
        <v>145700</v>
      </c>
      <c r="E1460" t="s">
        <v>36</v>
      </c>
      <c r="F1460" t="s">
        <v>3583</v>
      </c>
      <c r="G1460" s="1">
        <v>44953</v>
      </c>
    </row>
    <row r="1461" spans="1:7">
      <c r="A1461" t="s">
        <v>3584</v>
      </c>
      <c r="B1461">
        <v>59</v>
      </c>
      <c r="C1461" t="s">
        <v>3585</v>
      </c>
      <c r="D1461">
        <v>0</v>
      </c>
      <c r="E1461" t="s">
        <v>36</v>
      </c>
      <c r="F1461">
        <v>7909326720</v>
      </c>
      <c r="G1461" s="1">
        <v>45035</v>
      </c>
    </row>
    <row r="1462" spans="1:7">
      <c r="A1462" t="s">
        <v>3586</v>
      </c>
      <c r="B1462">
        <v>22</v>
      </c>
      <c r="C1462" t="s">
        <v>3587</v>
      </c>
      <c r="E1462" t="s">
        <v>36</v>
      </c>
      <c r="F1462">
        <v>3442183999</v>
      </c>
      <c r="G1462" s="1">
        <v>44959</v>
      </c>
    </row>
    <row r="1463" spans="1:7">
      <c r="A1463" t="s">
        <v>3588</v>
      </c>
      <c r="B1463">
        <v>73</v>
      </c>
      <c r="C1463" t="s">
        <v>3589</v>
      </c>
      <c r="E1463" t="s">
        <v>27</v>
      </c>
      <c r="F1463" t="s">
        <v>3590</v>
      </c>
      <c r="G1463" s="1">
        <v>45180</v>
      </c>
    </row>
    <row r="1464" spans="1:7">
      <c r="A1464" t="s">
        <v>3591</v>
      </c>
      <c r="B1464">
        <v>57</v>
      </c>
      <c r="C1464" t="s">
        <v>3592</v>
      </c>
      <c r="D1464">
        <v>86683</v>
      </c>
      <c r="E1464" t="s">
        <v>12</v>
      </c>
      <c r="F1464" t="s">
        <v>3593</v>
      </c>
      <c r="G1464" s="1">
        <v>45185</v>
      </c>
    </row>
    <row r="1465" spans="1:7">
      <c r="A1465" t="s">
        <v>3594</v>
      </c>
      <c r="B1465">
        <v>47</v>
      </c>
      <c r="C1465" t="s">
        <v>3595</v>
      </c>
      <c r="D1465">
        <v>60099</v>
      </c>
      <c r="E1465" t="s">
        <v>9</v>
      </c>
      <c r="F1465">
        <f>1-443-167-7156</f>
        <v>-7765</v>
      </c>
      <c r="G1465" s="1">
        <v>45077</v>
      </c>
    </row>
    <row r="1466" spans="1:7">
      <c r="A1466" t="s">
        <v>3596</v>
      </c>
      <c r="B1466">
        <v>57</v>
      </c>
      <c r="C1466" t="s">
        <v>3597</v>
      </c>
      <c r="D1466">
        <v>143457</v>
      </c>
      <c r="E1466" t="s">
        <v>27</v>
      </c>
      <c r="F1466" t="s">
        <v>3598</v>
      </c>
      <c r="G1466" s="1">
        <v>45054</v>
      </c>
    </row>
    <row r="1467" spans="1:7">
      <c r="A1467" t="s">
        <v>3599</v>
      </c>
      <c r="B1467">
        <v>22</v>
      </c>
      <c r="C1467" t="s">
        <v>3600</v>
      </c>
      <c r="D1467">
        <v>50836</v>
      </c>
      <c r="E1467" t="s">
        <v>27</v>
      </c>
      <c r="F1467" t="s">
        <v>3601</v>
      </c>
      <c r="G1467" s="1">
        <v>45094</v>
      </c>
    </row>
    <row r="1468" spans="1:7">
      <c r="B1468">
        <v>45</v>
      </c>
      <c r="C1468" t="s">
        <v>61</v>
      </c>
      <c r="E1468" t="s">
        <v>9</v>
      </c>
      <c r="F1468" t="s">
        <v>3602</v>
      </c>
      <c r="G1468" s="1">
        <v>45213</v>
      </c>
    </row>
    <row r="1469" spans="1:7">
      <c r="A1469" t="s">
        <v>3603</v>
      </c>
      <c r="B1469">
        <v>74</v>
      </c>
      <c r="C1469" t="s">
        <v>3604</v>
      </c>
      <c r="D1469">
        <v>175417</v>
      </c>
      <c r="E1469" t="s">
        <v>12</v>
      </c>
      <c r="F1469" t="s">
        <v>3605</v>
      </c>
      <c r="G1469" s="1">
        <v>45281</v>
      </c>
    </row>
    <row r="1470" spans="1:7">
      <c r="A1470" t="s">
        <v>3606</v>
      </c>
      <c r="B1470">
        <v>58</v>
      </c>
      <c r="C1470" t="s">
        <v>3607</v>
      </c>
      <c r="D1470">
        <v>105791</v>
      </c>
      <c r="E1470" t="s">
        <v>36</v>
      </c>
      <c r="F1470" t="s">
        <v>3608</v>
      </c>
      <c r="G1470" s="1">
        <v>45211</v>
      </c>
    </row>
    <row r="1471" spans="1:7">
      <c r="A1471" t="s">
        <v>3609</v>
      </c>
      <c r="B1471">
        <v>32</v>
      </c>
      <c r="C1471" t="s">
        <v>3610</v>
      </c>
      <c r="D1471">
        <v>95149</v>
      </c>
      <c r="E1471" t="s">
        <v>36</v>
      </c>
      <c r="F1471">
        <f>1-460-720-9818</f>
        <v>-10997</v>
      </c>
      <c r="G1471" s="1">
        <v>45048</v>
      </c>
    </row>
    <row r="1472" spans="1:7">
      <c r="A1472" t="s">
        <v>3611</v>
      </c>
      <c r="B1472">
        <v>32</v>
      </c>
      <c r="C1472" t="s">
        <v>169</v>
      </c>
      <c r="D1472">
        <v>0</v>
      </c>
      <c r="E1472" t="s">
        <v>12</v>
      </c>
      <c r="F1472" t="s">
        <v>3612</v>
      </c>
      <c r="G1472" s="1">
        <v>44969</v>
      </c>
    </row>
    <row r="1473" spans="1:7">
      <c r="A1473" t="s">
        <v>3613</v>
      </c>
      <c r="B1473">
        <v>73</v>
      </c>
      <c r="C1473" t="s">
        <v>3614</v>
      </c>
      <c r="D1473">
        <v>156503</v>
      </c>
      <c r="E1473" t="s">
        <v>9</v>
      </c>
      <c r="F1473" t="s">
        <v>3615</v>
      </c>
      <c r="G1473" s="1">
        <v>45119</v>
      </c>
    </row>
    <row r="1474" spans="1:7">
      <c r="A1474" t="s">
        <v>3616</v>
      </c>
      <c r="B1474">
        <v>79</v>
      </c>
      <c r="C1474" t="s">
        <v>3617</v>
      </c>
      <c r="D1474">
        <v>85311</v>
      </c>
      <c r="E1474" t="s">
        <v>27</v>
      </c>
      <c r="F1474">
        <v>8103623449</v>
      </c>
      <c r="G1474" s="1">
        <v>45168</v>
      </c>
    </row>
    <row r="1475" spans="1:7">
      <c r="A1475" t="s">
        <v>3618</v>
      </c>
      <c r="B1475">
        <v>21</v>
      </c>
      <c r="C1475" t="s">
        <v>3619</v>
      </c>
      <c r="D1475">
        <v>52419</v>
      </c>
      <c r="E1475" t="s">
        <v>49</v>
      </c>
      <c r="F1475" t="s">
        <v>3620</v>
      </c>
      <c r="G1475" s="1">
        <v>45146</v>
      </c>
    </row>
    <row r="1476" spans="1:7">
      <c r="A1476" t="s">
        <v>3621</v>
      </c>
      <c r="B1476">
        <v>29</v>
      </c>
      <c r="D1476">
        <v>87786</v>
      </c>
      <c r="E1476" t="s">
        <v>27</v>
      </c>
      <c r="F1476" t="s">
        <v>3622</v>
      </c>
      <c r="G1476" s="1">
        <v>45006</v>
      </c>
    </row>
    <row r="1477" spans="1:7">
      <c r="A1477" t="s">
        <v>3623</v>
      </c>
      <c r="B1477">
        <v>54</v>
      </c>
      <c r="C1477" t="s">
        <v>389</v>
      </c>
      <c r="D1477">
        <v>171753</v>
      </c>
      <c r="E1477" t="s">
        <v>12</v>
      </c>
      <c r="F1477">
        <v>3334248722</v>
      </c>
      <c r="G1477" s="1">
        <v>45003</v>
      </c>
    </row>
    <row r="1478" spans="1:7">
      <c r="A1478" t="s">
        <v>3624</v>
      </c>
      <c r="B1478">
        <v>69</v>
      </c>
      <c r="C1478" t="s">
        <v>3625</v>
      </c>
      <c r="D1478">
        <v>62441</v>
      </c>
      <c r="E1478" t="s">
        <v>36</v>
      </c>
      <c r="F1478">
        <f>1-350-275-2167</f>
        <v>-2791</v>
      </c>
      <c r="G1478" s="1">
        <v>45057</v>
      </c>
    </row>
    <row r="1479" spans="1:7">
      <c r="A1479" t="s">
        <v>3626</v>
      </c>
      <c r="B1479">
        <v>57</v>
      </c>
      <c r="C1479" t="s">
        <v>518</v>
      </c>
      <c r="D1479">
        <v>93965</v>
      </c>
      <c r="E1479" t="s">
        <v>27</v>
      </c>
      <c r="F1479" t="s">
        <v>3627</v>
      </c>
      <c r="G1479" s="1">
        <v>45036</v>
      </c>
    </row>
    <row r="1480" spans="1:7">
      <c r="A1480" t="s">
        <v>3628</v>
      </c>
      <c r="B1480">
        <v>51</v>
      </c>
      <c r="C1480" t="s">
        <v>3629</v>
      </c>
      <c r="E1480" t="s">
        <v>9</v>
      </c>
      <c r="F1480" t="s">
        <v>3630</v>
      </c>
      <c r="G1480" s="1">
        <v>45250</v>
      </c>
    </row>
    <row r="1481" spans="1:7">
      <c r="A1481" t="s">
        <v>3631</v>
      </c>
      <c r="B1481">
        <v>73</v>
      </c>
      <c r="C1481" t="s">
        <v>478</v>
      </c>
      <c r="D1481">
        <v>169993</v>
      </c>
      <c r="E1481" t="s">
        <v>9</v>
      </c>
      <c r="F1481" t="s">
        <v>3632</v>
      </c>
      <c r="G1481" s="1">
        <v>45069</v>
      </c>
    </row>
    <row r="1482" spans="1:7">
      <c r="A1482" t="s">
        <v>3633</v>
      </c>
      <c r="B1482">
        <v>24</v>
      </c>
      <c r="C1482" t="s">
        <v>3634</v>
      </c>
      <c r="D1482">
        <v>138369</v>
      </c>
      <c r="E1482" t="s">
        <v>9</v>
      </c>
      <c r="F1482" t="s">
        <v>3635</v>
      </c>
      <c r="G1482" s="1">
        <v>44972</v>
      </c>
    </row>
    <row r="1483" spans="1:7">
      <c r="A1483" t="s">
        <v>490</v>
      </c>
      <c r="B1483">
        <v>41</v>
      </c>
      <c r="C1483" t="s">
        <v>3636</v>
      </c>
      <c r="D1483">
        <v>107225</v>
      </c>
      <c r="E1483" t="s">
        <v>12</v>
      </c>
      <c r="F1483" t="s">
        <v>3637</v>
      </c>
      <c r="G1483" s="1">
        <v>45060</v>
      </c>
    </row>
    <row r="1484" spans="1:7">
      <c r="A1484" t="s">
        <v>3638</v>
      </c>
      <c r="B1484">
        <v>44</v>
      </c>
      <c r="C1484" t="s">
        <v>3639</v>
      </c>
      <c r="D1484">
        <v>39837</v>
      </c>
      <c r="E1484" t="s">
        <v>27</v>
      </c>
      <c r="F1484" t="s">
        <v>3640</v>
      </c>
      <c r="G1484" s="1">
        <v>44986</v>
      </c>
    </row>
    <row r="1485" spans="1:7">
      <c r="A1485" t="s">
        <v>3641</v>
      </c>
      <c r="B1485">
        <v>76</v>
      </c>
      <c r="C1485" t="s">
        <v>3642</v>
      </c>
      <c r="D1485">
        <v>105033</v>
      </c>
      <c r="E1485" t="s">
        <v>12</v>
      </c>
      <c r="F1485" t="s">
        <v>3643</v>
      </c>
      <c r="G1485" s="1">
        <v>44980</v>
      </c>
    </row>
    <row r="1486" spans="1:7">
      <c r="A1486" t="s">
        <v>3644</v>
      </c>
      <c r="B1486">
        <v>34</v>
      </c>
      <c r="C1486" t="s">
        <v>3645</v>
      </c>
      <c r="D1486">
        <v>-50000</v>
      </c>
      <c r="E1486" t="s">
        <v>9</v>
      </c>
      <c r="F1486" t="s">
        <v>3646</v>
      </c>
      <c r="G1486" s="1">
        <v>45255</v>
      </c>
    </row>
    <row r="1487" spans="1:7">
      <c r="A1487" t="s">
        <v>3647</v>
      </c>
      <c r="B1487">
        <v>50</v>
      </c>
      <c r="C1487" t="s">
        <v>3648</v>
      </c>
      <c r="E1487" t="s">
        <v>27</v>
      </c>
      <c r="F1487">
        <f>1-293-997-7929</f>
        <v>-9218</v>
      </c>
      <c r="G1487" s="1">
        <v>45255</v>
      </c>
    </row>
    <row r="1488" spans="1:7">
      <c r="A1488" t="s">
        <v>3649</v>
      </c>
      <c r="B1488">
        <v>54</v>
      </c>
      <c r="C1488" t="s">
        <v>3650</v>
      </c>
      <c r="D1488">
        <v>91576</v>
      </c>
      <c r="E1488" t="s">
        <v>36</v>
      </c>
      <c r="F1488">
        <v>2822019158</v>
      </c>
      <c r="G1488" s="1">
        <v>44939</v>
      </c>
    </row>
    <row r="1489" spans="1:7">
      <c r="A1489" t="s">
        <v>3651</v>
      </c>
      <c r="B1489">
        <v>49</v>
      </c>
      <c r="C1489" t="s">
        <v>3652</v>
      </c>
      <c r="D1489">
        <v>121649</v>
      </c>
      <c r="E1489" t="s">
        <v>9</v>
      </c>
      <c r="F1489" t="s">
        <v>3653</v>
      </c>
      <c r="G1489" s="1">
        <v>45049</v>
      </c>
    </row>
    <row r="1490" spans="1:7">
      <c r="A1490" t="s">
        <v>3654</v>
      </c>
      <c r="B1490">
        <v>57</v>
      </c>
      <c r="C1490" t="s">
        <v>3655</v>
      </c>
      <c r="D1490">
        <v>-50000</v>
      </c>
      <c r="E1490" t="s">
        <v>9</v>
      </c>
      <c r="F1490" t="s">
        <v>3656</v>
      </c>
      <c r="G1490" s="1">
        <v>44960</v>
      </c>
    </row>
    <row r="1491" spans="1:7">
      <c r="A1491" t="s">
        <v>3657</v>
      </c>
      <c r="B1491">
        <v>43</v>
      </c>
      <c r="C1491" t="s">
        <v>3658</v>
      </c>
      <c r="D1491">
        <v>62317</v>
      </c>
      <c r="E1491" t="s">
        <v>27</v>
      </c>
      <c r="F1491">
        <f>1-531-818-5637</f>
        <v>-6985</v>
      </c>
      <c r="G1491" s="1">
        <v>45094</v>
      </c>
    </row>
    <row r="1492" spans="1:7">
      <c r="A1492" t="s">
        <v>3659</v>
      </c>
      <c r="B1492">
        <v>53</v>
      </c>
      <c r="C1492" t="s">
        <v>3660</v>
      </c>
      <c r="D1492">
        <v>88408</v>
      </c>
      <c r="E1492" t="s">
        <v>12</v>
      </c>
      <c r="F1492" t="s">
        <v>3661</v>
      </c>
      <c r="G1492" s="1">
        <v>44987</v>
      </c>
    </row>
    <row r="1493" spans="1:7">
      <c r="A1493" t="s">
        <v>3662</v>
      </c>
      <c r="B1493">
        <v>50</v>
      </c>
      <c r="C1493" t="s">
        <v>3663</v>
      </c>
      <c r="D1493">
        <v>0</v>
      </c>
      <c r="E1493" t="s">
        <v>12</v>
      </c>
      <c r="F1493" t="s">
        <v>3664</v>
      </c>
      <c r="G1493" s="1">
        <v>45246</v>
      </c>
    </row>
    <row r="1494" spans="1:7">
      <c r="A1494" t="s">
        <v>3665</v>
      </c>
      <c r="B1494">
        <v>51</v>
      </c>
      <c r="C1494" t="s">
        <v>3666</v>
      </c>
      <c r="D1494">
        <v>30869</v>
      </c>
      <c r="E1494" t="s">
        <v>12</v>
      </c>
      <c r="F1494">
        <v>3170137829</v>
      </c>
      <c r="G1494" t="s">
        <v>301</v>
      </c>
    </row>
    <row r="1495" spans="1:7">
      <c r="A1495" t="s">
        <v>3667</v>
      </c>
      <c r="B1495">
        <v>74</v>
      </c>
      <c r="C1495" t="s">
        <v>3668</v>
      </c>
      <c r="D1495">
        <v>68737</v>
      </c>
      <c r="E1495" t="s">
        <v>527</v>
      </c>
      <c r="F1495" t="s">
        <v>3669</v>
      </c>
      <c r="G1495" s="1">
        <v>45150</v>
      </c>
    </row>
    <row r="1496" spans="1:7">
      <c r="A1496" t="s">
        <v>3670</v>
      </c>
      <c r="B1496">
        <v>62</v>
      </c>
      <c r="C1496" t="s">
        <v>3671</v>
      </c>
      <c r="E1496" t="s">
        <v>358</v>
      </c>
      <c r="F1496">
        <f>1-357-583-8583</f>
        <v>-9522</v>
      </c>
      <c r="G1496" s="1">
        <v>45104</v>
      </c>
    </row>
    <row r="1497" spans="1:7">
      <c r="A1497" t="s">
        <v>3672</v>
      </c>
      <c r="B1497">
        <v>59</v>
      </c>
      <c r="C1497" t="s">
        <v>3673</v>
      </c>
      <c r="D1497">
        <v>60461</v>
      </c>
      <c r="E1497" t="s">
        <v>36</v>
      </c>
      <c r="F1497" t="s">
        <v>3674</v>
      </c>
      <c r="G1497" s="1">
        <v>45142</v>
      </c>
    </row>
    <row r="1498" spans="1:7">
      <c r="A1498" t="s">
        <v>3675</v>
      </c>
      <c r="B1498">
        <v>49</v>
      </c>
      <c r="C1498" t="s">
        <v>3676</v>
      </c>
      <c r="D1498">
        <v>186140</v>
      </c>
      <c r="E1498" t="s">
        <v>27</v>
      </c>
      <c r="F1498">
        <v>2196045940</v>
      </c>
      <c r="G1498" s="1">
        <v>45228</v>
      </c>
    </row>
    <row r="1499" spans="1:7">
      <c r="A1499" t="s">
        <v>3677</v>
      </c>
      <c r="B1499">
        <v>72</v>
      </c>
      <c r="C1499" t="s">
        <v>3678</v>
      </c>
      <c r="D1499">
        <v>103324</v>
      </c>
      <c r="E1499" t="s">
        <v>27</v>
      </c>
      <c r="F1499" t="s">
        <v>3679</v>
      </c>
      <c r="G1499" s="1">
        <v>45210</v>
      </c>
    </row>
    <row r="1500" spans="1:7">
      <c r="A1500" t="s">
        <v>3680</v>
      </c>
      <c r="B1500">
        <v>-5</v>
      </c>
      <c r="C1500" t="s">
        <v>3681</v>
      </c>
      <c r="D1500">
        <v>177661</v>
      </c>
      <c r="E1500" t="s">
        <v>9</v>
      </c>
      <c r="F1500">
        <v>9346088084</v>
      </c>
      <c r="G1500" s="1">
        <v>45250</v>
      </c>
    </row>
    <row r="1501" spans="1:7">
      <c r="A1501" t="s">
        <v>3682</v>
      </c>
      <c r="B1501">
        <v>50</v>
      </c>
      <c r="C1501" t="s">
        <v>3683</v>
      </c>
      <c r="D1501">
        <v>78940</v>
      </c>
      <c r="E1501" t="s">
        <v>12</v>
      </c>
      <c r="F1501" t="s">
        <v>3684</v>
      </c>
      <c r="G1501" s="1">
        <v>45023</v>
      </c>
    </row>
    <row r="1502" spans="1:7">
      <c r="A1502" t="s">
        <v>3685</v>
      </c>
      <c r="B1502">
        <v>71</v>
      </c>
      <c r="C1502" t="s">
        <v>3686</v>
      </c>
      <c r="D1502">
        <v>57048</v>
      </c>
      <c r="E1502" t="s">
        <v>36</v>
      </c>
      <c r="F1502" t="s">
        <v>3687</v>
      </c>
      <c r="G1502" s="1">
        <v>44991</v>
      </c>
    </row>
    <row r="1503" spans="1:7">
      <c r="A1503" t="s">
        <v>3688</v>
      </c>
      <c r="B1503">
        <v>69</v>
      </c>
      <c r="D1503">
        <v>163085</v>
      </c>
      <c r="E1503" t="s">
        <v>12</v>
      </c>
      <c r="F1503" t="s">
        <v>3689</v>
      </c>
      <c r="G1503" s="1">
        <v>45034</v>
      </c>
    </row>
    <row r="1504" spans="1:7">
      <c r="A1504" t="s">
        <v>3690</v>
      </c>
      <c r="B1504">
        <v>43</v>
      </c>
      <c r="C1504" t="s">
        <v>3691</v>
      </c>
      <c r="D1504">
        <v>45733</v>
      </c>
      <c r="E1504" t="s">
        <v>873</v>
      </c>
      <c r="F1504" t="s">
        <v>3692</v>
      </c>
      <c r="G1504" s="1">
        <v>44950</v>
      </c>
    </row>
    <row r="1505" spans="1:7">
      <c r="A1505" t="s">
        <v>3693</v>
      </c>
      <c r="B1505">
        <v>47</v>
      </c>
      <c r="D1505">
        <v>109888</v>
      </c>
      <c r="E1505" t="s">
        <v>27</v>
      </c>
      <c r="F1505" t="s">
        <v>3694</v>
      </c>
      <c r="G1505" s="1">
        <v>45002</v>
      </c>
    </row>
    <row r="1506" spans="1:7">
      <c r="A1506" t="s">
        <v>3695</v>
      </c>
      <c r="B1506">
        <v>33</v>
      </c>
      <c r="C1506" t="s">
        <v>3696</v>
      </c>
      <c r="D1506">
        <v>35812</v>
      </c>
      <c r="E1506" t="s">
        <v>12</v>
      </c>
      <c r="F1506" t="s">
        <v>3697</v>
      </c>
      <c r="G1506" s="1">
        <v>45222</v>
      </c>
    </row>
    <row r="1507" spans="1:7">
      <c r="A1507" t="s">
        <v>3698</v>
      </c>
      <c r="B1507">
        <v>39</v>
      </c>
      <c r="C1507" t="s">
        <v>3699</v>
      </c>
      <c r="D1507">
        <v>136719</v>
      </c>
      <c r="E1507" t="s">
        <v>12</v>
      </c>
      <c r="F1507">
        <v>6970267626</v>
      </c>
      <c r="G1507" s="1">
        <v>45062</v>
      </c>
    </row>
    <row r="1508" spans="1:7">
      <c r="A1508" t="s">
        <v>3700</v>
      </c>
      <c r="B1508">
        <v>24</v>
      </c>
      <c r="C1508" t="s">
        <v>3701</v>
      </c>
      <c r="D1508">
        <v>152650</v>
      </c>
      <c r="E1508" t="s">
        <v>9</v>
      </c>
      <c r="F1508" t="s">
        <v>3702</v>
      </c>
      <c r="G1508" s="1">
        <v>45114</v>
      </c>
    </row>
    <row r="1509" spans="1:7">
      <c r="A1509" t="s">
        <v>3703</v>
      </c>
      <c r="B1509">
        <v>39</v>
      </c>
      <c r="C1509" t="s">
        <v>3704</v>
      </c>
      <c r="D1509">
        <v>176480</v>
      </c>
      <c r="E1509" t="s">
        <v>36</v>
      </c>
      <c r="F1509" t="s">
        <v>3705</v>
      </c>
      <c r="G1509" s="1">
        <v>45084</v>
      </c>
    </row>
    <row r="1510" spans="1:7">
      <c r="A1510" t="s">
        <v>3706</v>
      </c>
      <c r="B1510">
        <v>75</v>
      </c>
      <c r="C1510" t="s">
        <v>3707</v>
      </c>
      <c r="D1510">
        <v>170431</v>
      </c>
      <c r="E1510" t="s">
        <v>27</v>
      </c>
      <c r="F1510">
        <f>1-351-282-4211</f>
        <v>-4843</v>
      </c>
      <c r="G1510" s="1">
        <v>45286</v>
      </c>
    </row>
    <row r="1511" spans="1:7">
      <c r="A1511" t="s">
        <v>3708</v>
      </c>
      <c r="B1511">
        <v>26</v>
      </c>
      <c r="C1511" t="s">
        <v>3709</v>
      </c>
      <c r="D1511">
        <v>121873</v>
      </c>
      <c r="E1511" t="s">
        <v>358</v>
      </c>
      <c r="F1511">
        <f>1-839-637-3781</f>
        <v>-5256</v>
      </c>
      <c r="G1511" s="1">
        <v>45206</v>
      </c>
    </row>
    <row r="1512" spans="1:7">
      <c r="A1512" t="s">
        <v>3710</v>
      </c>
      <c r="B1512">
        <v>33</v>
      </c>
      <c r="C1512" t="s">
        <v>3711</v>
      </c>
      <c r="D1512">
        <v>90038</v>
      </c>
      <c r="E1512" t="s">
        <v>36</v>
      </c>
      <c r="F1512" t="s">
        <v>3712</v>
      </c>
      <c r="G1512" s="1">
        <v>45224</v>
      </c>
    </row>
    <row r="1513" spans="1:7">
      <c r="A1513" t="s">
        <v>3713</v>
      </c>
      <c r="B1513">
        <v>23</v>
      </c>
      <c r="C1513" t="s">
        <v>594</v>
      </c>
      <c r="D1513">
        <v>130699</v>
      </c>
      <c r="E1513" t="s">
        <v>36</v>
      </c>
      <c r="F1513" t="s">
        <v>3714</v>
      </c>
      <c r="G1513" s="1">
        <v>45009</v>
      </c>
    </row>
    <row r="1514" spans="1:7">
      <c r="A1514" t="s">
        <v>3715</v>
      </c>
      <c r="B1514">
        <v>34</v>
      </c>
      <c r="D1514">
        <v>63919</v>
      </c>
      <c r="E1514" t="s">
        <v>36</v>
      </c>
      <c r="F1514">
        <v>3365264764</v>
      </c>
      <c r="G1514" s="1">
        <v>45244</v>
      </c>
    </row>
    <row r="1515" spans="1:7">
      <c r="A1515" t="s">
        <v>3716</v>
      </c>
      <c r="B1515">
        <v>47</v>
      </c>
      <c r="C1515" t="s">
        <v>3717</v>
      </c>
      <c r="D1515">
        <v>189437</v>
      </c>
      <c r="E1515" t="s">
        <v>9</v>
      </c>
      <c r="F1515" t="s">
        <v>3718</v>
      </c>
      <c r="G1515" s="1">
        <v>45285</v>
      </c>
    </row>
    <row r="1516" spans="1:7">
      <c r="A1516" t="s">
        <v>79</v>
      </c>
      <c r="B1516">
        <v>56</v>
      </c>
      <c r="C1516" t="s">
        <v>3719</v>
      </c>
      <c r="D1516">
        <v>32204</v>
      </c>
      <c r="E1516" t="s">
        <v>9</v>
      </c>
      <c r="F1516">
        <f>1-103-627-9039</f>
        <v>-9768</v>
      </c>
      <c r="G1516" s="1">
        <v>45268</v>
      </c>
    </row>
    <row r="1517" spans="1:7">
      <c r="A1517" t="s">
        <v>3720</v>
      </c>
      <c r="B1517">
        <v>69</v>
      </c>
      <c r="C1517" t="s">
        <v>3721</v>
      </c>
      <c r="D1517">
        <v>59432</v>
      </c>
      <c r="E1517" t="s">
        <v>12</v>
      </c>
      <c r="F1517" t="s">
        <v>3722</v>
      </c>
      <c r="G1517" s="1">
        <v>45075</v>
      </c>
    </row>
    <row r="1518" spans="1:7">
      <c r="A1518" t="s">
        <v>3723</v>
      </c>
      <c r="B1518">
        <v>64</v>
      </c>
      <c r="C1518" t="s">
        <v>3724</v>
      </c>
      <c r="D1518">
        <v>48782</v>
      </c>
      <c r="E1518" t="s">
        <v>27</v>
      </c>
      <c r="F1518" t="s">
        <v>3725</v>
      </c>
      <c r="G1518" s="1">
        <v>45205</v>
      </c>
    </row>
    <row r="1519" spans="1:7">
      <c r="A1519" t="s">
        <v>2549</v>
      </c>
      <c r="B1519">
        <v>67</v>
      </c>
      <c r="C1519" t="s">
        <v>3726</v>
      </c>
      <c r="D1519">
        <v>88655</v>
      </c>
      <c r="E1519" t="s">
        <v>12</v>
      </c>
      <c r="G1519" s="1">
        <v>44958</v>
      </c>
    </row>
    <row r="1520" spans="1:7">
      <c r="A1520" t="s">
        <v>3727</v>
      </c>
      <c r="B1520">
        <v>77</v>
      </c>
      <c r="C1520" t="s">
        <v>3728</v>
      </c>
      <c r="E1520" t="s">
        <v>12</v>
      </c>
      <c r="F1520" t="s">
        <v>3729</v>
      </c>
      <c r="G1520" s="1">
        <v>45257</v>
      </c>
    </row>
    <row r="1521" spans="1:7">
      <c r="A1521" t="s">
        <v>3730</v>
      </c>
      <c r="B1521">
        <v>51</v>
      </c>
      <c r="C1521" t="s">
        <v>170</v>
      </c>
      <c r="D1521">
        <v>147018</v>
      </c>
      <c r="E1521" t="s">
        <v>36</v>
      </c>
      <c r="F1521" t="s">
        <v>3731</v>
      </c>
      <c r="G1521" s="1">
        <v>45084</v>
      </c>
    </row>
    <row r="1522" spans="1:7">
      <c r="A1522" t="s">
        <v>3732</v>
      </c>
      <c r="B1522">
        <v>78</v>
      </c>
      <c r="C1522" t="s">
        <v>3733</v>
      </c>
      <c r="D1522">
        <v>47508</v>
      </c>
      <c r="E1522" t="s">
        <v>36</v>
      </c>
      <c r="F1522">
        <v>3875932424</v>
      </c>
      <c r="G1522" s="1">
        <v>45257</v>
      </c>
    </row>
    <row r="1523" spans="1:7">
      <c r="A1523" t="s">
        <v>3734</v>
      </c>
      <c r="B1523">
        <v>21</v>
      </c>
      <c r="C1523" t="s">
        <v>3735</v>
      </c>
      <c r="D1523">
        <v>193004</v>
      </c>
      <c r="E1523" t="s">
        <v>12</v>
      </c>
      <c r="G1523" s="1">
        <v>45037</v>
      </c>
    </row>
    <row r="1524" spans="1:7">
      <c r="A1524" t="s">
        <v>3736</v>
      </c>
      <c r="B1524">
        <v>75</v>
      </c>
      <c r="C1524" t="s">
        <v>3737</v>
      </c>
      <c r="D1524">
        <v>53283</v>
      </c>
      <c r="E1524" t="s">
        <v>9</v>
      </c>
      <c r="F1524">
        <f>1-592-595-6634</f>
        <v>-7820</v>
      </c>
      <c r="G1524" s="1">
        <v>45020</v>
      </c>
    </row>
    <row r="1525" spans="1:7">
      <c r="A1525" t="s">
        <v>3738</v>
      </c>
      <c r="B1525">
        <v>23</v>
      </c>
      <c r="C1525" t="s">
        <v>3739</v>
      </c>
      <c r="D1525">
        <v>61422</v>
      </c>
      <c r="E1525" t="s">
        <v>9</v>
      </c>
      <c r="F1525" t="s">
        <v>3740</v>
      </c>
      <c r="G1525" s="1">
        <v>44939</v>
      </c>
    </row>
    <row r="1526" spans="1:7">
      <c r="A1526" t="s">
        <v>3741</v>
      </c>
      <c r="B1526">
        <v>18</v>
      </c>
      <c r="C1526" t="s">
        <v>3742</v>
      </c>
      <c r="D1526">
        <v>152762</v>
      </c>
      <c r="E1526" t="s">
        <v>36</v>
      </c>
      <c r="F1526" t="s">
        <v>3743</v>
      </c>
    </row>
    <row r="1527" spans="1:7">
      <c r="A1527" t="s">
        <v>3744</v>
      </c>
      <c r="B1527">
        <v>56</v>
      </c>
      <c r="C1527" t="s">
        <v>3745</v>
      </c>
      <c r="D1527">
        <v>176404</v>
      </c>
      <c r="E1527" t="s">
        <v>36</v>
      </c>
      <c r="F1527" t="s">
        <v>3746</v>
      </c>
      <c r="G1527" s="1">
        <v>45163</v>
      </c>
    </row>
    <row r="1528" spans="1:7">
      <c r="A1528" t="s">
        <v>3747</v>
      </c>
      <c r="B1528">
        <v>-50</v>
      </c>
      <c r="C1528" t="s">
        <v>3748</v>
      </c>
      <c r="D1528">
        <v>123789</v>
      </c>
      <c r="E1528" t="s">
        <v>9</v>
      </c>
      <c r="G1528" s="1">
        <v>45152</v>
      </c>
    </row>
    <row r="1529" spans="1:7">
      <c r="A1529" t="s">
        <v>3749</v>
      </c>
      <c r="B1529">
        <v>20</v>
      </c>
      <c r="D1529">
        <v>-5000</v>
      </c>
      <c r="E1529" t="s">
        <v>873</v>
      </c>
      <c r="F1529" t="s">
        <v>3750</v>
      </c>
      <c r="G1529" s="1">
        <v>45102</v>
      </c>
    </row>
    <row r="1530" spans="1:7">
      <c r="A1530" t="s">
        <v>3751</v>
      </c>
      <c r="B1530">
        <v>29</v>
      </c>
      <c r="D1530">
        <v>77234</v>
      </c>
      <c r="E1530" t="s">
        <v>36</v>
      </c>
      <c r="F1530" t="s">
        <v>3752</v>
      </c>
      <c r="G1530" s="1">
        <v>44983</v>
      </c>
    </row>
    <row r="1531" spans="1:7">
      <c r="A1531" t="s">
        <v>3753</v>
      </c>
      <c r="C1531" t="s">
        <v>3754</v>
      </c>
      <c r="D1531">
        <v>166865</v>
      </c>
      <c r="E1531" t="s">
        <v>9</v>
      </c>
      <c r="G1531" s="1">
        <v>45241</v>
      </c>
    </row>
    <row r="1532" spans="1:7">
      <c r="A1532" t="s">
        <v>3755</v>
      </c>
      <c r="B1532">
        <v>27</v>
      </c>
      <c r="C1532" t="s">
        <v>3756</v>
      </c>
      <c r="D1532">
        <v>187255</v>
      </c>
      <c r="E1532" t="s">
        <v>12</v>
      </c>
      <c r="F1532" t="s">
        <v>3757</v>
      </c>
      <c r="G1532" s="1">
        <v>45280</v>
      </c>
    </row>
    <row r="1533" spans="1:7">
      <c r="A1533" t="s">
        <v>3758</v>
      </c>
      <c r="B1533">
        <v>75</v>
      </c>
      <c r="C1533" t="s">
        <v>3759</v>
      </c>
      <c r="D1533">
        <v>165370</v>
      </c>
      <c r="E1533" t="s">
        <v>12</v>
      </c>
      <c r="F1533" t="s">
        <v>3760</v>
      </c>
      <c r="G1533" s="1">
        <v>45116</v>
      </c>
    </row>
    <row r="1534" spans="1:7">
      <c r="A1534" t="s">
        <v>3761</v>
      </c>
      <c r="B1534">
        <v>150</v>
      </c>
      <c r="C1534" t="s">
        <v>3762</v>
      </c>
      <c r="D1534">
        <v>156202</v>
      </c>
      <c r="E1534" t="s">
        <v>12</v>
      </c>
      <c r="F1534">
        <f>1-518-460-4567</f>
        <v>-5544</v>
      </c>
      <c r="G1534" s="1">
        <v>45060</v>
      </c>
    </row>
    <row r="1535" spans="1:7">
      <c r="A1535" t="s">
        <v>3763</v>
      </c>
      <c r="B1535">
        <v>48</v>
      </c>
      <c r="C1535" t="s">
        <v>3764</v>
      </c>
      <c r="D1535">
        <v>107485</v>
      </c>
      <c r="E1535" t="s">
        <v>36</v>
      </c>
      <c r="F1535" t="s">
        <v>3765</v>
      </c>
      <c r="G1535" s="1">
        <v>45130</v>
      </c>
    </row>
    <row r="1536" spans="1:7">
      <c r="A1536" t="s">
        <v>3766</v>
      </c>
      <c r="B1536">
        <v>-5</v>
      </c>
      <c r="C1536" t="s">
        <v>3767</v>
      </c>
      <c r="D1536">
        <v>191636</v>
      </c>
      <c r="E1536" t="s">
        <v>9</v>
      </c>
      <c r="F1536">
        <v>8084139498</v>
      </c>
      <c r="G1536" s="1">
        <v>45199</v>
      </c>
    </row>
    <row r="1537" spans="1:7">
      <c r="A1537" t="s">
        <v>3768</v>
      </c>
      <c r="B1537">
        <v>67</v>
      </c>
      <c r="C1537" t="s">
        <v>3769</v>
      </c>
      <c r="D1537">
        <v>49267</v>
      </c>
      <c r="E1537" t="s">
        <v>9</v>
      </c>
      <c r="F1537">
        <f>1-819-600-4793</f>
        <v>-6211</v>
      </c>
      <c r="G1537" s="1">
        <v>45041</v>
      </c>
    </row>
    <row r="1538" spans="1:7">
      <c r="A1538" t="s">
        <v>3770</v>
      </c>
      <c r="B1538">
        <v>999</v>
      </c>
      <c r="D1538">
        <v>142230</v>
      </c>
      <c r="E1538" t="s">
        <v>9</v>
      </c>
      <c r="F1538">
        <v>8334756553</v>
      </c>
      <c r="G1538" s="1">
        <v>45094</v>
      </c>
    </row>
    <row r="1539" spans="1:7">
      <c r="A1539" t="s">
        <v>3771</v>
      </c>
      <c r="B1539">
        <v>45</v>
      </c>
      <c r="C1539" t="s">
        <v>3772</v>
      </c>
      <c r="E1539" t="s">
        <v>36</v>
      </c>
      <c r="F1539" t="s">
        <v>3773</v>
      </c>
      <c r="G1539" s="1">
        <v>45090</v>
      </c>
    </row>
    <row r="1540" spans="1:7">
      <c r="A1540" t="s">
        <v>3774</v>
      </c>
      <c r="B1540">
        <v>38</v>
      </c>
      <c r="C1540" t="s">
        <v>3775</v>
      </c>
      <c r="D1540">
        <v>180528</v>
      </c>
      <c r="E1540" t="s">
        <v>27</v>
      </c>
      <c r="F1540">
        <f>1-403-205-9381</f>
        <v>-9988</v>
      </c>
      <c r="G1540" s="1">
        <v>44969</v>
      </c>
    </row>
    <row r="1541" spans="1:7">
      <c r="A1541" t="s">
        <v>3776</v>
      </c>
      <c r="B1541">
        <v>31</v>
      </c>
      <c r="C1541" t="s">
        <v>3777</v>
      </c>
      <c r="D1541">
        <v>192462</v>
      </c>
      <c r="E1541" t="s">
        <v>9</v>
      </c>
      <c r="F1541">
        <f>1-843-436-3903</f>
        <v>-5181</v>
      </c>
      <c r="G1541" s="1">
        <v>45248</v>
      </c>
    </row>
    <row r="1542" spans="1:7">
      <c r="A1542" t="s">
        <v>3778</v>
      </c>
      <c r="B1542">
        <v>42</v>
      </c>
      <c r="C1542" t="s">
        <v>3779</v>
      </c>
      <c r="D1542">
        <v>44387</v>
      </c>
      <c r="E1542" t="s">
        <v>36</v>
      </c>
      <c r="F1542">
        <f>1-396-768-3742</f>
        <v>-4905</v>
      </c>
      <c r="G1542" s="1">
        <v>45010</v>
      </c>
    </row>
    <row r="1543" spans="1:7">
      <c r="A1543" t="s">
        <v>3780</v>
      </c>
      <c r="B1543">
        <v>28</v>
      </c>
      <c r="C1543" t="s">
        <v>3781</v>
      </c>
      <c r="D1543">
        <v>61379</v>
      </c>
      <c r="E1543" t="s">
        <v>36</v>
      </c>
      <c r="F1543" t="s">
        <v>3782</v>
      </c>
      <c r="G1543" s="1">
        <v>45131</v>
      </c>
    </row>
    <row r="1544" spans="1:7">
      <c r="A1544" t="s">
        <v>3783</v>
      </c>
      <c r="B1544">
        <v>38</v>
      </c>
      <c r="C1544" t="s">
        <v>478</v>
      </c>
      <c r="D1544">
        <v>113053</v>
      </c>
      <c r="E1544" t="s">
        <v>36</v>
      </c>
      <c r="G1544" s="1">
        <v>45142</v>
      </c>
    </row>
    <row r="1545" spans="1:7">
      <c r="A1545" t="s">
        <v>3751</v>
      </c>
      <c r="B1545">
        <v>42</v>
      </c>
      <c r="C1545" t="s">
        <v>3784</v>
      </c>
      <c r="D1545">
        <v>165830</v>
      </c>
      <c r="E1545" t="s">
        <v>12</v>
      </c>
      <c r="F1545">
        <f>1-161-624-7119</f>
        <v>-7903</v>
      </c>
      <c r="G1545" s="1">
        <v>45074</v>
      </c>
    </row>
    <row r="1546" spans="1:7">
      <c r="A1546" t="s">
        <v>3785</v>
      </c>
      <c r="B1546">
        <v>47</v>
      </c>
      <c r="C1546" t="s">
        <v>3786</v>
      </c>
      <c r="D1546">
        <v>116155</v>
      </c>
      <c r="E1546" t="s">
        <v>36</v>
      </c>
      <c r="F1546" t="s">
        <v>3787</v>
      </c>
      <c r="G1546" s="1">
        <v>45255</v>
      </c>
    </row>
    <row r="1547" spans="1:7">
      <c r="A1547" t="s">
        <v>3788</v>
      </c>
      <c r="B1547">
        <v>33</v>
      </c>
      <c r="C1547" t="s">
        <v>3789</v>
      </c>
      <c r="D1547">
        <v>163881</v>
      </c>
      <c r="E1547" t="s">
        <v>12</v>
      </c>
      <c r="F1547" t="s">
        <v>3790</v>
      </c>
      <c r="G1547" s="1">
        <v>45017</v>
      </c>
    </row>
    <row r="1548" spans="1:7">
      <c r="A1548" t="s">
        <v>3791</v>
      </c>
      <c r="B1548">
        <v>59</v>
      </c>
      <c r="D1548">
        <v>-50000</v>
      </c>
      <c r="E1548" t="s">
        <v>9</v>
      </c>
      <c r="F1548" t="s">
        <v>3792</v>
      </c>
      <c r="G1548" s="1">
        <v>45171</v>
      </c>
    </row>
    <row r="1549" spans="1:7">
      <c r="A1549" t="s">
        <v>3793</v>
      </c>
      <c r="B1549">
        <v>64</v>
      </c>
      <c r="C1549" t="s">
        <v>3794</v>
      </c>
      <c r="D1549">
        <v>163177</v>
      </c>
      <c r="E1549" t="s">
        <v>12</v>
      </c>
      <c r="F1549" t="s">
        <v>3795</v>
      </c>
      <c r="G1549" s="1">
        <v>45181</v>
      </c>
    </row>
    <row r="1550" spans="1:7">
      <c r="A1550" t="s">
        <v>3796</v>
      </c>
      <c r="B1550">
        <v>74</v>
      </c>
      <c r="C1550" t="s">
        <v>3797</v>
      </c>
      <c r="E1550" t="s">
        <v>12</v>
      </c>
      <c r="F1550" t="s">
        <v>3798</v>
      </c>
      <c r="G1550" s="1">
        <v>45216</v>
      </c>
    </row>
    <row r="1551" spans="1:7">
      <c r="A1551" t="s">
        <v>3799</v>
      </c>
      <c r="B1551">
        <v>78</v>
      </c>
      <c r="C1551" t="s">
        <v>445</v>
      </c>
      <c r="D1551">
        <v>-5000</v>
      </c>
      <c r="E1551" t="s">
        <v>27</v>
      </c>
      <c r="F1551" t="s">
        <v>3800</v>
      </c>
      <c r="G1551" s="1">
        <v>45024</v>
      </c>
    </row>
    <row r="1552" spans="1:7">
      <c r="A1552" t="s">
        <v>3801</v>
      </c>
      <c r="B1552">
        <v>29</v>
      </c>
      <c r="D1552">
        <v>146041</v>
      </c>
      <c r="E1552" t="s">
        <v>9</v>
      </c>
      <c r="F1552">
        <v>9499295746</v>
      </c>
      <c r="G1552" s="1">
        <v>45035</v>
      </c>
    </row>
    <row r="1553" spans="1:7">
      <c r="A1553" t="s">
        <v>3802</v>
      </c>
      <c r="B1553">
        <v>33</v>
      </c>
      <c r="C1553" t="s">
        <v>3803</v>
      </c>
      <c r="D1553">
        <v>92260</v>
      </c>
      <c r="E1553" t="s">
        <v>27</v>
      </c>
      <c r="F1553" t="s">
        <v>3804</v>
      </c>
      <c r="G1553" s="1">
        <v>45041</v>
      </c>
    </row>
    <row r="1554" spans="1:7">
      <c r="A1554" t="s">
        <v>3805</v>
      </c>
      <c r="B1554">
        <v>53</v>
      </c>
      <c r="C1554" t="s">
        <v>3806</v>
      </c>
      <c r="D1554">
        <v>102361</v>
      </c>
      <c r="E1554" t="s">
        <v>9</v>
      </c>
      <c r="F1554">
        <v>4187988846</v>
      </c>
      <c r="G1554" s="1">
        <v>45101</v>
      </c>
    </row>
    <row r="1555" spans="1:7">
      <c r="A1555" t="s">
        <v>3807</v>
      </c>
      <c r="B1555">
        <v>48</v>
      </c>
      <c r="C1555" t="s">
        <v>3808</v>
      </c>
      <c r="D1555">
        <v>50435</v>
      </c>
      <c r="E1555" t="s">
        <v>9</v>
      </c>
      <c r="F1555">
        <f>1-893-779-8935</f>
        <v>-10606</v>
      </c>
      <c r="G1555" s="1">
        <v>44953</v>
      </c>
    </row>
    <row r="1556" spans="1:7">
      <c r="A1556" t="s">
        <v>3809</v>
      </c>
      <c r="B1556">
        <v>38</v>
      </c>
      <c r="C1556" t="s">
        <v>3810</v>
      </c>
      <c r="D1556">
        <v>41826</v>
      </c>
      <c r="E1556" t="s">
        <v>36</v>
      </c>
      <c r="F1556" t="s">
        <v>3811</v>
      </c>
      <c r="G1556" s="1">
        <v>45273</v>
      </c>
    </row>
    <row r="1557" spans="1:7">
      <c r="A1557" t="s">
        <v>3812</v>
      </c>
      <c r="B1557">
        <v>0</v>
      </c>
      <c r="C1557" t="s">
        <v>3813</v>
      </c>
      <c r="D1557">
        <v>67122</v>
      </c>
      <c r="E1557" t="s">
        <v>27</v>
      </c>
      <c r="F1557">
        <f>1-529-275-9947</f>
        <v>-10750</v>
      </c>
      <c r="G1557" s="1">
        <v>45092</v>
      </c>
    </row>
    <row r="1558" spans="1:7">
      <c r="A1558" t="s">
        <v>3814</v>
      </c>
      <c r="B1558">
        <v>47</v>
      </c>
      <c r="C1558" t="s">
        <v>3815</v>
      </c>
      <c r="E1558" t="s">
        <v>9</v>
      </c>
      <c r="F1558" t="s">
        <v>3816</v>
      </c>
      <c r="G1558" s="1">
        <v>45138</v>
      </c>
    </row>
    <row r="1559" spans="1:7">
      <c r="A1559" t="s">
        <v>3817</v>
      </c>
      <c r="B1559">
        <v>72</v>
      </c>
      <c r="D1559">
        <v>183466</v>
      </c>
      <c r="E1559" t="s">
        <v>9</v>
      </c>
      <c r="F1559">
        <v>6792638620</v>
      </c>
      <c r="G1559" s="1">
        <v>45209</v>
      </c>
    </row>
    <row r="1560" spans="1:7">
      <c r="A1560" t="s">
        <v>3818</v>
      </c>
      <c r="B1560">
        <v>71</v>
      </c>
      <c r="C1560" t="s">
        <v>3819</v>
      </c>
      <c r="D1560">
        <v>57043</v>
      </c>
      <c r="E1560" t="s">
        <v>27</v>
      </c>
      <c r="F1560">
        <f>1-271-773-1104</f>
        <v>-2147</v>
      </c>
      <c r="G1560" s="1">
        <v>44987</v>
      </c>
    </row>
    <row r="1561" spans="1:7">
      <c r="A1561" t="s">
        <v>3820</v>
      </c>
      <c r="B1561">
        <v>67</v>
      </c>
      <c r="C1561" t="s">
        <v>3821</v>
      </c>
      <c r="D1561">
        <v>138721</v>
      </c>
      <c r="E1561" t="s">
        <v>27</v>
      </c>
      <c r="F1561" t="s">
        <v>3822</v>
      </c>
      <c r="G1561" s="1">
        <v>45159</v>
      </c>
    </row>
    <row r="1562" spans="1:7">
      <c r="A1562" t="s">
        <v>3823</v>
      </c>
      <c r="B1562">
        <v>36</v>
      </c>
      <c r="C1562" t="s">
        <v>594</v>
      </c>
      <c r="D1562">
        <v>182756</v>
      </c>
      <c r="E1562" t="s">
        <v>27</v>
      </c>
      <c r="F1562" t="s">
        <v>3824</v>
      </c>
      <c r="G1562" t="s">
        <v>1627</v>
      </c>
    </row>
    <row r="1563" spans="1:7">
      <c r="A1563" t="s">
        <v>3825</v>
      </c>
      <c r="B1563">
        <v>60</v>
      </c>
      <c r="C1563" t="s">
        <v>3826</v>
      </c>
      <c r="D1563">
        <v>42100</v>
      </c>
      <c r="E1563" t="s">
        <v>36</v>
      </c>
      <c r="F1563">
        <f>1-838-257-1717</f>
        <v>-2811</v>
      </c>
      <c r="G1563" s="1">
        <v>45208</v>
      </c>
    </row>
    <row r="1564" spans="1:7">
      <c r="A1564" t="s">
        <v>3827</v>
      </c>
      <c r="C1564" t="s">
        <v>61</v>
      </c>
      <c r="D1564">
        <v>157466</v>
      </c>
      <c r="E1564" t="s">
        <v>12</v>
      </c>
      <c r="F1564">
        <f>1-428-129-1423</f>
        <v>-1979</v>
      </c>
      <c r="G1564" s="1">
        <v>44945</v>
      </c>
    </row>
    <row r="1565" spans="1:7">
      <c r="A1565" t="s">
        <v>45</v>
      </c>
      <c r="B1565">
        <v>79</v>
      </c>
      <c r="C1565" t="s">
        <v>3828</v>
      </c>
      <c r="D1565">
        <v>184626</v>
      </c>
      <c r="E1565" t="s">
        <v>27</v>
      </c>
      <c r="F1565">
        <v>7449876106</v>
      </c>
      <c r="G1565" s="1">
        <v>44974</v>
      </c>
    </row>
    <row r="1566" spans="1:7">
      <c r="A1566" t="s">
        <v>3829</v>
      </c>
      <c r="B1566">
        <v>46</v>
      </c>
      <c r="C1566" t="s">
        <v>3830</v>
      </c>
      <c r="E1566" t="s">
        <v>36</v>
      </c>
      <c r="F1566">
        <v>2379296495</v>
      </c>
      <c r="G1566" s="1">
        <v>45134</v>
      </c>
    </row>
    <row r="1567" spans="1:7">
      <c r="A1567" t="s">
        <v>3831</v>
      </c>
      <c r="B1567">
        <v>49</v>
      </c>
      <c r="C1567" t="s">
        <v>445</v>
      </c>
      <c r="D1567">
        <v>103402</v>
      </c>
      <c r="E1567" t="s">
        <v>9</v>
      </c>
      <c r="F1567" t="s">
        <v>3832</v>
      </c>
      <c r="G1567" s="1">
        <v>45123</v>
      </c>
    </row>
    <row r="1568" spans="1:7">
      <c r="A1568" t="s">
        <v>3833</v>
      </c>
      <c r="B1568">
        <v>-100</v>
      </c>
      <c r="C1568" t="s">
        <v>3834</v>
      </c>
      <c r="D1568">
        <v>94093</v>
      </c>
      <c r="E1568" t="s">
        <v>36</v>
      </c>
      <c r="F1568" t="s">
        <v>3835</v>
      </c>
      <c r="G1568" s="1">
        <v>45183</v>
      </c>
    </row>
    <row r="1569" spans="1:7">
      <c r="A1569" t="s">
        <v>3836</v>
      </c>
      <c r="B1569">
        <v>56</v>
      </c>
      <c r="C1569" t="s">
        <v>61</v>
      </c>
      <c r="D1569">
        <v>163248</v>
      </c>
      <c r="E1569" t="s">
        <v>27</v>
      </c>
      <c r="F1569" t="s">
        <v>3837</v>
      </c>
      <c r="G1569" s="1">
        <v>45075</v>
      </c>
    </row>
    <row r="1570" spans="1:7">
      <c r="A1570" t="s">
        <v>3838</v>
      </c>
      <c r="B1570">
        <v>65</v>
      </c>
      <c r="C1570" t="s">
        <v>3839</v>
      </c>
      <c r="D1570">
        <v>128000</v>
      </c>
      <c r="E1570" t="s">
        <v>12</v>
      </c>
      <c r="F1570">
        <v>2691239817</v>
      </c>
      <c r="G1570" s="1">
        <v>44993</v>
      </c>
    </row>
    <row r="1571" spans="1:7">
      <c r="A1571" t="s">
        <v>3840</v>
      </c>
      <c r="B1571">
        <v>38</v>
      </c>
      <c r="C1571" t="s">
        <v>3841</v>
      </c>
      <c r="D1571">
        <v>99453</v>
      </c>
      <c r="E1571" t="s">
        <v>12</v>
      </c>
      <c r="F1571" t="s">
        <v>3842</v>
      </c>
      <c r="G1571" s="1">
        <v>45044</v>
      </c>
    </row>
    <row r="1572" spans="1:7">
      <c r="A1572" t="s">
        <v>3843</v>
      </c>
      <c r="B1572">
        <v>68</v>
      </c>
      <c r="C1572" t="s">
        <v>3844</v>
      </c>
      <c r="D1572">
        <v>53478</v>
      </c>
      <c r="E1572" t="s">
        <v>9</v>
      </c>
      <c r="F1572" t="s">
        <v>3845</v>
      </c>
      <c r="G1572" s="1">
        <v>45195</v>
      </c>
    </row>
    <row r="1573" spans="1:7">
      <c r="A1573" t="s">
        <v>3846</v>
      </c>
      <c r="B1573">
        <v>28</v>
      </c>
      <c r="C1573" t="s">
        <v>3847</v>
      </c>
      <c r="D1573">
        <v>153728</v>
      </c>
      <c r="E1573" t="s">
        <v>36</v>
      </c>
      <c r="F1573">
        <v>4067985169</v>
      </c>
      <c r="G1573" s="1">
        <v>45073</v>
      </c>
    </row>
    <row r="1574" spans="1:7">
      <c r="A1574" t="s">
        <v>3848</v>
      </c>
      <c r="B1574">
        <v>68</v>
      </c>
      <c r="C1574" t="s">
        <v>3849</v>
      </c>
      <c r="D1574">
        <v>162206</v>
      </c>
      <c r="E1574" t="s">
        <v>27</v>
      </c>
      <c r="F1574" t="s">
        <v>3850</v>
      </c>
      <c r="G1574" s="1">
        <v>45116</v>
      </c>
    </row>
    <row r="1575" spans="1:7">
      <c r="A1575" t="s">
        <v>3851</v>
      </c>
      <c r="B1575">
        <v>37</v>
      </c>
      <c r="C1575" t="s">
        <v>3852</v>
      </c>
      <c r="D1575">
        <v>48174</v>
      </c>
      <c r="E1575" t="s">
        <v>36</v>
      </c>
      <c r="F1575" t="s">
        <v>3853</v>
      </c>
      <c r="G1575" s="1">
        <v>45238</v>
      </c>
    </row>
    <row r="1576" spans="1:7">
      <c r="A1576" t="s">
        <v>3854</v>
      </c>
      <c r="B1576">
        <v>25</v>
      </c>
      <c r="D1576">
        <v>192448</v>
      </c>
      <c r="E1576" t="s">
        <v>9</v>
      </c>
      <c r="F1576" t="s">
        <v>3855</v>
      </c>
      <c r="G1576" s="1">
        <v>45043</v>
      </c>
    </row>
    <row r="1577" spans="1:7">
      <c r="A1577" t="s">
        <v>3856</v>
      </c>
      <c r="B1577">
        <v>39</v>
      </c>
      <c r="C1577" t="s">
        <v>3857</v>
      </c>
      <c r="D1577">
        <v>37837</v>
      </c>
      <c r="E1577" t="s">
        <v>36</v>
      </c>
      <c r="F1577" t="s">
        <v>3858</v>
      </c>
      <c r="G1577" s="1">
        <v>44935</v>
      </c>
    </row>
    <row r="1578" spans="1:7">
      <c r="A1578" t="s">
        <v>3859</v>
      </c>
      <c r="B1578">
        <v>57</v>
      </c>
      <c r="C1578" t="s">
        <v>3860</v>
      </c>
      <c r="D1578">
        <v>80435</v>
      </c>
      <c r="E1578" t="s">
        <v>27</v>
      </c>
      <c r="F1578" t="s">
        <v>3861</v>
      </c>
      <c r="G1578" s="1">
        <v>45212</v>
      </c>
    </row>
    <row r="1579" spans="1:7">
      <c r="A1579" t="s">
        <v>3862</v>
      </c>
      <c r="B1579">
        <v>34</v>
      </c>
      <c r="C1579" t="s">
        <v>3863</v>
      </c>
      <c r="D1579">
        <v>139636</v>
      </c>
      <c r="E1579" t="s">
        <v>9</v>
      </c>
      <c r="F1579">
        <f>1-681-530-4263</f>
        <v>-5473</v>
      </c>
      <c r="G1579" t="s">
        <v>715</v>
      </c>
    </row>
    <row r="1580" spans="1:7">
      <c r="A1580" t="s">
        <v>3864</v>
      </c>
      <c r="B1580">
        <v>50</v>
      </c>
      <c r="C1580" t="s">
        <v>3865</v>
      </c>
      <c r="D1580">
        <v>-50000</v>
      </c>
      <c r="E1580" t="s">
        <v>12</v>
      </c>
      <c r="F1580" t="s">
        <v>3866</v>
      </c>
      <c r="G1580" s="1">
        <v>45259</v>
      </c>
    </row>
    <row r="1581" spans="1:7">
      <c r="A1581" t="s">
        <v>3867</v>
      </c>
      <c r="B1581">
        <v>29</v>
      </c>
      <c r="C1581" t="s">
        <v>3868</v>
      </c>
      <c r="D1581">
        <v>101334</v>
      </c>
      <c r="E1581" t="s">
        <v>27</v>
      </c>
      <c r="F1581" t="s">
        <v>3869</v>
      </c>
      <c r="G1581" s="1">
        <v>45269</v>
      </c>
    </row>
    <row r="1582" spans="1:7">
      <c r="A1582" t="s">
        <v>3870</v>
      </c>
      <c r="B1582">
        <v>66</v>
      </c>
      <c r="C1582" t="s">
        <v>3871</v>
      </c>
      <c r="D1582">
        <v>160970</v>
      </c>
      <c r="E1582" t="s">
        <v>9</v>
      </c>
      <c r="F1582" t="s">
        <v>3872</v>
      </c>
      <c r="G1582" t="s">
        <v>81</v>
      </c>
    </row>
    <row r="1583" spans="1:7">
      <c r="A1583" t="s">
        <v>3873</v>
      </c>
      <c r="B1583">
        <v>52</v>
      </c>
      <c r="C1583" t="s">
        <v>3874</v>
      </c>
      <c r="E1583" t="s">
        <v>36</v>
      </c>
      <c r="F1583" t="s">
        <v>3875</v>
      </c>
      <c r="G1583" s="1">
        <v>45037</v>
      </c>
    </row>
    <row r="1584" spans="1:7">
      <c r="A1584" t="s">
        <v>3876</v>
      </c>
      <c r="B1584">
        <v>0</v>
      </c>
      <c r="C1584" t="s">
        <v>3877</v>
      </c>
      <c r="D1584">
        <v>148454</v>
      </c>
      <c r="E1584" t="s">
        <v>9</v>
      </c>
      <c r="F1584" t="s">
        <v>3878</v>
      </c>
      <c r="G1584" t="s">
        <v>371</v>
      </c>
    </row>
    <row r="1585" spans="1:7">
      <c r="A1585" t="s">
        <v>3879</v>
      </c>
      <c r="B1585">
        <v>57</v>
      </c>
      <c r="C1585" t="s">
        <v>3880</v>
      </c>
      <c r="D1585">
        <v>66307</v>
      </c>
      <c r="E1585" t="s">
        <v>36</v>
      </c>
      <c r="F1585" t="s">
        <v>3881</v>
      </c>
      <c r="G1585" s="1">
        <v>45099</v>
      </c>
    </row>
    <row r="1586" spans="1:7">
      <c r="A1586" t="s">
        <v>3882</v>
      </c>
      <c r="B1586">
        <v>42</v>
      </c>
      <c r="D1586">
        <v>140540</v>
      </c>
      <c r="E1586" t="s">
        <v>36</v>
      </c>
      <c r="G1586" s="1">
        <v>45289</v>
      </c>
    </row>
    <row r="1587" spans="1:7">
      <c r="A1587" t="s">
        <v>3883</v>
      </c>
      <c r="B1587">
        <v>42</v>
      </c>
      <c r="C1587" t="s">
        <v>61</v>
      </c>
      <c r="D1587">
        <v>96766</v>
      </c>
      <c r="E1587" t="s">
        <v>12</v>
      </c>
      <c r="F1587">
        <v>9538092528</v>
      </c>
      <c r="G1587" s="1">
        <v>45037</v>
      </c>
    </row>
    <row r="1588" spans="1:7">
      <c r="A1588" t="s">
        <v>3884</v>
      </c>
      <c r="B1588">
        <v>0</v>
      </c>
      <c r="D1588">
        <v>169783</v>
      </c>
      <c r="E1588" t="s">
        <v>12</v>
      </c>
      <c r="F1588">
        <f>1-790-472-1844</f>
        <v>-3105</v>
      </c>
      <c r="G1588" s="1">
        <v>45043</v>
      </c>
    </row>
    <row r="1589" spans="1:7">
      <c r="A1589" t="s">
        <v>3885</v>
      </c>
      <c r="B1589">
        <v>0</v>
      </c>
      <c r="C1589" t="s">
        <v>3886</v>
      </c>
      <c r="D1589">
        <v>144151</v>
      </c>
      <c r="E1589" t="s">
        <v>36</v>
      </c>
      <c r="F1589">
        <f>1-432-999-5148</f>
        <v>-6578</v>
      </c>
      <c r="G1589" s="1">
        <v>45114</v>
      </c>
    </row>
    <row r="1590" spans="1:7">
      <c r="A1590" t="s">
        <v>3887</v>
      </c>
      <c r="B1590">
        <v>67</v>
      </c>
      <c r="C1590" t="s">
        <v>3888</v>
      </c>
      <c r="D1590">
        <v>116133</v>
      </c>
      <c r="E1590" t="s">
        <v>12</v>
      </c>
      <c r="F1590" t="s">
        <v>3889</v>
      </c>
      <c r="G1590" s="1">
        <v>45042</v>
      </c>
    </row>
    <row r="1591" spans="1:7">
      <c r="A1591" t="s">
        <v>3890</v>
      </c>
      <c r="B1591">
        <v>26</v>
      </c>
      <c r="C1591" t="s">
        <v>3891</v>
      </c>
      <c r="D1591">
        <v>147626</v>
      </c>
      <c r="E1591" t="s">
        <v>27</v>
      </c>
      <c r="F1591">
        <v>1868498641</v>
      </c>
      <c r="G1591" s="1">
        <v>45109</v>
      </c>
    </row>
    <row r="1592" spans="1:7">
      <c r="A1592" t="s">
        <v>3892</v>
      </c>
      <c r="B1592">
        <v>35</v>
      </c>
      <c r="C1592" t="s">
        <v>3893</v>
      </c>
      <c r="D1592">
        <v>115166</v>
      </c>
      <c r="E1592" t="s">
        <v>27</v>
      </c>
      <c r="F1592">
        <v>5926890511</v>
      </c>
      <c r="G1592" s="1">
        <v>45194</v>
      </c>
    </row>
    <row r="1593" spans="1:7">
      <c r="A1593" t="s">
        <v>3894</v>
      </c>
      <c r="B1593">
        <v>250</v>
      </c>
      <c r="C1593" t="s">
        <v>3895</v>
      </c>
      <c r="D1593">
        <v>143396</v>
      </c>
      <c r="E1593" t="s">
        <v>27</v>
      </c>
      <c r="F1593">
        <v>3981630061</v>
      </c>
      <c r="G1593" s="1">
        <v>45142</v>
      </c>
    </row>
    <row r="1594" spans="1:7">
      <c r="A1594" t="s">
        <v>3896</v>
      </c>
      <c r="B1594">
        <v>35</v>
      </c>
      <c r="C1594" t="s">
        <v>3897</v>
      </c>
      <c r="D1594">
        <v>114664</v>
      </c>
      <c r="E1594" t="s">
        <v>12</v>
      </c>
      <c r="F1594" t="s">
        <v>3898</v>
      </c>
      <c r="G1594" s="1">
        <v>45265</v>
      </c>
    </row>
    <row r="1595" spans="1:7">
      <c r="A1595" t="s">
        <v>3899</v>
      </c>
      <c r="B1595">
        <v>71</v>
      </c>
      <c r="C1595" t="s">
        <v>3900</v>
      </c>
      <c r="E1595" t="s">
        <v>36</v>
      </c>
      <c r="F1595" t="s">
        <v>3901</v>
      </c>
      <c r="G1595" s="1">
        <v>45174</v>
      </c>
    </row>
    <row r="1596" spans="1:7">
      <c r="A1596" t="s">
        <v>3902</v>
      </c>
      <c r="B1596">
        <v>79</v>
      </c>
      <c r="C1596" t="s">
        <v>3903</v>
      </c>
      <c r="D1596">
        <v>105986</v>
      </c>
      <c r="E1596" t="s">
        <v>27</v>
      </c>
      <c r="F1596">
        <f>1-668-979-2334</f>
        <v>-3980</v>
      </c>
      <c r="G1596" s="1">
        <v>44987</v>
      </c>
    </row>
    <row r="1597" spans="1:7">
      <c r="A1597" t="s">
        <v>3904</v>
      </c>
      <c r="B1597">
        <v>130</v>
      </c>
      <c r="D1597">
        <v>115947</v>
      </c>
      <c r="E1597" t="s">
        <v>36</v>
      </c>
      <c r="F1597">
        <v>2769753981</v>
      </c>
      <c r="G1597" s="1">
        <v>45008</v>
      </c>
    </row>
    <row r="1598" spans="1:7">
      <c r="A1598" t="s">
        <v>2457</v>
      </c>
      <c r="B1598">
        <v>24</v>
      </c>
      <c r="C1598" t="s">
        <v>3905</v>
      </c>
      <c r="D1598">
        <v>36789</v>
      </c>
      <c r="E1598" t="s">
        <v>36</v>
      </c>
      <c r="F1598" t="s">
        <v>3906</v>
      </c>
      <c r="G1598" s="1">
        <v>45041</v>
      </c>
    </row>
    <row r="1599" spans="1:7">
      <c r="A1599" t="s">
        <v>3907</v>
      </c>
      <c r="B1599">
        <v>49</v>
      </c>
      <c r="C1599" t="s">
        <v>3908</v>
      </c>
      <c r="D1599">
        <v>136082</v>
      </c>
      <c r="F1599" t="s">
        <v>3909</v>
      </c>
      <c r="G1599" s="1">
        <v>45072</v>
      </c>
    </row>
    <row r="1600" spans="1:7">
      <c r="A1600" t="s">
        <v>3910</v>
      </c>
      <c r="B1600">
        <v>34</v>
      </c>
      <c r="D1600">
        <v>75203</v>
      </c>
      <c r="E1600" t="s">
        <v>36</v>
      </c>
      <c r="F1600" t="s">
        <v>3911</v>
      </c>
      <c r="G1600" s="1">
        <v>45242</v>
      </c>
    </row>
    <row r="1601" spans="1:7">
      <c r="B1601">
        <v>25</v>
      </c>
      <c r="C1601" t="s">
        <v>3912</v>
      </c>
      <c r="D1601">
        <v>137293</v>
      </c>
      <c r="E1601" t="s">
        <v>36</v>
      </c>
      <c r="F1601" t="s">
        <v>3913</v>
      </c>
      <c r="G1601" s="1">
        <v>45252</v>
      </c>
    </row>
    <row r="1602" spans="1:7">
      <c r="A1602" t="s">
        <v>3914</v>
      </c>
      <c r="B1602">
        <v>62</v>
      </c>
      <c r="C1602" t="s">
        <v>3915</v>
      </c>
      <c r="E1602" t="s">
        <v>12</v>
      </c>
      <c r="F1602" t="s">
        <v>3916</v>
      </c>
    </row>
    <row r="1603" spans="1:7">
      <c r="A1603" t="s">
        <v>3917</v>
      </c>
      <c r="B1603">
        <v>39</v>
      </c>
      <c r="C1603" t="s">
        <v>3918</v>
      </c>
      <c r="D1603">
        <v>169294</v>
      </c>
      <c r="E1603" t="s">
        <v>12</v>
      </c>
      <c r="F1603" t="s">
        <v>3919</v>
      </c>
      <c r="G1603" s="1">
        <v>45172</v>
      </c>
    </row>
    <row r="1604" spans="1:7">
      <c r="A1604" t="s">
        <v>3920</v>
      </c>
      <c r="B1604">
        <v>65</v>
      </c>
      <c r="C1604" t="s">
        <v>3921</v>
      </c>
      <c r="D1604">
        <v>111159</v>
      </c>
      <c r="E1604" t="s">
        <v>36</v>
      </c>
      <c r="F1604" t="s">
        <v>3922</v>
      </c>
      <c r="G1604" s="1">
        <v>45116</v>
      </c>
    </row>
    <row r="1605" spans="1:7">
      <c r="A1605" t="s">
        <v>3923</v>
      </c>
      <c r="B1605">
        <v>71</v>
      </c>
      <c r="C1605" t="s">
        <v>3924</v>
      </c>
      <c r="D1605">
        <v>87608</v>
      </c>
      <c r="E1605" t="s">
        <v>36</v>
      </c>
      <c r="F1605" t="s">
        <v>3925</v>
      </c>
      <c r="G1605" s="1">
        <v>45191</v>
      </c>
    </row>
    <row r="1606" spans="1:7">
      <c r="A1606" t="s">
        <v>3926</v>
      </c>
      <c r="B1606">
        <v>40</v>
      </c>
      <c r="C1606" t="s">
        <v>3927</v>
      </c>
      <c r="D1606">
        <v>31657</v>
      </c>
      <c r="E1606" t="s">
        <v>36</v>
      </c>
      <c r="F1606" t="s">
        <v>3928</v>
      </c>
      <c r="G1606" s="1">
        <v>45033</v>
      </c>
    </row>
    <row r="1607" spans="1:7">
      <c r="A1607" t="s">
        <v>3929</v>
      </c>
      <c r="B1607">
        <v>62</v>
      </c>
      <c r="D1607">
        <v>180630</v>
      </c>
      <c r="E1607" t="s">
        <v>12</v>
      </c>
      <c r="F1607" t="s">
        <v>3930</v>
      </c>
      <c r="G1607" s="1">
        <v>44945</v>
      </c>
    </row>
    <row r="1608" spans="1:7">
      <c r="C1608" t="s">
        <v>3931</v>
      </c>
      <c r="D1608">
        <v>87913</v>
      </c>
      <c r="E1608" t="s">
        <v>36</v>
      </c>
      <c r="F1608" t="s">
        <v>3932</v>
      </c>
      <c r="G1608" s="1">
        <v>45038</v>
      </c>
    </row>
    <row r="1609" spans="1:7">
      <c r="A1609" t="s">
        <v>3933</v>
      </c>
      <c r="B1609">
        <v>45</v>
      </c>
      <c r="C1609" t="s">
        <v>478</v>
      </c>
      <c r="D1609">
        <v>60562</v>
      </c>
      <c r="E1609" t="s">
        <v>36</v>
      </c>
      <c r="F1609" t="s">
        <v>3934</v>
      </c>
      <c r="G1609" s="1">
        <v>44959</v>
      </c>
    </row>
    <row r="1610" spans="1:7">
      <c r="A1610" t="s">
        <v>3935</v>
      </c>
      <c r="B1610">
        <v>74</v>
      </c>
      <c r="C1610" t="s">
        <v>3936</v>
      </c>
      <c r="D1610">
        <v>172509</v>
      </c>
      <c r="E1610" t="s">
        <v>36</v>
      </c>
      <c r="F1610">
        <v>9913615651</v>
      </c>
      <c r="G1610" s="1">
        <v>45039</v>
      </c>
    </row>
    <row r="1611" spans="1:7">
      <c r="A1611" t="s">
        <v>3937</v>
      </c>
      <c r="B1611">
        <v>66</v>
      </c>
      <c r="C1611" t="s">
        <v>3938</v>
      </c>
      <c r="D1611">
        <v>49122</v>
      </c>
      <c r="E1611" t="s">
        <v>9</v>
      </c>
      <c r="F1611" t="s">
        <v>3939</v>
      </c>
      <c r="G1611" s="1">
        <v>45221</v>
      </c>
    </row>
    <row r="1612" spans="1:7">
      <c r="A1612" t="s">
        <v>3940</v>
      </c>
      <c r="B1612">
        <v>-10</v>
      </c>
      <c r="C1612" t="s">
        <v>3941</v>
      </c>
      <c r="D1612">
        <v>49738</v>
      </c>
      <c r="E1612" t="s">
        <v>36</v>
      </c>
      <c r="F1612" t="s">
        <v>3942</v>
      </c>
      <c r="G1612" s="1">
        <v>45190</v>
      </c>
    </row>
    <row r="1613" spans="1:7">
      <c r="A1613" t="s">
        <v>3943</v>
      </c>
      <c r="B1613">
        <v>49</v>
      </c>
      <c r="C1613" t="s">
        <v>3944</v>
      </c>
      <c r="D1613">
        <v>122268</v>
      </c>
      <c r="E1613" t="s">
        <v>36</v>
      </c>
      <c r="F1613">
        <v>7066376657</v>
      </c>
      <c r="G1613" s="1">
        <v>45102</v>
      </c>
    </row>
    <row r="1614" spans="1:7">
      <c r="A1614" t="s">
        <v>3945</v>
      </c>
      <c r="B1614">
        <v>70</v>
      </c>
      <c r="C1614" t="s">
        <v>3946</v>
      </c>
      <c r="D1614">
        <v>170790</v>
      </c>
      <c r="E1614" t="s">
        <v>36</v>
      </c>
      <c r="F1614" t="s">
        <v>3947</v>
      </c>
      <c r="G1614" s="1">
        <v>44928</v>
      </c>
    </row>
    <row r="1615" spans="1:7">
      <c r="A1615" t="s">
        <v>3948</v>
      </c>
      <c r="B1615">
        <v>63</v>
      </c>
      <c r="C1615" t="s">
        <v>3949</v>
      </c>
      <c r="D1615">
        <v>42126</v>
      </c>
      <c r="E1615" t="s">
        <v>9</v>
      </c>
      <c r="F1615">
        <f>1-441-604-4728</f>
        <v>-5772</v>
      </c>
      <c r="G1615" s="1">
        <v>45187</v>
      </c>
    </row>
    <row r="1616" spans="1:7">
      <c r="B1616">
        <v>35</v>
      </c>
      <c r="C1616" t="s">
        <v>3950</v>
      </c>
      <c r="D1616">
        <v>-1000</v>
      </c>
      <c r="E1616" t="s">
        <v>36</v>
      </c>
      <c r="F1616" t="s">
        <v>3951</v>
      </c>
      <c r="G1616" s="1">
        <v>44947</v>
      </c>
    </row>
    <row r="1617" spans="1:7">
      <c r="A1617" t="s">
        <v>3952</v>
      </c>
      <c r="B1617">
        <v>31</v>
      </c>
      <c r="C1617" t="s">
        <v>3953</v>
      </c>
      <c r="D1617">
        <v>74439</v>
      </c>
      <c r="E1617" t="s">
        <v>36</v>
      </c>
      <c r="F1617" t="s">
        <v>3954</v>
      </c>
      <c r="G1617" s="1">
        <v>44952</v>
      </c>
    </row>
    <row r="1618" spans="1:7">
      <c r="A1618" t="s">
        <v>3955</v>
      </c>
      <c r="B1618">
        <v>53</v>
      </c>
      <c r="C1618" t="s">
        <v>3956</v>
      </c>
      <c r="D1618">
        <v>122969</v>
      </c>
      <c r="E1618" t="s">
        <v>27</v>
      </c>
      <c r="F1618">
        <f>1-315-637-5321</f>
        <v>-6272</v>
      </c>
      <c r="G1618" s="1">
        <v>44958</v>
      </c>
    </row>
    <row r="1619" spans="1:7">
      <c r="A1619" t="s">
        <v>3957</v>
      </c>
      <c r="B1619">
        <v>-5</v>
      </c>
      <c r="C1619" t="s">
        <v>3958</v>
      </c>
      <c r="E1619" t="s">
        <v>27</v>
      </c>
      <c r="F1619" t="s">
        <v>3959</v>
      </c>
      <c r="G1619" s="1">
        <v>45290</v>
      </c>
    </row>
    <row r="1620" spans="1:7">
      <c r="A1620" t="s">
        <v>3960</v>
      </c>
      <c r="B1620">
        <v>30</v>
      </c>
      <c r="C1620" t="s">
        <v>3961</v>
      </c>
      <c r="D1620">
        <v>75178</v>
      </c>
      <c r="E1620" t="s">
        <v>36</v>
      </c>
      <c r="F1620" t="s">
        <v>3962</v>
      </c>
      <c r="G1620" t="s">
        <v>3963</v>
      </c>
    </row>
    <row r="1621" spans="1:7">
      <c r="A1621" t="s">
        <v>3964</v>
      </c>
      <c r="B1621">
        <v>-25</v>
      </c>
      <c r="C1621" t="s">
        <v>3965</v>
      </c>
      <c r="D1621">
        <v>79420</v>
      </c>
      <c r="E1621" t="s">
        <v>27</v>
      </c>
      <c r="F1621" t="s">
        <v>3966</v>
      </c>
      <c r="G1621" s="1">
        <v>44988</v>
      </c>
    </row>
    <row r="1622" spans="1:7">
      <c r="A1622" t="s">
        <v>3596</v>
      </c>
      <c r="B1622">
        <v>59</v>
      </c>
      <c r="C1622" t="s">
        <v>3967</v>
      </c>
      <c r="D1622">
        <v>65315</v>
      </c>
      <c r="E1622" t="s">
        <v>12</v>
      </c>
      <c r="F1622" t="s">
        <v>3968</v>
      </c>
      <c r="G1622" s="1">
        <v>45074</v>
      </c>
    </row>
    <row r="1623" spans="1:7">
      <c r="A1623" t="s">
        <v>3969</v>
      </c>
      <c r="B1623">
        <v>21</v>
      </c>
      <c r="C1623" t="s">
        <v>3970</v>
      </c>
      <c r="D1623">
        <v>178929</v>
      </c>
      <c r="E1623" t="s">
        <v>27</v>
      </c>
      <c r="F1623" t="s">
        <v>3971</v>
      </c>
      <c r="G1623" s="1">
        <v>45252</v>
      </c>
    </row>
    <row r="1624" spans="1:7">
      <c r="A1624" t="s">
        <v>3972</v>
      </c>
      <c r="B1624">
        <v>30</v>
      </c>
      <c r="C1624" t="s">
        <v>3973</v>
      </c>
      <c r="D1624">
        <v>124948</v>
      </c>
      <c r="F1624" t="s">
        <v>3974</v>
      </c>
      <c r="G1624" t="s">
        <v>483</v>
      </c>
    </row>
    <row r="1625" spans="1:7">
      <c r="A1625" t="s">
        <v>3975</v>
      </c>
      <c r="B1625">
        <v>22</v>
      </c>
      <c r="C1625" t="s">
        <v>3976</v>
      </c>
      <c r="D1625">
        <v>189525</v>
      </c>
      <c r="E1625" t="s">
        <v>12</v>
      </c>
      <c r="F1625">
        <v>1717462505</v>
      </c>
      <c r="G1625" s="1">
        <v>45076</v>
      </c>
    </row>
    <row r="1626" spans="1:7">
      <c r="A1626" t="s">
        <v>3977</v>
      </c>
      <c r="B1626">
        <v>67</v>
      </c>
      <c r="C1626" t="s">
        <v>3978</v>
      </c>
      <c r="D1626">
        <v>105318</v>
      </c>
      <c r="E1626" t="s">
        <v>36</v>
      </c>
      <c r="F1626">
        <f>1-530-750-6386</f>
        <v>-7665</v>
      </c>
      <c r="G1626" s="1">
        <v>45160</v>
      </c>
    </row>
    <row r="1627" spans="1:7">
      <c r="A1627" t="s">
        <v>3979</v>
      </c>
      <c r="B1627">
        <v>43</v>
      </c>
      <c r="C1627" t="s">
        <v>3980</v>
      </c>
      <c r="D1627">
        <v>129083</v>
      </c>
      <c r="E1627" t="s">
        <v>27</v>
      </c>
      <c r="F1627" t="s">
        <v>3981</v>
      </c>
      <c r="G1627" s="1">
        <v>45233</v>
      </c>
    </row>
    <row r="1628" spans="1:7">
      <c r="A1628" t="s">
        <v>3982</v>
      </c>
      <c r="B1628">
        <v>30</v>
      </c>
      <c r="C1628" t="s">
        <v>3983</v>
      </c>
      <c r="D1628">
        <v>150562</v>
      </c>
      <c r="E1628" t="s">
        <v>36</v>
      </c>
      <c r="F1628">
        <v>4337385343</v>
      </c>
      <c r="G1628" t="s">
        <v>422</v>
      </c>
    </row>
    <row r="1629" spans="1:7">
      <c r="A1629" t="s">
        <v>3984</v>
      </c>
      <c r="B1629">
        <v>58</v>
      </c>
      <c r="C1629" t="s">
        <v>3985</v>
      </c>
      <c r="D1629">
        <v>0</v>
      </c>
      <c r="E1629" t="s">
        <v>12</v>
      </c>
      <c r="F1629" t="s">
        <v>3986</v>
      </c>
      <c r="G1629" s="1">
        <v>45191</v>
      </c>
    </row>
    <row r="1630" spans="1:7">
      <c r="A1630" t="s">
        <v>3987</v>
      </c>
      <c r="B1630">
        <v>70</v>
      </c>
      <c r="C1630" t="s">
        <v>3988</v>
      </c>
      <c r="F1630" t="s">
        <v>3989</v>
      </c>
      <c r="G1630" s="1">
        <v>45274</v>
      </c>
    </row>
    <row r="1631" spans="1:7">
      <c r="B1631">
        <v>69</v>
      </c>
      <c r="C1631" t="s">
        <v>3990</v>
      </c>
      <c r="D1631">
        <v>-5000</v>
      </c>
      <c r="E1631" t="s">
        <v>27</v>
      </c>
      <c r="F1631" t="s">
        <v>3991</v>
      </c>
      <c r="G1631" s="1">
        <v>45200</v>
      </c>
    </row>
    <row r="1632" spans="1:7">
      <c r="A1632" t="s">
        <v>3992</v>
      </c>
      <c r="B1632">
        <v>59</v>
      </c>
      <c r="C1632" t="s">
        <v>3993</v>
      </c>
      <c r="D1632">
        <v>59685</v>
      </c>
      <c r="E1632" t="s">
        <v>9</v>
      </c>
      <c r="F1632">
        <v>3117856053</v>
      </c>
      <c r="G1632" s="1">
        <v>45120</v>
      </c>
    </row>
    <row r="1633" spans="1:7">
      <c r="A1633" t="s">
        <v>3994</v>
      </c>
      <c r="B1633">
        <v>54</v>
      </c>
      <c r="C1633" t="s">
        <v>3995</v>
      </c>
      <c r="D1633">
        <v>176583</v>
      </c>
      <c r="E1633" t="s">
        <v>27</v>
      </c>
      <c r="F1633" t="s">
        <v>3996</v>
      </c>
      <c r="G1633" s="1">
        <v>45148</v>
      </c>
    </row>
    <row r="1634" spans="1:7">
      <c r="A1634" t="s">
        <v>3997</v>
      </c>
      <c r="B1634">
        <v>32</v>
      </c>
      <c r="D1634">
        <v>106298</v>
      </c>
      <c r="E1634" t="s">
        <v>9</v>
      </c>
      <c r="F1634">
        <v>5224074302</v>
      </c>
      <c r="G1634" s="1">
        <v>45046</v>
      </c>
    </row>
    <row r="1635" spans="1:7">
      <c r="A1635" t="s">
        <v>3998</v>
      </c>
      <c r="B1635">
        <v>65</v>
      </c>
      <c r="C1635" t="s">
        <v>594</v>
      </c>
      <c r="D1635">
        <v>106448</v>
      </c>
      <c r="E1635" t="s">
        <v>12</v>
      </c>
      <c r="F1635" t="s">
        <v>3999</v>
      </c>
      <c r="G1635" s="1">
        <v>45282</v>
      </c>
    </row>
    <row r="1636" spans="1:7">
      <c r="A1636" t="s">
        <v>4000</v>
      </c>
      <c r="B1636">
        <v>47</v>
      </c>
      <c r="C1636" t="s">
        <v>4001</v>
      </c>
      <c r="D1636">
        <v>72422</v>
      </c>
      <c r="E1636" t="s">
        <v>12</v>
      </c>
      <c r="F1636">
        <v>1093852809</v>
      </c>
      <c r="G1636" s="1">
        <v>44937</v>
      </c>
    </row>
    <row r="1637" spans="1:7">
      <c r="A1637" t="s">
        <v>4002</v>
      </c>
      <c r="B1637">
        <v>23</v>
      </c>
      <c r="C1637" t="s">
        <v>4003</v>
      </c>
      <c r="D1637">
        <v>141249</v>
      </c>
      <c r="E1637" t="s">
        <v>27</v>
      </c>
      <c r="F1637" t="s">
        <v>4004</v>
      </c>
      <c r="G1637" s="1">
        <v>45229</v>
      </c>
    </row>
    <row r="1638" spans="1:7">
      <c r="A1638" t="s">
        <v>4005</v>
      </c>
      <c r="C1638" t="s">
        <v>4006</v>
      </c>
      <c r="D1638">
        <v>177271</v>
      </c>
      <c r="E1638" t="s">
        <v>12</v>
      </c>
      <c r="F1638" t="s">
        <v>4007</v>
      </c>
      <c r="G1638" s="1">
        <v>45226</v>
      </c>
    </row>
    <row r="1639" spans="1:7">
      <c r="A1639" t="s">
        <v>4008</v>
      </c>
      <c r="B1639">
        <v>41</v>
      </c>
      <c r="C1639" t="s">
        <v>4009</v>
      </c>
      <c r="D1639">
        <v>68196</v>
      </c>
      <c r="E1639" t="s">
        <v>27</v>
      </c>
      <c r="F1639" t="s">
        <v>4010</v>
      </c>
      <c r="G1639" s="1">
        <v>45235</v>
      </c>
    </row>
    <row r="1640" spans="1:7">
      <c r="A1640" t="s">
        <v>4011</v>
      </c>
      <c r="B1640">
        <v>19</v>
      </c>
      <c r="C1640" t="s">
        <v>4012</v>
      </c>
      <c r="D1640">
        <v>85571</v>
      </c>
      <c r="E1640" t="s">
        <v>36</v>
      </c>
      <c r="F1640" t="s">
        <v>4013</v>
      </c>
      <c r="G1640" s="1">
        <v>45254</v>
      </c>
    </row>
    <row r="1641" spans="1:7">
      <c r="A1641" t="s">
        <v>4014</v>
      </c>
      <c r="B1641">
        <v>24</v>
      </c>
      <c r="D1641">
        <v>-5000</v>
      </c>
      <c r="E1641" t="s">
        <v>12</v>
      </c>
      <c r="F1641" t="s">
        <v>4015</v>
      </c>
      <c r="G1641" s="1">
        <v>45085</v>
      </c>
    </row>
    <row r="1642" spans="1:7">
      <c r="A1642" t="s">
        <v>4016</v>
      </c>
      <c r="B1642">
        <v>29</v>
      </c>
      <c r="C1642" t="s">
        <v>4017</v>
      </c>
      <c r="D1642">
        <v>59661</v>
      </c>
      <c r="E1642" t="s">
        <v>36</v>
      </c>
      <c r="F1642" t="s">
        <v>4018</v>
      </c>
      <c r="G1642" s="1">
        <v>45210</v>
      </c>
    </row>
    <row r="1643" spans="1:7">
      <c r="A1643" t="s">
        <v>4019</v>
      </c>
      <c r="B1643">
        <v>42</v>
      </c>
      <c r="D1643">
        <v>54074</v>
      </c>
      <c r="E1643" t="s">
        <v>9</v>
      </c>
      <c r="F1643">
        <f>1-615-299-9964</f>
        <v>-10877</v>
      </c>
      <c r="G1643" t="s">
        <v>493</v>
      </c>
    </row>
    <row r="1644" spans="1:7">
      <c r="A1644" t="s">
        <v>4020</v>
      </c>
      <c r="B1644">
        <v>44</v>
      </c>
      <c r="D1644">
        <v>189892</v>
      </c>
      <c r="E1644" t="s">
        <v>27</v>
      </c>
      <c r="F1644">
        <f>1-759-158-5011</f>
        <v>-5927</v>
      </c>
      <c r="G1644" s="1">
        <v>45040</v>
      </c>
    </row>
    <row r="1645" spans="1:7">
      <c r="A1645" t="s">
        <v>4021</v>
      </c>
      <c r="B1645">
        <v>74</v>
      </c>
      <c r="C1645" t="s">
        <v>4022</v>
      </c>
      <c r="D1645">
        <v>196340</v>
      </c>
      <c r="E1645" t="s">
        <v>12</v>
      </c>
      <c r="F1645" t="s">
        <v>4023</v>
      </c>
      <c r="G1645" s="1">
        <v>44932</v>
      </c>
    </row>
    <row r="1646" spans="1:7">
      <c r="A1646" t="s">
        <v>4024</v>
      </c>
      <c r="B1646">
        <v>58</v>
      </c>
      <c r="D1646">
        <v>198925</v>
      </c>
      <c r="E1646" t="s">
        <v>27</v>
      </c>
      <c r="F1646">
        <f>1-280-261-1476</f>
        <v>-2016</v>
      </c>
      <c r="G1646" s="1">
        <v>45073</v>
      </c>
    </row>
    <row r="1647" spans="1:7">
      <c r="A1647" t="s">
        <v>4025</v>
      </c>
      <c r="B1647">
        <v>23</v>
      </c>
      <c r="C1647" t="s">
        <v>4026</v>
      </c>
      <c r="D1647">
        <v>42192</v>
      </c>
      <c r="E1647" t="s">
        <v>36</v>
      </c>
      <c r="F1647" t="s">
        <v>4027</v>
      </c>
      <c r="G1647" s="1">
        <v>45001</v>
      </c>
    </row>
    <row r="1648" spans="1:7">
      <c r="A1648" t="s">
        <v>4028</v>
      </c>
      <c r="B1648">
        <v>41</v>
      </c>
      <c r="C1648" t="s">
        <v>478</v>
      </c>
      <c r="D1648">
        <v>33084</v>
      </c>
      <c r="E1648" t="s">
        <v>9</v>
      </c>
      <c r="F1648">
        <f>1-721-957-7157</f>
        <v>-8834</v>
      </c>
      <c r="G1648" s="1">
        <v>45215</v>
      </c>
    </row>
    <row r="1649" spans="1:7">
      <c r="A1649" t="s">
        <v>4029</v>
      </c>
      <c r="B1649">
        <v>69</v>
      </c>
      <c r="D1649">
        <v>119080</v>
      </c>
      <c r="E1649" t="s">
        <v>27</v>
      </c>
      <c r="F1649">
        <v>4747781900</v>
      </c>
      <c r="G1649" s="1">
        <v>45273</v>
      </c>
    </row>
    <row r="1650" spans="1:7">
      <c r="A1650" t="s">
        <v>4030</v>
      </c>
      <c r="B1650">
        <v>44</v>
      </c>
      <c r="C1650" t="s">
        <v>17</v>
      </c>
      <c r="D1650">
        <v>69339</v>
      </c>
      <c r="E1650" t="s">
        <v>12</v>
      </c>
      <c r="F1650">
        <v>7903851545</v>
      </c>
      <c r="G1650" s="1">
        <v>44943</v>
      </c>
    </row>
    <row r="1651" spans="1:7">
      <c r="A1651" t="s">
        <v>4031</v>
      </c>
      <c r="B1651">
        <v>77</v>
      </c>
      <c r="C1651" t="s">
        <v>4032</v>
      </c>
      <c r="D1651">
        <v>171994</v>
      </c>
      <c r="E1651" t="s">
        <v>9</v>
      </c>
      <c r="F1651" t="s">
        <v>4033</v>
      </c>
      <c r="G1651" s="1">
        <v>45264</v>
      </c>
    </row>
    <row r="1652" spans="1:7">
      <c r="A1652" t="s">
        <v>4034</v>
      </c>
      <c r="B1652">
        <v>42</v>
      </c>
      <c r="C1652" t="s">
        <v>4035</v>
      </c>
      <c r="D1652">
        <v>45372</v>
      </c>
      <c r="E1652" t="s">
        <v>27</v>
      </c>
      <c r="F1652" t="s">
        <v>4036</v>
      </c>
      <c r="G1652" t="s">
        <v>493</v>
      </c>
    </row>
    <row r="1653" spans="1:7">
      <c r="A1653" t="s">
        <v>4037</v>
      </c>
      <c r="B1653">
        <v>37</v>
      </c>
      <c r="C1653" t="s">
        <v>4038</v>
      </c>
      <c r="D1653">
        <v>74130</v>
      </c>
      <c r="E1653" t="s">
        <v>27</v>
      </c>
      <c r="F1653" t="s">
        <v>4039</v>
      </c>
      <c r="G1653" s="1">
        <v>45162</v>
      </c>
    </row>
    <row r="1654" spans="1:7">
      <c r="A1654" t="s">
        <v>4040</v>
      </c>
      <c r="B1654">
        <v>25</v>
      </c>
      <c r="C1654" t="s">
        <v>4041</v>
      </c>
      <c r="D1654">
        <v>186153</v>
      </c>
      <c r="E1654" t="s">
        <v>36</v>
      </c>
      <c r="F1654" t="s">
        <v>4042</v>
      </c>
      <c r="G1654" s="1">
        <v>45152</v>
      </c>
    </row>
    <row r="1655" spans="1:7">
      <c r="A1655" t="s">
        <v>4043</v>
      </c>
      <c r="B1655">
        <v>61</v>
      </c>
      <c r="C1655" t="s">
        <v>4044</v>
      </c>
      <c r="D1655">
        <v>79112</v>
      </c>
      <c r="E1655" t="s">
        <v>12</v>
      </c>
      <c r="F1655" t="s">
        <v>4045</v>
      </c>
      <c r="G1655" s="1">
        <v>45050</v>
      </c>
    </row>
    <row r="1656" spans="1:7">
      <c r="A1656" t="s">
        <v>4046</v>
      </c>
      <c r="B1656">
        <v>41</v>
      </c>
      <c r="C1656" t="s">
        <v>4047</v>
      </c>
      <c r="D1656">
        <v>84943</v>
      </c>
      <c r="E1656" t="s">
        <v>36</v>
      </c>
      <c r="F1656" t="s">
        <v>4048</v>
      </c>
      <c r="G1656" s="1">
        <v>44937</v>
      </c>
    </row>
    <row r="1657" spans="1:7">
      <c r="A1657" t="s">
        <v>4049</v>
      </c>
      <c r="B1657">
        <v>56</v>
      </c>
      <c r="C1657" t="s">
        <v>4050</v>
      </c>
      <c r="D1657">
        <v>170416</v>
      </c>
      <c r="E1657" t="s">
        <v>12</v>
      </c>
      <c r="F1657" t="s">
        <v>4051</v>
      </c>
      <c r="G1657" s="1">
        <v>45276</v>
      </c>
    </row>
    <row r="1658" spans="1:7">
      <c r="A1658" t="s">
        <v>4052</v>
      </c>
      <c r="B1658">
        <v>46</v>
      </c>
      <c r="C1658" t="s">
        <v>4053</v>
      </c>
      <c r="D1658">
        <v>73298</v>
      </c>
      <c r="E1658" t="s">
        <v>294</v>
      </c>
      <c r="F1658" t="s">
        <v>4054</v>
      </c>
      <c r="G1658" s="1">
        <v>44972</v>
      </c>
    </row>
    <row r="1659" spans="1:7">
      <c r="A1659" t="s">
        <v>4055</v>
      </c>
      <c r="B1659">
        <v>79</v>
      </c>
      <c r="C1659" t="s">
        <v>4056</v>
      </c>
      <c r="D1659">
        <v>67333</v>
      </c>
      <c r="E1659" t="s">
        <v>36</v>
      </c>
      <c r="F1659" t="s">
        <v>4057</v>
      </c>
      <c r="G1659" s="1">
        <v>45050</v>
      </c>
    </row>
    <row r="1660" spans="1:7">
      <c r="A1660" t="s">
        <v>4058</v>
      </c>
      <c r="B1660">
        <v>41</v>
      </c>
      <c r="D1660">
        <v>195565</v>
      </c>
      <c r="E1660" t="s">
        <v>36</v>
      </c>
      <c r="G1660" s="1">
        <v>45281</v>
      </c>
    </row>
    <row r="1661" spans="1:7">
      <c r="A1661" t="s">
        <v>4059</v>
      </c>
      <c r="B1661">
        <v>63</v>
      </c>
      <c r="C1661" t="s">
        <v>4060</v>
      </c>
      <c r="D1661">
        <v>111006</v>
      </c>
      <c r="E1661" t="s">
        <v>36</v>
      </c>
      <c r="F1661" t="s">
        <v>4061</v>
      </c>
      <c r="G1661" s="1">
        <v>44927</v>
      </c>
    </row>
    <row r="1662" spans="1:7">
      <c r="A1662" t="s">
        <v>4062</v>
      </c>
      <c r="B1662">
        <v>49</v>
      </c>
      <c r="C1662" t="s">
        <v>4063</v>
      </c>
      <c r="D1662">
        <v>181296</v>
      </c>
      <c r="E1662" t="s">
        <v>9</v>
      </c>
      <c r="F1662">
        <f>1-450-429-1339</f>
        <v>-2217</v>
      </c>
      <c r="G1662" s="1">
        <v>45065</v>
      </c>
    </row>
    <row r="1663" spans="1:7">
      <c r="A1663" t="s">
        <v>4064</v>
      </c>
      <c r="B1663">
        <v>56</v>
      </c>
      <c r="C1663" t="s">
        <v>4065</v>
      </c>
      <c r="D1663">
        <v>112569</v>
      </c>
      <c r="E1663" t="s">
        <v>36</v>
      </c>
      <c r="F1663" t="s">
        <v>4066</v>
      </c>
      <c r="G1663" s="1">
        <v>45267</v>
      </c>
    </row>
    <row r="1664" spans="1:7">
      <c r="A1664" t="s">
        <v>4067</v>
      </c>
      <c r="B1664">
        <v>31</v>
      </c>
      <c r="C1664" t="s">
        <v>4068</v>
      </c>
      <c r="D1664">
        <v>188819</v>
      </c>
      <c r="E1664" t="s">
        <v>27</v>
      </c>
      <c r="F1664" t="s">
        <v>4069</v>
      </c>
      <c r="G1664" s="1">
        <v>45206</v>
      </c>
    </row>
    <row r="1665" spans="1:7">
      <c r="A1665" t="s">
        <v>4070</v>
      </c>
      <c r="B1665">
        <v>78</v>
      </c>
      <c r="C1665" t="s">
        <v>4071</v>
      </c>
      <c r="D1665">
        <v>62152</v>
      </c>
      <c r="E1665" t="s">
        <v>36</v>
      </c>
      <c r="G1665" s="1">
        <v>45240</v>
      </c>
    </row>
    <row r="1666" spans="1:7">
      <c r="A1666" t="s">
        <v>4072</v>
      </c>
      <c r="B1666">
        <v>29</v>
      </c>
      <c r="C1666" t="s">
        <v>4073</v>
      </c>
      <c r="D1666">
        <v>-1000</v>
      </c>
      <c r="E1666" t="s">
        <v>27</v>
      </c>
      <c r="F1666" t="s">
        <v>4074</v>
      </c>
      <c r="G1666" s="1">
        <v>45219</v>
      </c>
    </row>
    <row r="1667" spans="1:7">
      <c r="A1667" t="s">
        <v>4075</v>
      </c>
      <c r="B1667">
        <v>57</v>
      </c>
      <c r="C1667" t="s">
        <v>4076</v>
      </c>
      <c r="D1667">
        <v>103155</v>
      </c>
      <c r="E1667" t="s">
        <v>9</v>
      </c>
      <c r="F1667">
        <v>4661549914</v>
      </c>
      <c r="G1667" s="1">
        <v>45187</v>
      </c>
    </row>
    <row r="1668" spans="1:7">
      <c r="A1668" t="s">
        <v>4077</v>
      </c>
      <c r="B1668">
        <v>32</v>
      </c>
      <c r="C1668" t="s">
        <v>4078</v>
      </c>
      <c r="D1668">
        <v>128234</v>
      </c>
      <c r="E1668" t="s">
        <v>12</v>
      </c>
      <c r="F1668" t="s">
        <v>4079</v>
      </c>
      <c r="G1668" t="s">
        <v>483</v>
      </c>
    </row>
    <row r="1669" spans="1:7">
      <c r="A1669" t="s">
        <v>4080</v>
      </c>
      <c r="B1669">
        <v>76</v>
      </c>
      <c r="C1669" t="s">
        <v>4081</v>
      </c>
      <c r="D1669">
        <v>37903</v>
      </c>
      <c r="E1669" t="s">
        <v>27</v>
      </c>
      <c r="F1669" t="s">
        <v>4082</v>
      </c>
      <c r="G1669" s="1">
        <v>44980</v>
      </c>
    </row>
    <row r="1670" spans="1:7">
      <c r="A1670" t="s">
        <v>4083</v>
      </c>
      <c r="B1670">
        <v>0</v>
      </c>
      <c r="C1670" t="s">
        <v>4084</v>
      </c>
      <c r="D1670">
        <v>80182</v>
      </c>
      <c r="E1670" t="s">
        <v>12</v>
      </c>
      <c r="F1670">
        <v>8569945568</v>
      </c>
      <c r="G1670" s="1">
        <v>45217</v>
      </c>
    </row>
    <row r="1671" spans="1:7">
      <c r="A1671" t="s">
        <v>4085</v>
      </c>
      <c r="B1671">
        <v>36</v>
      </c>
      <c r="C1671" t="s">
        <v>4086</v>
      </c>
      <c r="D1671">
        <v>110201</v>
      </c>
      <c r="E1671" t="s">
        <v>12</v>
      </c>
      <c r="F1671" t="s">
        <v>4087</v>
      </c>
      <c r="G1671" s="1">
        <v>44935</v>
      </c>
    </row>
    <row r="1672" spans="1:7">
      <c r="A1672" t="s">
        <v>4088</v>
      </c>
      <c r="B1672">
        <v>180</v>
      </c>
      <c r="C1672" t="s">
        <v>4089</v>
      </c>
      <c r="D1672">
        <v>81413</v>
      </c>
      <c r="E1672" t="s">
        <v>36</v>
      </c>
      <c r="F1672" t="s">
        <v>4090</v>
      </c>
      <c r="G1672" s="1">
        <v>45275</v>
      </c>
    </row>
    <row r="1673" spans="1:7">
      <c r="A1673" t="s">
        <v>4091</v>
      </c>
      <c r="B1673">
        <v>-5</v>
      </c>
      <c r="C1673" t="s">
        <v>115</v>
      </c>
      <c r="D1673">
        <v>151948</v>
      </c>
      <c r="E1673" t="s">
        <v>9</v>
      </c>
      <c r="F1673" t="s">
        <v>4092</v>
      </c>
      <c r="G1673" s="1">
        <v>45028</v>
      </c>
    </row>
    <row r="1674" spans="1:7">
      <c r="A1674" t="s">
        <v>4093</v>
      </c>
      <c r="B1674">
        <v>-5</v>
      </c>
      <c r="C1674" t="s">
        <v>4094</v>
      </c>
      <c r="D1674">
        <v>118422</v>
      </c>
      <c r="E1674" t="s">
        <v>9</v>
      </c>
      <c r="F1674" t="s">
        <v>4095</v>
      </c>
      <c r="G1674" s="1">
        <v>45260</v>
      </c>
    </row>
    <row r="1675" spans="1:7">
      <c r="A1675" t="s">
        <v>4096</v>
      </c>
      <c r="B1675">
        <v>29</v>
      </c>
      <c r="C1675" t="s">
        <v>4097</v>
      </c>
      <c r="D1675">
        <v>189682</v>
      </c>
      <c r="E1675" t="s">
        <v>12</v>
      </c>
      <c r="F1675" t="s">
        <v>4098</v>
      </c>
      <c r="G1675" s="1">
        <v>44931</v>
      </c>
    </row>
    <row r="1676" spans="1:7">
      <c r="A1676" t="s">
        <v>4099</v>
      </c>
      <c r="B1676">
        <v>28</v>
      </c>
      <c r="C1676" t="s">
        <v>4100</v>
      </c>
      <c r="D1676">
        <v>101356</v>
      </c>
      <c r="E1676" t="s">
        <v>27</v>
      </c>
      <c r="G1676" s="1">
        <v>45139</v>
      </c>
    </row>
    <row r="1677" spans="1:7">
      <c r="A1677" t="s">
        <v>4101</v>
      </c>
      <c r="B1677">
        <v>58</v>
      </c>
      <c r="C1677" t="s">
        <v>4102</v>
      </c>
      <c r="D1677">
        <v>191215</v>
      </c>
      <c r="E1677" t="s">
        <v>36</v>
      </c>
      <c r="F1677" t="s">
        <v>4103</v>
      </c>
      <c r="G1677" s="1">
        <v>44949</v>
      </c>
    </row>
    <row r="1678" spans="1:7">
      <c r="A1678" t="s">
        <v>4104</v>
      </c>
      <c r="B1678">
        <v>43</v>
      </c>
      <c r="C1678" t="s">
        <v>4105</v>
      </c>
      <c r="D1678">
        <v>137392</v>
      </c>
      <c r="E1678" t="s">
        <v>36</v>
      </c>
      <c r="F1678" t="s">
        <v>4106</v>
      </c>
      <c r="G1678" s="1">
        <v>45152</v>
      </c>
    </row>
    <row r="1679" spans="1:7">
      <c r="A1679" t="s">
        <v>4107</v>
      </c>
      <c r="B1679">
        <v>43</v>
      </c>
      <c r="C1679" t="s">
        <v>4108</v>
      </c>
      <c r="D1679">
        <v>95785</v>
      </c>
      <c r="E1679" t="s">
        <v>27</v>
      </c>
      <c r="F1679" t="s">
        <v>4109</v>
      </c>
      <c r="G1679" s="1">
        <v>45269</v>
      </c>
    </row>
    <row r="1680" spans="1:7">
      <c r="A1680" t="s">
        <v>4110</v>
      </c>
      <c r="B1680">
        <v>24</v>
      </c>
      <c r="C1680" t="s">
        <v>4111</v>
      </c>
      <c r="D1680">
        <v>197527</v>
      </c>
      <c r="E1680" t="s">
        <v>36</v>
      </c>
      <c r="F1680">
        <f>1-231-863-2065</f>
        <v>-3158</v>
      </c>
      <c r="G1680" s="1">
        <v>44943</v>
      </c>
    </row>
    <row r="1681" spans="1:7">
      <c r="A1681" t="s">
        <v>4112</v>
      </c>
      <c r="B1681">
        <v>33</v>
      </c>
      <c r="C1681" t="s">
        <v>4113</v>
      </c>
      <c r="D1681">
        <v>64681</v>
      </c>
      <c r="E1681" t="s">
        <v>9</v>
      </c>
      <c r="F1681" t="s">
        <v>4114</v>
      </c>
      <c r="G1681" s="1">
        <v>45279</v>
      </c>
    </row>
    <row r="1682" spans="1:7">
      <c r="A1682" t="s">
        <v>4115</v>
      </c>
      <c r="B1682">
        <v>0</v>
      </c>
      <c r="C1682" t="s">
        <v>4116</v>
      </c>
      <c r="D1682">
        <v>-20000</v>
      </c>
      <c r="E1682" t="s">
        <v>12</v>
      </c>
      <c r="F1682" t="s">
        <v>4117</v>
      </c>
      <c r="G1682" s="1">
        <v>45213</v>
      </c>
    </row>
    <row r="1683" spans="1:7">
      <c r="A1683" t="s">
        <v>4118</v>
      </c>
      <c r="B1683">
        <v>49</v>
      </c>
      <c r="C1683" t="s">
        <v>4119</v>
      </c>
      <c r="D1683">
        <v>188763</v>
      </c>
      <c r="E1683" t="s">
        <v>12</v>
      </c>
      <c r="G1683" s="1">
        <v>45179</v>
      </c>
    </row>
    <row r="1684" spans="1:7">
      <c r="A1684" t="s">
        <v>4120</v>
      </c>
      <c r="B1684">
        <v>57</v>
      </c>
      <c r="C1684" t="s">
        <v>4121</v>
      </c>
      <c r="D1684">
        <v>159572</v>
      </c>
      <c r="E1684" t="s">
        <v>9</v>
      </c>
      <c r="F1684" t="s">
        <v>4122</v>
      </c>
      <c r="G1684" s="1">
        <v>45043</v>
      </c>
    </row>
    <row r="1685" spans="1:7">
      <c r="A1685" t="s">
        <v>4123</v>
      </c>
      <c r="B1685">
        <v>42</v>
      </c>
      <c r="C1685" t="s">
        <v>17</v>
      </c>
      <c r="E1685" t="s">
        <v>12</v>
      </c>
      <c r="F1685" t="s">
        <v>4124</v>
      </c>
      <c r="G1685" s="1">
        <v>45183</v>
      </c>
    </row>
    <row r="1686" spans="1:7">
      <c r="A1686" t="s">
        <v>4125</v>
      </c>
      <c r="B1686">
        <v>37</v>
      </c>
      <c r="C1686" t="s">
        <v>4126</v>
      </c>
      <c r="D1686">
        <v>50700</v>
      </c>
      <c r="E1686" t="s">
        <v>36</v>
      </c>
      <c r="F1686" t="s">
        <v>4127</v>
      </c>
      <c r="G1686" s="1">
        <v>44976</v>
      </c>
    </row>
    <row r="1687" spans="1:7">
      <c r="A1687" t="s">
        <v>4128</v>
      </c>
      <c r="B1687">
        <v>33</v>
      </c>
      <c r="C1687" t="s">
        <v>4129</v>
      </c>
      <c r="D1687">
        <v>67548</v>
      </c>
      <c r="E1687" t="s">
        <v>36</v>
      </c>
      <c r="F1687" t="s">
        <v>4130</v>
      </c>
      <c r="G1687" s="1">
        <v>44983</v>
      </c>
    </row>
    <row r="1688" spans="1:7">
      <c r="A1688" t="s">
        <v>4131</v>
      </c>
      <c r="B1688">
        <v>54</v>
      </c>
      <c r="C1688" t="s">
        <v>4132</v>
      </c>
      <c r="D1688">
        <v>100409</v>
      </c>
      <c r="E1688" t="s">
        <v>12</v>
      </c>
      <c r="F1688" t="s">
        <v>4133</v>
      </c>
      <c r="G1688" s="1">
        <v>45245</v>
      </c>
    </row>
    <row r="1689" spans="1:7">
      <c r="A1689" t="s">
        <v>4134</v>
      </c>
      <c r="B1689">
        <v>-5</v>
      </c>
      <c r="D1689">
        <v>161742</v>
      </c>
      <c r="E1689" t="s">
        <v>27</v>
      </c>
      <c r="F1689" t="s">
        <v>4135</v>
      </c>
      <c r="G1689" s="1">
        <v>45253</v>
      </c>
    </row>
    <row r="1690" spans="1:7">
      <c r="A1690" t="s">
        <v>4136</v>
      </c>
      <c r="B1690">
        <v>29</v>
      </c>
      <c r="C1690" t="s">
        <v>4137</v>
      </c>
      <c r="D1690">
        <v>118835</v>
      </c>
      <c r="E1690" t="s">
        <v>27</v>
      </c>
      <c r="F1690" t="s">
        <v>4138</v>
      </c>
      <c r="G1690" s="1">
        <v>44927</v>
      </c>
    </row>
    <row r="1691" spans="1:7">
      <c r="A1691" t="s">
        <v>4139</v>
      </c>
      <c r="B1691">
        <v>35</v>
      </c>
      <c r="C1691" t="s">
        <v>4140</v>
      </c>
      <c r="D1691">
        <v>188458</v>
      </c>
      <c r="E1691" t="s">
        <v>12</v>
      </c>
      <c r="F1691" t="s">
        <v>4141</v>
      </c>
      <c r="G1691" s="1">
        <v>45172</v>
      </c>
    </row>
    <row r="1692" spans="1:7">
      <c r="A1692" t="s">
        <v>4142</v>
      </c>
      <c r="B1692">
        <v>78</v>
      </c>
      <c r="C1692" t="s">
        <v>4143</v>
      </c>
      <c r="D1692">
        <v>199823</v>
      </c>
      <c r="E1692" t="s">
        <v>12</v>
      </c>
      <c r="F1692" t="s">
        <v>4144</v>
      </c>
      <c r="G1692" s="1">
        <v>45106</v>
      </c>
    </row>
    <row r="1693" spans="1:7">
      <c r="A1693" t="s">
        <v>4145</v>
      </c>
      <c r="B1693">
        <v>-1</v>
      </c>
      <c r="C1693" t="s">
        <v>17</v>
      </c>
      <c r="D1693">
        <v>169608</v>
      </c>
      <c r="E1693" t="s">
        <v>9</v>
      </c>
      <c r="F1693" t="s">
        <v>4146</v>
      </c>
      <c r="G1693" s="1">
        <v>45080</v>
      </c>
    </row>
    <row r="1694" spans="1:7">
      <c r="A1694" t="s">
        <v>4147</v>
      </c>
      <c r="B1694">
        <v>-10</v>
      </c>
      <c r="C1694" t="s">
        <v>4148</v>
      </c>
      <c r="D1694">
        <v>-20000</v>
      </c>
      <c r="E1694" t="s">
        <v>9</v>
      </c>
      <c r="G1694" s="1">
        <v>45241</v>
      </c>
    </row>
    <row r="1695" spans="1:7">
      <c r="A1695" t="s">
        <v>4149</v>
      </c>
      <c r="B1695">
        <v>78</v>
      </c>
      <c r="C1695" t="s">
        <v>4150</v>
      </c>
      <c r="D1695">
        <v>65929</v>
      </c>
      <c r="E1695" t="s">
        <v>9</v>
      </c>
      <c r="F1695" t="s">
        <v>4151</v>
      </c>
      <c r="G1695" s="1">
        <v>45196</v>
      </c>
    </row>
    <row r="1696" spans="1:7">
      <c r="A1696" t="s">
        <v>4152</v>
      </c>
      <c r="B1696">
        <v>150</v>
      </c>
      <c r="C1696" t="s">
        <v>4153</v>
      </c>
      <c r="E1696" t="s">
        <v>27</v>
      </c>
      <c r="F1696" t="s">
        <v>4154</v>
      </c>
      <c r="G1696" s="1">
        <v>44930</v>
      </c>
    </row>
    <row r="1697" spans="1:7">
      <c r="A1697" t="s">
        <v>4155</v>
      </c>
      <c r="B1697">
        <v>-1</v>
      </c>
      <c r="C1697" t="s">
        <v>389</v>
      </c>
      <c r="D1697">
        <v>100871</v>
      </c>
      <c r="E1697" t="s">
        <v>9</v>
      </c>
      <c r="F1697">
        <f>1-475-496-6028</f>
        <v>-6998</v>
      </c>
      <c r="G1697" s="1">
        <v>44967</v>
      </c>
    </row>
    <row r="1698" spans="1:7">
      <c r="A1698" t="s">
        <v>4156</v>
      </c>
      <c r="B1698">
        <v>22</v>
      </c>
      <c r="C1698" t="s">
        <v>4157</v>
      </c>
      <c r="D1698">
        <v>73459</v>
      </c>
      <c r="E1698" t="s">
        <v>12</v>
      </c>
      <c r="F1698">
        <f>1-606-922-4545</f>
        <v>-6072</v>
      </c>
      <c r="G1698" s="1">
        <v>45186</v>
      </c>
    </row>
    <row r="1699" spans="1:7">
      <c r="A1699" t="s">
        <v>4158</v>
      </c>
      <c r="B1699">
        <v>54</v>
      </c>
      <c r="C1699" t="s">
        <v>4159</v>
      </c>
      <c r="D1699">
        <v>83664</v>
      </c>
      <c r="E1699" t="s">
        <v>36</v>
      </c>
      <c r="F1699" t="s">
        <v>4160</v>
      </c>
      <c r="G1699" s="1">
        <v>45290</v>
      </c>
    </row>
    <row r="1700" spans="1:7">
      <c r="A1700" t="s">
        <v>4161</v>
      </c>
      <c r="B1700">
        <v>77</v>
      </c>
      <c r="C1700" t="s">
        <v>4162</v>
      </c>
      <c r="D1700">
        <v>31184</v>
      </c>
      <c r="E1700" t="s">
        <v>12</v>
      </c>
      <c r="F1700" t="s">
        <v>4163</v>
      </c>
      <c r="G1700" s="1">
        <v>45287</v>
      </c>
    </row>
    <row r="1701" spans="1:7">
      <c r="A1701" t="s">
        <v>4164</v>
      </c>
      <c r="B1701">
        <v>77</v>
      </c>
      <c r="C1701" t="s">
        <v>4165</v>
      </c>
      <c r="D1701">
        <v>134843</v>
      </c>
      <c r="E1701" t="s">
        <v>36</v>
      </c>
      <c r="F1701" t="s">
        <v>4166</v>
      </c>
      <c r="G1701" s="1">
        <v>45044</v>
      </c>
    </row>
    <row r="1702" spans="1:7">
      <c r="A1702" t="s">
        <v>4167</v>
      </c>
      <c r="B1702">
        <v>0</v>
      </c>
      <c r="C1702" t="s">
        <v>4168</v>
      </c>
      <c r="D1702">
        <v>162851</v>
      </c>
      <c r="E1702" t="s">
        <v>49</v>
      </c>
      <c r="F1702" t="s">
        <v>4169</v>
      </c>
      <c r="G1702" s="1">
        <v>45095</v>
      </c>
    </row>
    <row r="1703" spans="1:7">
      <c r="A1703" t="s">
        <v>4170</v>
      </c>
      <c r="B1703">
        <v>62</v>
      </c>
      <c r="C1703" t="s">
        <v>4171</v>
      </c>
      <c r="D1703">
        <v>127927</v>
      </c>
      <c r="E1703" t="s">
        <v>27</v>
      </c>
      <c r="F1703" t="s">
        <v>4172</v>
      </c>
      <c r="G1703" s="1">
        <v>45131</v>
      </c>
    </row>
    <row r="1704" spans="1:7">
      <c r="A1704" t="s">
        <v>4173</v>
      </c>
      <c r="B1704">
        <v>-1</v>
      </c>
      <c r="C1704" t="s">
        <v>4174</v>
      </c>
      <c r="D1704">
        <v>190595</v>
      </c>
      <c r="E1704" t="s">
        <v>27</v>
      </c>
      <c r="F1704" t="s">
        <v>4175</v>
      </c>
      <c r="G1704" s="1">
        <v>45220</v>
      </c>
    </row>
    <row r="1705" spans="1:7">
      <c r="A1705" t="s">
        <v>4176</v>
      </c>
      <c r="B1705">
        <v>34</v>
      </c>
      <c r="C1705" t="s">
        <v>4177</v>
      </c>
      <c r="D1705">
        <v>69350</v>
      </c>
      <c r="E1705" t="s">
        <v>27</v>
      </c>
      <c r="F1705">
        <v>6600955228</v>
      </c>
      <c r="G1705" s="1">
        <v>44931</v>
      </c>
    </row>
    <row r="1706" spans="1:7">
      <c r="A1706" t="s">
        <v>4178</v>
      </c>
      <c r="B1706">
        <v>40</v>
      </c>
      <c r="C1706" t="s">
        <v>4179</v>
      </c>
      <c r="D1706">
        <v>100968</v>
      </c>
      <c r="E1706" t="s">
        <v>9</v>
      </c>
      <c r="F1706">
        <f>1-948-837-8758</f>
        <v>-10542</v>
      </c>
      <c r="G1706" s="1">
        <v>45275</v>
      </c>
    </row>
    <row r="1707" spans="1:7">
      <c r="A1707" t="s">
        <v>4180</v>
      </c>
      <c r="B1707">
        <v>25</v>
      </c>
      <c r="C1707" t="s">
        <v>4181</v>
      </c>
      <c r="D1707">
        <v>144934</v>
      </c>
      <c r="E1707" t="s">
        <v>9</v>
      </c>
      <c r="F1707">
        <v>3844572111</v>
      </c>
      <c r="G1707" s="1">
        <v>45268</v>
      </c>
    </row>
    <row r="1708" spans="1:7">
      <c r="A1708" t="s">
        <v>4182</v>
      </c>
      <c r="B1708">
        <v>47</v>
      </c>
      <c r="C1708" t="s">
        <v>4183</v>
      </c>
      <c r="D1708">
        <v>62888</v>
      </c>
      <c r="E1708" t="s">
        <v>36</v>
      </c>
      <c r="F1708" t="s">
        <v>4184</v>
      </c>
      <c r="G1708" s="1">
        <v>44986</v>
      </c>
    </row>
    <row r="1709" spans="1:7">
      <c r="A1709" t="s">
        <v>4185</v>
      </c>
      <c r="B1709">
        <v>57</v>
      </c>
      <c r="C1709" t="s">
        <v>4186</v>
      </c>
      <c r="D1709">
        <v>156083</v>
      </c>
      <c r="E1709" t="s">
        <v>9</v>
      </c>
      <c r="F1709">
        <v>2695304195</v>
      </c>
      <c r="G1709" s="1">
        <v>45177</v>
      </c>
    </row>
    <row r="1710" spans="1:7">
      <c r="A1710" t="s">
        <v>4187</v>
      </c>
      <c r="B1710">
        <v>31</v>
      </c>
      <c r="C1710" t="s">
        <v>4188</v>
      </c>
      <c r="D1710">
        <v>48135</v>
      </c>
      <c r="E1710" t="s">
        <v>36</v>
      </c>
      <c r="F1710">
        <f>1-284-565-9346</f>
        <v>-10194</v>
      </c>
      <c r="G1710" t="s">
        <v>81</v>
      </c>
    </row>
    <row r="1711" spans="1:7">
      <c r="A1711" t="s">
        <v>4189</v>
      </c>
      <c r="B1711">
        <v>42</v>
      </c>
      <c r="C1711" t="s">
        <v>4190</v>
      </c>
      <c r="D1711">
        <v>177270</v>
      </c>
      <c r="E1711" t="s">
        <v>9</v>
      </c>
      <c r="F1711" t="s">
        <v>4191</v>
      </c>
      <c r="G1711" s="1">
        <v>45105</v>
      </c>
    </row>
    <row r="1712" spans="1:7">
      <c r="A1712" t="s">
        <v>4192</v>
      </c>
      <c r="B1712">
        <v>-1</v>
      </c>
      <c r="C1712" t="s">
        <v>4193</v>
      </c>
      <c r="D1712">
        <v>162447</v>
      </c>
      <c r="E1712" t="s">
        <v>36</v>
      </c>
      <c r="F1712">
        <v>9878167585</v>
      </c>
      <c r="G1712" s="1">
        <v>45136</v>
      </c>
    </row>
    <row r="1713" spans="1:7">
      <c r="A1713" t="s">
        <v>4194</v>
      </c>
      <c r="B1713">
        <v>20</v>
      </c>
      <c r="C1713" t="s">
        <v>4195</v>
      </c>
      <c r="D1713">
        <v>143783</v>
      </c>
      <c r="E1713" t="s">
        <v>12</v>
      </c>
      <c r="F1713" t="s">
        <v>4196</v>
      </c>
      <c r="G1713" s="1">
        <v>44928</v>
      </c>
    </row>
    <row r="1714" spans="1:7">
      <c r="A1714" t="s">
        <v>4197</v>
      </c>
      <c r="B1714">
        <v>38</v>
      </c>
      <c r="C1714" t="s">
        <v>4198</v>
      </c>
      <c r="D1714">
        <v>101854</v>
      </c>
      <c r="E1714" t="s">
        <v>9</v>
      </c>
      <c r="F1714">
        <f>1-464-419-6444</f>
        <v>-7326</v>
      </c>
      <c r="G1714" s="1">
        <v>44937</v>
      </c>
    </row>
    <row r="1715" spans="1:7">
      <c r="A1715" t="s">
        <v>4199</v>
      </c>
      <c r="B1715">
        <v>24</v>
      </c>
      <c r="C1715" t="s">
        <v>4200</v>
      </c>
      <c r="E1715" t="s">
        <v>12</v>
      </c>
      <c r="F1715" t="s">
        <v>4201</v>
      </c>
      <c r="G1715" s="1">
        <v>44937</v>
      </c>
    </row>
    <row r="1716" spans="1:7">
      <c r="A1716" t="s">
        <v>4202</v>
      </c>
      <c r="B1716">
        <v>33</v>
      </c>
      <c r="C1716" t="s">
        <v>4203</v>
      </c>
      <c r="D1716">
        <v>164678</v>
      </c>
      <c r="E1716" t="s">
        <v>49</v>
      </c>
      <c r="F1716" t="s">
        <v>4204</v>
      </c>
      <c r="G1716" s="1">
        <v>44979</v>
      </c>
    </row>
    <row r="1717" spans="1:7">
      <c r="A1717" t="s">
        <v>4205</v>
      </c>
      <c r="B1717">
        <v>79</v>
      </c>
      <c r="C1717" t="s">
        <v>4206</v>
      </c>
      <c r="D1717">
        <v>79812</v>
      </c>
      <c r="E1717" t="s">
        <v>9</v>
      </c>
      <c r="F1717" t="s">
        <v>4207</v>
      </c>
      <c r="G1717" s="1">
        <v>45024</v>
      </c>
    </row>
    <row r="1718" spans="1:7">
      <c r="A1718" t="s">
        <v>4208</v>
      </c>
      <c r="B1718">
        <v>26</v>
      </c>
      <c r="C1718" t="s">
        <v>4209</v>
      </c>
      <c r="D1718">
        <v>181791</v>
      </c>
      <c r="E1718" t="s">
        <v>9</v>
      </c>
      <c r="F1718" t="s">
        <v>4210</v>
      </c>
      <c r="G1718" s="1">
        <v>44971</v>
      </c>
    </row>
    <row r="1719" spans="1:7">
      <c r="A1719" t="s">
        <v>4211</v>
      </c>
      <c r="B1719">
        <v>36</v>
      </c>
      <c r="C1719" t="s">
        <v>4212</v>
      </c>
      <c r="D1719">
        <v>196508</v>
      </c>
      <c r="E1719" t="s">
        <v>12</v>
      </c>
      <c r="F1719" t="s">
        <v>4213</v>
      </c>
      <c r="G1719" s="1">
        <v>44956</v>
      </c>
    </row>
    <row r="1720" spans="1:7">
      <c r="A1720" t="s">
        <v>4214</v>
      </c>
      <c r="B1720">
        <v>57</v>
      </c>
      <c r="C1720" t="s">
        <v>4215</v>
      </c>
      <c r="D1720">
        <v>149963</v>
      </c>
      <c r="E1720" t="s">
        <v>18</v>
      </c>
      <c r="F1720">
        <f>1-814-636-4251</f>
        <v>-5700</v>
      </c>
      <c r="G1720" s="1">
        <v>45057</v>
      </c>
    </row>
    <row r="1721" spans="1:7">
      <c r="A1721" t="s">
        <v>4216</v>
      </c>
      <c r="B1721">
        <v>68</v>
      </c>
      <c r="C1721" t="s">
        <v>445</v>
      </c>
      <c r="D1721">
        <v>35586</v>
      </c>
      <c r="E1721" t="s">
        <v>12</v>
      </c>
      <c r="F1721" t="s">
        <v>4217</v>
      </c>
      <c r="G1721" s="1">
        <v>45009</v>
      </c>
    </row>
    <row r="1722" spans="1:7">
      <c r="A1722" t="s">
        <v>4218</v>
      </c>
      <c r="B1722">
        <v>49</v>
      </c>
      <c r="C1722" t="s">
        <v>4219</v>
      </c>
      <c r="D1722">
        <v>174738</v>
      </c>
      <c r="E1722" t="s">
        <v>27</v>
      </c>
      <c r="F1722" t="s">
        <v>4220</v>
      </c>
      <c r="G1722" s="1">
        <v>45262</v>
      </c>
    </row>
    <row r="1723" spans="1:7">
      <c r="A1723" t="s">
        <v>4221</v>
      </c>
      <c r="B1723">
        <v>49</v>
      </c>
      <c r="C1723" t="s">
        <v>4222</v>
      </c>
      <c r="D1723">
        <v>36470</v>
      </c>
      <c r="E1723" t="s">
        <v>36</v>
      </c>
      <c r="F1723" t="s">
        <v>4223</v>
      </c>
      <c r="G1723" s="1">
        <v>45035</v>
      </c>
    </row>
    <row r="1724" spans="1:7">
      <c r="A1724" t="s">
        <v>4224</v>
      </c>
      <c r="B1724">
        <v>30</v>
      </c>
      <c r="C1724" t="s">
        <v>61</v>
      </c>
      <c r="D1724">
        <v>79597</v>
      </c>
      <c r="E1724" t="s">
        <v>12</v>
      </c>
      <c r="G1724" s="1">
        <v>45114</v>
      </c>
    </row>
    <row r="1725" spans="1:7">
      <c r="A1725" t="s">
        <v>4225</v>
      </c>
      <c r="C1725" t="s">
        <v>4226</v>
      </c>
      <c r="D1725">
        <v>168869</v>
      </c>
      <c r="E1725" t="s">
        <v>12</v>
      </c>
      <c r="F1725" t="s">
        <v>4227</v>
      </c>
      <c r="G1725" s="1">
        <v>45217</v>
      </c>
    </row>
    <row r="1726" spans="1:7">
      <c r="A1726" t="s">
        <v>4228</v>
      </c>
      <c r="B1726">
        <v>72</v>
      </c>
      <c r="C1726" t="s">
        <v>4229</v>
      </c>
      <c r="D1726">
        <v>175263</v>
      </c>
      <c r="E1726" t="s">
        <v>27</v>
      </c>
      <c r="F1726" t="s">
        <v>4230</v>
      </c>
      <c r="G1726" s="1">
        <v>44945</v>
      </c>
    </row>
    <row r="1727" spans="1:7">
      <c r="A1727" t="s">
        <v>4231</v>
      </c>
      <c r="B1727">
        <v>43</v>
      </c>
      <c r="C1727" t="s">
        <v>4232</v>
      </c>
      <c r="D1727">
        <v>194074</v>
      </c>
      <c r="E1727" t="s">
        <v>27</v>
      </c>
      <c r="F1727">
        <v>4343748592</v>
      </c>
      <c r="G1727" s="1">
        <v>44934</v>
      </c>
    </row>
    <row r="1728" spans="1:7">
      <c r="A1728" t="s">
        <v>4233</v>
      </c>
      <c r="C1728" t="s">
        <v>4234</v>
      </c>
      <c r="D1728">
        <v>33121</v>
      </c>
      <c r="E1728" t="s">
        <v>36</v>
      </c>
      <c r="F1728" t="s">
        <v>4235</v>
      </c>
      <c r="G1728" s="1">
        <v>45102</v>
      </c>
    </row>
    <row r="1729" spans="1:7">
      <c r="A1729" t="s">
        <v>4236</v>
      </c>
      <c r="B1729">
        <v>63</v>
      </c>
      <c r="C1729" t="s">
        <v>4237</v>
      </c>
      <c r="D1729">
        <v>188698</v>
      </c>
      <c r="E1729" t="s">
        <v>36</v>
      </c>
      <c r="F1729" t="s">
        <v>4238</v>
      </c>
      <c r="G1729" s="1">
        <v>44975</v>
      </c>
    </row>
    <row r="1730" spans="1:7">
      <c r="A1730" t="s">
        <v>4239</v>
      </c>
      <c r="B1730">
        <v>20</v>
      </c>
      <c r="C1730" t="s">
        <v>4240</v>
      </c>
      <c r="D1730">
        <v>81588</v>
      </c>
      <c r="E1730" t="s">
        <v>27</v>
      </c>
      <c r="F1730" t="s">
        <v>4241</v>
      </c>
      <c r="G1730" s="1">
        <v>45106</v>
      </c>
    </row>
    <row r="1731" spans="1:7">
      <c r="A1731" t="s">
        <v>4242</v>
      </c>
      <c r="B1731">
        <v>38</v>
      </c>
      <c r="C1731" t="s">
        <v>4243</v>
      </c>
      <c r="D1731">
        <v>138117</v>
      </c>
      <c r="E1731" t="s">
        <v>36</v>
      </c>
      <c r="F1731" t="s">
        <v>4244</v>
      </c>
      <c r="G1731" s="1">
        <v>44973</v>
      </c>
    </row>
    <row r="1732" spans="1:7">
      <c r="A1732" t="s">
        <v>4245</v>
      </c>
      <c r="B1732">
        <v>77</v>
      </c>
      <c r="C1732" t="s">
        <v>4246</v>
      </c>
      <c r="E1732" t="s">
        <v>9</v>
      </c>
      <c r="F1732" t="s">
        <v>4247</v>
      </c>
      <c r="G1732" s="1">
        <v>45051</v>
      </c>
    </row>
    <row r="1733" spans="1:7">
      <c r="A1733" t="s">
        <v>4248</v>
      </c>
      <c r="B1733">
        <v>47</v>
      </c>
      <c r="C1733" t="s">
        <v>445</v>
      </c>
      <c r="D1733">
        <v>30363</v>
      </c>
      <c r="E1733" t="s">
        <v>27</v>
      </c>
      <c r="F1733">
        <v>6619939965</v>
      </c>
      <c r="G1733" s="1">
        <v>45062</v>
      </c>
    </row>
    <row r="1734" spans="1:7">
      <c r="A1734" t="s">
        <v>4249</v>
      </c>
      <c r="B1734">
        <v>43</v>
      </c>
      <c r="C1734" t="s">
        <v>4250</v>
      </c>
      <c r="D1734">
        <v>116567</v>
      </c>
      <c r="E1734" t="s">
        <v>36</v>
      </c>
      <c r="F1734" t="s">
        <v>4251</v>
      </c>
      <c r="G1734" s="1">
        <v>45003</v>
      </c>
    </row>
    <row r="1735" spans="1:7">
      <c r="A1735" t="s">
        <v>4252</v>
      </c>
      <c r="B1735">
        <v>51</v>
      </c>
      <c r="C1735" t="s">
        <v>4253</v>
      </c>
      <c r="D1735">
        <v>40692</v>
      </c>
      <c r="E1735" t="s">
        <v>27</v>
      </c>
      <c r="F1735">
        <f>1-708-970-7597</f>
        <v>-9274</v>
      </c>
      <c r="G1735" s="1">
        <v>45102</v>
      </c>
    </row>
    <row r="1736" spans="1:7">
      <c r="A1736" t="s">
        <v>4254</v>
      </c>
      <c r="B1736">
        <v>76</v>
      </c>
      <c r="C1736" t="s">
        <v>4255</v>
      </c>
      <c r="D1736">
        <v>0</v>
      </c>
      <c r="E1736" t="s">
        <v>27</v>
      </c>
      <c r="F1736">
        <f>1-864-847-4507</f>
        <v>-6217</v>
      </c>
      <c r="G1736" s="1">
        <v>45118</v>
      </c>
    </row>
    <row r="1737" spans="1:7">
      <c r="A1737" t="s">
        <v>4256</v>
      </c>
      <c r="B1737">
        <v>71</v>
      </c>
      <c r="C1737" t="s">
        <v>4257</v>
      </c>
      <c r="D1737">
        <v>194077</v>
      </c>
      <c r="E1737" t="s">
        <v>27</v>
      </c>
      <c r="F1737" t="s">
        <v>4258</v>
      </c>
      <c r="G1737" s="1">
        <v>44953</v>
      </c>
    </row>
    <row r="1738" spans="1:7">
      <c r="B1738">
        <v>43</v>
      </c>
      <c r="C1738" t="s">
        <v>4259</v>
      </c>
      <c r="D1738">
        <v>112464</v>
      </c>
      <c r="E1738" t="s">
        <v>12</v>
      </c>
      <c r="F1738" t="s">
        <v>4260</v>
      </c>
      <c r="G1738" s="1">
        <v>45039</v>
      </c>
    </row>
    <row r="1739" spans="1:7">
      <c r="A1739" t="s">
        <v>4261</v>
      </c>
      <c r="B1739">
        <v>74</v>
      </c>
      <c r="C1739" t="s">
        <v>4262</v>
      </c>
      <c r="D1739">
        <v>138106</v>
      </c>
      <c r="E1739" t="s">
        <v>27</v>
      </c>
      <c r="F1739">
        <v>4159917292</v>
      </c>
      <c r="G1739" s="1">
        <v>45215</v>
      </c>
    </row>
    <row r="1740" spans="1:7">
      <c r="A1740" t="s">
        <v>4263</v>
      </c>
      <c r="B1740">
        <v>49</v>
      </c>
      <c r="C1740" t="s">
        <v>4264</v>
      </c>
      <c r="D1740">
        <v>56870</v>
      </c>
      <c r="E1740" t="s">
        <v>27</v>
      </c>
      <c r="F1740" t="s">
        <v>4265</v>
      </c>
      <c r="G1740" s="1">
        <v>45168</v>
      </c>
    </row>
    <row r="1741" spans="1:7">
      <c r="A1741" t="s">
        <v>4266</v>
      </c>
      <c r="B1741">
        <v>41</v>
      </c>
      <c r="C1741" t="s">
        <v>4267</v>
      </c>
      <c r="D1741">
        <v>127493</v>
      </c>
      <c r="E1741" t="s">
        <v>9</v>
      </c>
      <c r="F1741" t="s">
        <v>4268</v>
      </c>
      <c r="G1741" s="1">
        <v>44970</v>
      </c>
    </row>
    <row r="1742" spans="1:7">
      <c r="A1742" t="s">
        <v>4269</v>
      </c>
      <c r="B1742">
        <v>66</v>
      </c>
      <c r="C1742" t="s">
        <v>4270</v>
      </c>
      <c r="D1742">
        <v>176259</v>
      </c>
      <c r="E1742" t="s">
        <v>27</v>
      </c>
      <c r="F1742">
        <v>9357790587</v>
      </c>
      <c r="G1742" s="1">
        <v>45225</v>
      </c>
    </row>
    <row r="1743" spans="1:7">
      <c r="A1743" t="s">
        <v>4271</v>
      </c>
      <c r="B1743">
        <v>65</v>
      </c>
      <c r="C1743" t="s">
        <v>17</v>
      </c>
      <c r="D1743">
        <v>73169</v>
      </c>
      <c r="E1743" t="s">
        <v>27</v>
      </c>
      <c r="F1743" t="s">
        <v>4272</v>
      </c>
      <c r="G1743" s="1">
        <v>45041</v>
      </c>
    </row>
    <row r="1744" spans="1:7">
      <c r="A1744" t="s">
        <v>4273</v>
      </c>
      <c r="B1744">
        <v>44</v>
      </c>
      <c r="C1744" t="s">
        <v>4274</v>
      </c>
      <c r="E1744" t="s">
        <v>27</v>
      </c>
      <c r="F1744" t="s">
        <v>4275</v>
      </c>
      <c r="G1744" s="1">
        <v>45139</v>
      </c>
    </row>
    <row r="1745" spans="1:7">
      <c r="A1745" t="s">
        <v>4276</v>
      </c>
      <c r="B1745">
        <v>29</v>
      </c>
      <c r="C1745" t="s">
        <v>4277</v>
      </c>
      <c r="D1745">
        <v>114149</v>
      </c>
      <c r="E1745" t="s">
        <v>358</v>
      </c>
      <c r="F1745">
        <v>2362941028</v>
      </c>
      <c r="G1745" s="1">
        <v>45073</v>
      </c>
    </row>
    <row r="1746" spans="1:7">
      <c r="A1746" t="s">
        <v>4278</v>
      </c>
      <c r="B1746">
        <v>76</v>
      </c>
      <c r="C1746" t="s">
        <v>4279</v>
      </c>
      <c r="D1746">
        <v>123254</v>
      </c>
      <c r="E1746" t="s">
        <v>12</v>
      </c>
      <c r="F1746">
        <f>1-291-780-4219</f>
        <v>-5289</v>
      </c>
      <c r="G1746" s="1">
        <v>45261</v>
      </c>
    </row>
    <row r="1747" spans="1:7">
      <c r="A1747" t="s">
        <v>4280</v>
      </c>
      <c r="B1747">
        <v>0</v>
      </c>
      <c r="C1747" t="s">
        <v>4281</v>
      </c>
      <c r="D1747">
        <v>67405</v>
      </c>
      <c r="E1747" t="s">
        <v>36</v>
      </c>
      <c r="F1747" t="s">
        <v>4282</v>
      </c>
    </row>
    <row r="1748" spans="1:7">
      <c r="A1748" t="s">
        <v>4283</v>
      </c>
      <c r="B1748">
        <v>39</v>
      </c>
      <c r="C1748" t="s">
        <v>4284</v>
      </c>
      <c r="D1748">
        <v>174993</v>
      </c>
      <c r="F1748" t="s">
        <v>4285</v>
      </c>
      <c r="G1748" s="1">
        <v>45056</v>
      </c>
    </row>
    <row r="1749" spans="1:7">
      <c r="A1749" t="s">
        <v>4286</v>
      </c>
      <c r="C1749" t="s">
        <v>4287</v>
      </c>
      <c r="D1749">
        <v>69236</v>
      </c>
      <c r="E1749" t="s">
        <v>9</v>
      </c>
      <c r="F1749">
        <v>2182223836</v>
      </c>
      <c r="G1749" s="1">
        <v>45203</v>
      </c>
    </row>
    <row r="1750" spans="1:7">
      <c r="A1750" t="s">
        <v>4288</v>
      </c>
      <c r="C1750" t="s">
        <v>4289</v>
      </c>
      <c r="D1750">
        <v>75807</v>
      </c>
      <c r="E1750" t="s">
        <v>9</v>
      </c>
      <c r="F1750">
        <f>1-556-232-2002</f>
        <v>-2789</v>
      </c>
      <c r="G1750" s="1">
        <v>45239</v>
      </c>
    </row>
    <row r="1751" spans="1:7">
      <c r="A1751" t="s">
        <v>4290</v>
      </c>
      <c r="B1751">
        <v>76</v>
      </c>
      <c r="C1751" t="s">
        <v>4291</v>
      </c>
      <c r="D1751">
        <v>66639</v>
      </c>
      <c r="E1751" t="s">
        <v>9</v>
      </c>
      <c r="F1751" t="s">
        <v>4292</v>
      </c>
      <c r="G1751" s="1">
        <v>45064</v>
      </c>
    </row>
    <row r="1752" spans="1:7">
      <c r="A1752" t="s">
        <v>4293</v>
      </c>
      <c r="B1752">
        <v>18</v>
      </c>
      <c r="C1752" t="s">
        <v>4294</v>
      </c>
      <c r="D1752">
        <v>45339</v>
      </c>
      <c r="E1752" t="s">
        <v>12</v>
      </c>
      <c r="F1752" t="s">
        <v>4295</v>
      </c>
      <c r="G1752" s="1">
        <v>44929</v>
      </c>
    </row>
    <row r="1753" spans="1:7">
      <c r="A1753" t="s">
        <v>1487</v>
      </c>
      <c r="B1753">
        <v>73</v>
      </c>
      <c r="C1753" t="s">
        <v>4296</v>
      </c>
      <c r="D1753">
        <v>35695</v>
      </c>
      <c r="E1753" t="s">
        <v>9</v>
      </c>
      <c r="F1753" t="s">
        <v>4297</v>
      </c>
      <c r="G1753" s="1">
        <v>45109</v>
      </c>
    </row>
    <row r="1754" spans="1:7">
      <c r="A1754" t="s">
        <v>4298</v>
      </c>
      <c r="B1754">
        <v>60</v>
      </c>
      <c r="C1754" t="s">
        <v>4299</v>
      </c>
      <c r="D1754">
        <v>53929</v>
      </c>
      <c r="E1754" t="s">
        <v>36</v>
      </c>
      <c r="F1754">
        <f>1-560-369-1699</f>
        <v>-2627</v>
      </c>
      <c r="G1754" s="1">
        <v>44966</v>
      </c>
    </row>
    <row r="1755" spans="1:7">
      <c r="A1755" t="s">
        <v>4300</v>
      </c>
      <c r="B1755">
        <v>68</v>
      </c>
      <c r="C1755" t="s">
        <v>4301</v>
      </c>
      <c r="D1755">
        <v>87124</v>
      </c>
      <c r="E1755" t="s">
        <v>12</v>
      </c>
      <c r="F1755" t="s">
        <v>4302</v>
      </c>
      <c r="G1755" s="1">
        <v>45186</v>
      </c>
    </row>
    <row r="1756" spans="1:7">
      <c r="A1756" t="s">
        <v>4303</v>
      </c>
      <c r="B1756">
        <v>30</v>
      </c>
      <c r="C1756" t="s">
        <v>4304</v>
      </c>
      <c r="D1756">
        <v>160193</v>
      </c>
      <c r="E1756" t="s">
        <v>9</v>
      </c>
      <c r="F1756" t="s">
        <v>4305</v>
      </c>
      <c r="G1756" s="1">
        <v>45050</v>
      </c>
    </row>
    <row r="1757" spans="1:7">
      <c r="A1757" t="s">
        <v>4306</v>
      </c>
      <c r="B1757">
        <v>54</v>
      </c>
      <c r="D1757">
        <v>143604</v>
      </c>
      <c r="E1757" t="s">
        <v>9</v>
      </c>
      <c r="F1757">
        <f>1-112-365-6966</f>
        <v>-7442</v>
      </c>
      <c r="G1757" s="1">
        <v>44998</v>
      </c>
    </row>
    <row r="1758" spans="1:7">
      <c r="A1758" t="s">
        <v>4307</v>
      </c>
      <c r="B1758">
        <v>20</v>
      </c>
      <c r="C1758" t="s">
        <v>4308</v>
      </c>
      <c r="D1758">
        <v>64235</v>
      </c>
      <c r="E1758" t="s">
        <v>27</v>
      </c>
      <c r="F1758" t="s">
        <v>4309</v>
      </c>
      <c r="G1758" s="1">
        <v>45264</v>
      </c>
    </row>
    <row r="1759" spans="1:7">
      <c r="A1759" t="s">
        <v>4310</v>
      </c>
      <c r="B1759">
        <v>33</v>
      </c>
      <c r="C1759" t="s">
        <v>4311</v>
      </c>
      <c r="D1759">
        <v>50842</v>
      </c>
      <c r="E1759" t="s">
        <v>12</v>
      </c>
      <c r="F1759">
        <v>1009152377</v>
      </c>
      <c r="G1759" s="1">
        <v>45156</v>
      </c>
    </row>
    <row r="1760" spans="1:7">
      <c r="A1760" t="s">
        <v>4312</v>
      </c>
      <c r="B1760">
        <v>37</v>
      </c>
      <c r="D1760">
        <v>86096</v>
      </c>
      <c r="E1760" t="s">
        <v>9</v>
      </c>
      <c r="F1760">
        <v>9473163280</v>
      </c>
      <c r="G1760" s="1">
        <v>44927</v>
      </c>
    </row>
    <row r="1761" spans="1:7">
      <c r="A1761" t="s">
        <v>4313</v>
      </c>
      <c r="B1761">
        <v>33</v>
      </c>
      <c r="C1761" t="s">
        <v>4314</v>
      </c>
      <c r="D1761">
        <v>180774</v>
      </c>
      <c r="E1761" t="s">
        <v>9</v>
      </c>
      <c r="F1761">
        <f>1-824-135-6192</f>
        <v>-7150</v>
      </c>
      <c r="G1761" s="1">
        <v>45187</v>
      </c>
    </row>
    <row r="1762" spans="1:7">
      <c r="A1762" t="s">
        <v>4315</v>
      </c>
      <c r="B1762">
        <v>53</v>
      </c>
      <c r="C1762" t="s">
        <v>4316</v>
      </c>
      <c r="D1762">
        <v>59813</v>
      </c>
      <c r="E1762" t="s">
        <v>36</v>
      </c>
      <c r="F1762" t="s">
        <v>4317</v>
      </c>
      <c r="G1762" s="1">
        <v>45004</v>
      </c>
    </row>
    <row r="1763" spans="1:7">
      <c r="A1763" t="s">
        <v>4318</v>
      </c>
      <c r="B1763">
        <v>26</v>
      </c>
      <c r="C1763" t="s">
        <v>4319</v>
      </c>
      <c r="D1763">
        <v>118780</v>
      </c>
      <c r="E1763" t="s">
        <v>9</v>
      </c>
      <c r="F1763" t="s">
        <v>4320</v>
      </c>
      <c r="G1763" s="1">
        <v>45205</v>
      </c>
    </row>
    <row r="1764" spans="1:7">
      <c r="A1764" t="s">
        <v>4321</v>
      </c>
      <c r="B1764">
        <v>41</v>
      </c>
      <c r="D1764">
        <v>145194</v>
      </c>
      <c r="E1764" t="s">
        <v>9</v>
      </c>
      <c r="G1764" s="1">
        <v>45010</v>
      </c>
    </row>
    <row r="1765" spans="1:7">
      <c r="B1765">
        <v>19</v>
      </c>
      <c r="C1765" t="s">
        <v>4322</v>
      </c>
      <c r="D1765">
        <v>116072</v>
      </c>
      <c r="E1765" t="s">
        <v>12</v>
      </c>
      <c r="F1765" t="s">
        <v>4323</v>
      </c>
      <c r="G1765" s="1">
        <v>45286</v>
      </c>
    </row>
    <row r="1766" spans="1:7">
      <c r="A1766" t="s">
        <v>4324</v>
      </c>
      <c r="B1766">
        <v>38</v>
      </c>
      <c r="C1766" t="s">
        <v>4325</v>
      </c>
      <c r="D1766">
        <v>104462</v>
      </c>
      <c r="E1766" t="s">
        <v>12</v>
      </c>
      <c r="F1766">
        <f>1-504-635-7435</f>
        <v>-8573</v>
      </c>
      <c r="G1766" s="1">
        <v>44995</v>
      </c>
    </row>
    <row r="1767" spans="1:7">
      <c r="A1767" t="s">
        <v>4326</v>
      </c>
      <c r="B1767">
        <v>21</v>
      </c>
      <c r="C1767" t="s">
        <v>4327</v>
      </c>
      <c r="D1767">
        <v>108257</v>
      </c>
      <c r="E1767" t="s">
        <v>36</v>
      </c>
      <c r="F1767" t="s">
        <v>4328</v>
      </c>
      <c r="G1767" s="1">
        <v>45254</v>
      </c>
    </row>
    <row r="1768" spans="1:7">
      <c r="A1768" t="s">
        <v>4329</v>
      </c>
      <c r="B1768">
        <v>-100</v>
      </c>
      <c r="C1768" t="s">
        <v>4330</v>
      </c>
      <c r="D1768">
        <v>154591</v>
      </c>
      <c r="E1768" t="s">
        <v>9</v>
      </c>
      <c r="F1768" t="s">
        <v>4331</v>
      </c>
      <c r="G1768" s="1">
        <v>44933</v>
      </c>
    </row>
    <row r="1769" spans="1:7">
      <c r="A1769" t="s">
        <v>4332</v>
      </c>
      <c r="B1769">
        <v>44</v>
      </c>
      <c r="C1769" t="s">
        <v>4333</v>
      </c>
      <c r="D1769">
        <v>46999</v>
      </c>
      <c r="E1769" t="s">
        <v>9</v>
      </c>
      <c r="F1769" t="s">
        <v>4334</v>
      </c>
      <c r="G1769" s="1">
        <v>44989</v>
      </c>
    </row>
    <row r="1770" spans="1:7">
      <c r="A1770" t="s">
        <v>4335</v>
      </c>
      <c r="B1770">
        <v>38</v>
      </c>
      <c r="D1770">
        <v>127382</v>
      </c>
      <c r="F1770" t="s">
        <v>4336</v>
      </c>
      <c r="G1770" s="1">
        <v>45167</v>
      </c>
    </row>
    <row r="1771" spans="1:7">
      <c r="A1771" t="s">
        <v>4337</v>
      </c>
      <c r="B1771">
        <v>21</v>
      </c>
      <c r="C1771" t="s">
        <v>4338</v>
      </c>
      <c r="E1771" t="s">
        <v>9</v>
      </c>
      <c r="G1771" s="1">
        <v>45285</v>
      </c>
    </row>
    <row r="1772" spans="1:7">
      <c r="A1772" t="s">
        <v>4339</v>
      </c>
      <c r="B1772">
        <v>22</v>
      </c>
      <c r="C1772" t="s">
        <v>4340</v>
      </c>
      <c r="D1772">
        <v>132399</v>
      </c>
      <c r="E1772" t="s">
        <v>9</v>
      </c>
      <c r="F1772" t="s">
        <v>4341</v>
      </c>
      <c r="G1772" s="1">
        <v>44956</v>
      </c>
    </row>
    <row r="1773" spans="1:7">
      <c r="A1773" t="s">
        <v>4342</v>
      </c>
      <c r="B1773">
        <v>50</v>
      </c>
      <c r="C1773" t="s">
        <v>4343</v>
      </c>
      <c r="D1773">
        <v>50389</v>
      </c>
      <c r="E1773" t="s">
        <v>27</v>
      </c>
      <c r="F1773" t="s">
        <v>4344</v>
      </c>
      <c r="G1773" s="1">
        <v>45086</v>
      </c>
    </row>
    <row r="1774" spans="1:7">
      <c r="A1774" t="s">
        <v>4345</v>
      </c>
      <c r="B1774">
        <v>55</v>
      </c>
      <c r="C1774" t="s">
        <v>4346</v>
      </c>
      <c r="D1774">
        <v>-10000</v>
      </c>
      <c r="E1774" t="s">
        <v>36</v>
      </c>
      <c r="F1774" t="s">
        <v>4347</v>
      </c>
      <c r="G1774" s="1">
        <v>45014</v>
      </c>
    </row>
    <row r="1775" spans="1:7">
      <c r="A1775" t="s">
        <v>4348</v>
      </c>
      <c r="B1775">
        <v>39</v>
      </c>
      <c r="C1775" t="s">
        <v>4349</v>
      </c>
      <c r="D1775">
        <v>137648</v>
      </c>
      <c r="E1775" t="s">
        <v>27</v>
      </c>
      <c r="F1775" t="s">
        <v>4350</v>
      </c>
      <c r="G1775" s="1">
        <v>45272</v>
      </c>
    </row>
    <row r="1776" spans="1:7">
      <c r="A1776" t="s">
        <v>4351</v>
      </c>
      <c r="B1776">
        <v>27</v>
      </c>
      <c r="C1776" t="s">
        <v>61</v>
      </c>
      <c r="D1776">
        <v>179762</v>
      </c>
      <c r="E1776" t="s">
        <v>9</v>
      </c>
      <c r="F1776">
        <v>4792135573</v>
      </c>
      <c r="G1776" s="1">
        <v>45095</v>
      </c>
    </row>
    <row r="1777" spans="1:7">
      <c r="A1777" t="s">
        <v>4352</v>
      </c>
      <c r="B1777">
        <v>59</v>
      </c>
      <c r="C1777" t="s">
        <v>4353</v>
      </c>
      <c r="D1777">
        <v>109558</v>
      </c>
      <c r="E1777" t="s">
        <v>12</v>
      </c>
      <c r="F1777" t="s">
        <v>4354</v>
      </c>
      <c r="G1777" s="1">
        <v>45112</v>
      </c>
    </row>
    <row r="1778" spans="1:7">
      <c r="A1778" t="s">
        <v>4355</v>
      </c>
      <c r="B1778">
        <v>64</v>
      </c>
      <c r="D1778">
        <v>117954</v>
      </c>
      <c r="E1778" t="s">
        <v>12</v>
      </c>
      <c r="F1778" t="s">
        <v>4356</v>
      </c>
      <c r="G1778" s="1">
        <v>45063</v>
      </c>
    </row>
    <row r="1779" spans="1:7">
      <c r="A1779" t="s">
        <v>4357</v>
      </c>
      <c r="B1779">
        <v>34</v>
      </c>
      <c r="C1779" t="s">
        <v>4358</v>
      </c>
      <c r="D1779">
        <v>190897</v>
      </c>
      <c r="E1779" t="s">
        <v>9</v>
      </c>
      <c r="F1779" t="s">
        <v>4359</v>
      </c>
      <c r="G1779" s="1">
        <v>45167</v>
      </c>
    </row>
    <row r="1780" spans="1:7">
      <c r="A1780" t="s">
        <v>4360</v>
      </c>
      <c r="B1780">
        <v>0</v>
      </c>
      <c r="C1780" t="s">
        <v>4361</v>
      </c>
      <c r="D1780">
        <v>45366</v>
      </c>
      <c r="E1780" t="s">
        <v>27</v>
      </c>
      <c r="F1780" t="s">
        <v>4362</v>
      </c>
      <c r="G1780" s="1">
        <v>45276</v>
      </c>
    </row>
    <row r="1781" spans="1:7">
      <c r="A1781" t="s">
        <v>4363</v>
      </c>
      <c r="B1781">
        <v>37</v>
      </c>
      <c r="C1781" t="s">
        <v>4364</v>
      </c>
      <c r="D1781">
        <v>141435</v>
      </c>
      <c r="E1781" t="s">
        <v>36</v>
      </c>
      <c r="F1781">
        <v>4101552989</v>
      </c>
      <c r="G1781" s="1">
        <v>45241</v>
      </c>
    </row>
    <row r="1782" spans="1:7">
      <c r="A1782" t="s">
        <v>4365</v>
      </c>
      <c r="B1782">
        <v>58</v>
      </c>
      <c r="C1782" t="s">
        <v>4366</v>
      </c>
      <c r="D1782">
        <v>160560</v>
      </c>
      <c r="E1782" t="s">
        <v>527</v>
      </c>
      <c r="F1782" t="s">
        <v>4367</v>
      </c>
      <c r="G1782" s="1">
        <v>45047</v>
      </c>
    </row>
    <row r="1783" spans="1:7">
      <c r="A1783" t="s">
        <v>2243</v>
      </c>
      <c r="B1783">
        <v>78</v>
      </c>
      <c r="C1783" t="s">
        <v>169</v>
      </c>
      <c r="D1783">
        <v>55235</v>
      </c>
      <c r="E1783" t="s">
        <v>12</v>
      </c>
      <c r="F1783">
        <f>1-524-523-1745</f>
        <v>-2791</v>
      </c>
      <c r="G1783" s="1">
        <v>45218</v>
      </c>
    </row>
    <row r="1784" spans="1:7">
      <c r="A1784" t="s">
        <v>4368</v>
      </c>
      <c r="B1784">
        <v>71</v>
      </c>
      <c r="C1784" t="s">
        <v>4369</v>
      </c>
      <c r="E1784" t="s">
        <v>9</v>
      </c>
      <c r="F1784" t="s">
        <v>4370</v>
      </c>
      <c r="G1784" s="1">
        <v>45072</v>
      </c>
    </row>
    <row r="1785" spans="1:7">
      <c r="A1785" t="s">
        <v>4371</v>
      </c>
      <c r="B1785">
        <v>24</v>
      </c>
      <c r="C1785" t="s">
        <v>4372</v>
      </c>
      <c r="D1785">
        <v>68084</v>
      </c>
      <c r="E1785" t="s">
        <v>12</v>
      </c>
      <c r="F1785" t="s">
        <v>4373</v>
      </c>
      <c r="G1785" s="1">
        <v>45177</v>
      </c>
    </row>
    <row r="1786" spans="1:7">
      <c r="A1786" t="s">
        <v>4374</v>
      </c>
      <c r="B1786">
        <v>68</v>
      </c>
      <c r="C1786" t="s">
        <v>4375</v>
      </c>
      <c r="D1786">
        <v>-10000</v>
      </c>
      <c r="E1786" t="s">
        <v>12</v>
      </c>
      <c r="F1786" t="s">
        <v>4376</v>
      </c>
      <c r="G1786" s="1">
        <v>45199</v>
      </c>
    </row>
    <row r="1787" spans="1:7">
      <c r="A1787" t="s">
        <v>4377</v>
      </c>
      <c r="B1787">
        <v>71</v>
      </c>
      <c r="C1787" t="s">
        <v>4378</v>
      </c>
      <c r="D1787">
        <v>174972</v>
      </c>
      <c r="E1787" t="s">
        <v>36</v>
      </c>
      <c r="F1787" t="s">
        <v>4379</v>
      </c>
      <c r="G1787" s="1">
        <v>45083</v>
      </c>
    </row>
    <row r="1788" spans="1:7">
      <c r="A1788" t="s">
        <v>4380</v>
      </c>
      <c r="B1788">
        <v>41</v>
      </c>
      <c r="C1788" t="s">
        <v>4381</v>
      </c>
      <c r="D1788">
        <v>168746</v>
      </c>
      <c r="E1788" t="s">
        <v>9</v>
      </c>
      <c r="F1788" t="s">
        <v>4382</v>
      </c>
      <c r="G1788" s="1">
        <v>45077</v>
      </c>
    </row>
    <row r="1789" spans="1:7">
      <c r="A1789" t="s">
        <v>4383</v>
      </c>
      <c r="B1789">
        <v>24</v>
      </c>
      <c r="C1789" t="s">
        <v>4384</v>
      </c>
      <c r="D1789">
        <v>139975</v>
      </c>
      <c r="E1789" t="s">
        <v>27</v>
      </c>
      <c r="F1789" t="s">
        <v>4385</v>
      </c>
      <c r="G1789" s="1">
        <v>45167</v>
      </c>
    </row>
    <row r="1790" spans="1:7">
      <c r="A1790" t="s">
        <v>4386</v>
      </c>
      <c r="B1790">
        <v>76</v>
      </c>
      <c r="C1790" t="s">
        <v>4387</v>
      </c>
      <c r="D1790">
        <v>0</v>
      </c>
      <c r="E1790" t="s">
        <v>27</v>
      </c>
      <c r="G1790" s="1">
        <v>45078</v>
      </c>
    </row>
    <row r="1791" spans="1:7">
      <c r="A1791" t="s">
        <v>4388</v>
      </c>
      <c r="B1791">
        <v>55</v>
      </c>
      <c r="C1791" t="s">
        <v>4389</v>
      </c>
      <c r="E1791" t="s">
        <v>9</v>
      </c>
      <c r="G1791" s="1">
        <v>45019</v>
      </c>
    </row>
    <row r="1792" spans="1:7">
      <c r="A1792" t="s">
        <v>4390</v>
      </c>
      <c r="B1792">
        <v>57</v>
      </c>
      <c r="C1792" t="s">
        <v>4391</v>
      </c>
      <c r="D1792">
        <v>59320</v>
      </c>
      <c r="E1792" t="s">
        <v>27</v>
      </c>
      <c r="F1792" t="s">
        <v>4392</v>
      </c>
      <c r="G1792" s="1">
        <v>45205</v>
      </c>
    </row>
    <row r="1793" spans="1:7">
      <c r="A1793" t="s">
        <v>1057</v>
      </c>
      <c r="B1793">
        <v>77</v>
      </c>
      <c r="C1793" t="s">
        <v>4393</v>
      </c>
      <c r="D1793">
        <v>54596</v>
      </c>
      <c r="E1793" t="s">
        <v>9</v>
      </c>
      <c r="F1793">
        <v>5226606549</v>
      </c>
      <c r="G1793" s="1">
        <v>44934</v>
      </c>
    </row>
    <row r="1794" spans="1:7">
      <c r="A1794" t="s">
        <v>4394</v>
      </c>
      <c r="B1794">
        <v>78</v>
      </c>
      <c r="C1794" t="s">
        <v>4395</v>
      </c>
      <c r="D1794">
        <v>56928</v>
      </c>
      <c r="E1794" t="s">
        <v>12</v>
      </c>
      <c r="F1794">
        <f>1-812-177-4254</f>
        <v>-5242</v>
      </c>
      <c r="G1794" s="1">
        <v>44989</v>
      </c>
    </row>
    <row r="1795" spans="1:7">
      <c r="A1795" t="s">
        <v>4396</v>
      </c>
      <c r="B1795">
        <v>64</v>
      </c>
      <c r="C1795" t="s">
        <v>4397</v>
      </c>
      <c r="D1795">
        <v>111788</v>
      </c>
      <c r="E1795" t="s">
        <v>27</v>
      </c>
      <c r="F1795">
        <v>8126937147</v>
      </c>
      <c r="G1795" s="1">
        <v>45069</v>
      </c>
    </row>
    <row r="1796" spans="1:7">
      <c r="A1796" t="s">
        <v>4398</v>
      </c>
      <c r="B1796">
        <v>49</v>
      </c>
      <c r="C1796" t="s">
        <v>4399</v>
      </c>
      <c r="D1796">
        <v>148248</v>
      </c>
      <c r="E1796" t="s">
        <v>12</v>
      </c>
      <c r="F1796">
        <f>1-865-123-3298</f>
        <v>-4285</v>
      </c>
      <c r="G1796" s="1">
        <v>45217</v>
      </c>
    </row>
    <row r="1797" spans="1:7">
      <c r="A1797" t="s">
        <v>4400</v>
      </c>
      <c r="B1797">
        <v>58</v>
      </c>
      <c r="C1797" t="s">
        <v>4401</v>
      </c>
      <c r="D1797">
        <v>177680</v>
      </c>
      <c r="E1797" t="s">
        <v>12</v>
      </c>
      <c r="G1797" s="1">
        <v>44972</v>
      </c>
    </row>
    <row r="1798" spans="1:7">
      <c r="A1798" t="s">
        <v>4402</v>
      </c>
      <c r="B1798">
        <v>25</v>
      </c>
      <c r="C1798" t="s">
        <v>4403</v>
      </c>
      <c r="D1798">
        <v>174401</v>
      </c>
      <c r="E1798" t="s">
        <v>358</v>
      </c>
      <c r="F1798" t="s">
        <v>4404</v>
      </c>
      <c r="G1798" s="1">
        <v>45211</v>
      </c>
    </row>
    <row r="1799" spans="1:7">
      <c r="A1799" t="s">
        <v>4405</v>
      </c>
      <c r="B1799">
        <v>55</v>
      </c>
      <c r="C1799" t="s">
        <v>4406</v>
      </c>
      <c r="D1799">
        <v>61826</v>
      </c>
      <c r="E1799" t="s">
        <v>12</v>
      </c>
      <c r="F1799" t="s">
        <v>4407</v>
      </c>
      <c r="G1799" s="1">
        <v>45145</v>
      </c>
    </row>
    <row r="1800" spans="1:7">
      <c r="A1800" t="s">
        <v>4408</v>
      </c>
      <c r="B1800">
        <v>55</v>
      </c>
      <c r="C1800" t="s">
        <v>4409</v>
      </c>
      <c r="D1800">
        <v>56950</v>
      </c>
      <c r="E1800" t="s">
        <v>294</v>
      </c>
      <c r="F1800">
        <v>3276061103</v>
      </c>
      <c r="G1800" s="1">
        <v>45007</v>
      </c>
    </row>
    <row r="1801" spans="1:7">
      <c r="A1801" t="s">
        <v>4410</v>
      </c>
      <c r="B1801">
        <v>55</v>
      </c>
      <c r="C1801" t="s">
        <v>4411</v>
      </c>
      <c r="D1801">
        <v>78665</v>
      </c>
      <c r="E1801" t="s">
        <v>27</v>
      </c>
      <c r="F1801" t="s">
        <v>4412</v>
      </c>
      <c r="G1801" s="1">
        <v>45236</v>
      </c>
    </row>
    <row r="1802" spans="1:7">
      <c r="A1802" t="s">
        <v>4413</v>
      </c>
      <c r="B1802">
        <v>56</v>
      </c>
      <c r="C1802" t="s">
        <v>4414</v>
      </c>
      <c r="D1802">
        <v>128934</v>
      </c>
      <c r="E1802" t="s">
        <v>36</v>
      </c>
      <c r="F1802" t="s">
        <v>4415</v>
      </c>
      <c r="G1802" t="s">
        <v>180</v>
      </c>
    </row>
    <row r="1803" spans="1:7">
      <c r="A1803" t="s">
        <v>4416</v>
      </c>
      <c r="B1803">
        <v>21</v>
      </c>
      <c r="C1803" t="s">
        <v>4417</v>
      </c>
      <c r="D1803">
        <v>35698</v>
      </c>
      <c r="E1803" t="s">
        <v>27</v>
      </c>
      <c r="F1803">
        <f>1-111-874-6064</f>
        <v>-7048</v>
      </c>
      <c r="G1803" s="1">
        <v>45149</v>
      </c>
    </row>
    <row r="1804" spans="1:7">
      <c r="A1804" t="s">
        <v>4418</v>
      </c>
      <c r="B1804">
        <v>58</v>
      </c>
      <c r="C1804" t="s">
        <v>4419</v>
      </c>
      <c r="D1804">
        <v>95867</v>
      </c>
      <c r="E1804" t="s">
        <v>12</v>
      </c>
      <c r="F1804">
        <f>1-731-278-9936</f>
        <v>-10944</v>
      </c>
      <c r="G1804" s="1">
        <v>45113</v>
      </c>
    </row>
    <row r="1805" spans="1:7">
      <c r="A1805" t="s">
        <v>4420</v>
      </c>
      <c r="B1805">
        <v>76</v>
      </c>
      <c r="C1805" t="s">
        <v>4421</v>
      </c>
      <c r="D1805">
        <v>143931</v>
      </c>
      <c r="E1805" t="s">
        <v>27</v>
      </c>
      <c r="G1805" t="s">
        <v>422</v>
      </c>
    </row>
    <row r="1806" spans="1:7">
      <c r="A1806" t="s">
        <v>4422</v>
      </c>
      <c r="B1806">
        <v>70</v>
      </c>
      <c r="C1806" t="s">
        <v>4423</v>
      </c>
      <c r="D1806">
        <v>187541</v>
      </c>
      <c r="E1806" t="s">
        <v>36</v>
      </c>
      <c r="F1806" t="s">
        <v>4424</v>
      </c>
      <c r="G1806" s="1">
        <v>45255</v>
      </c>
    </row>
    <row r="1807" spans="1:7">
      <c r="A1807" t="s">
        <v>4425</v>
      </c>
      <c r="B1807">
        <v>35</v>
      </c>
      <c r="C1807" t="s">
        <v>4426</v>
      </c>
      <c r="D1807">
        <v>143002</v>
      </c>
      <c r="E1807" t="s">
        <v>9</v>
      </c>
      <c r="F1807" t="s">
        <v>4427</v>
      </c>
      <c r="G1807" s="1">
        <v>45208</v>
      </c>
    </row>
    <row r="1808" spans="1:7">
      <c r="A1808" t="s">
        <v>4428</v>
      </c>
      <c r="B1808">
        <v>64</v>
      </c>
      <c r="C1808" t="s">
        <v>4429</v>
      </c>
      <c r="D1808">
        <v>149501</v>
      </c>
      <c r="E1808" t="s">
        <v>36</v>
      </c>
      <c r="F1808" t="s">
        <v>4430</v>
      </c>
      <c r="G1808" s="1">
        <v>45116</v>
      </c>
    </row>
    <row r="1809" spans="1:7">
      <c r="A1809" t="s">
        <v>4431</v>
      </c>
      <c r="B1809">
        <v>42</v>
      </c>
      <c r="C1809" t="s">
        <v>4432</v>
      </c>
      <c r="D1809">
        <v>180457</v>
      </c>
      <c r="E1809" t="s">
        <v>36</v>
      </c>
      <c r="F1809" t="s">
        <v>4433</v>
      </c>
      <c r="G1809" s="1">
        <v>45005</v>
      </c>
    </row>
    <row r="1810" spans="1:7">
      <c r="A1810" t="s">
        <v>4434</v>
      </c>
      <c r="B1810">
        <v>36</v>
      </c>
      <c r="C1810" t="s">
        <v>115</v>
      </c>
      <c r="D1810">
        <v>141915</v>
      </c>
      <c r="E1810" t="s">
        <v>36</v>
      </c>
      <c r="F1810" t="s">
        <v>4435</v>
      </c>
      <c r="G1810" s="1">
        <v>45206</v>
      </c>
    </row>
    <row r="1811" spans="1:7">
      <c r="A1811" t="s">
        <v>4436</v>
      </c>
      <c r="B1811">
        <v>44</v>
      </c>
      <c r="C1811" t="s">
        <v>4437</v>
      </c>
      <c r="D1811">
        <v>66483</v>
      </c>
      <c r="E1811" t="s">
        <v>36</v>
      </c>
      <c r="G1811" s="1">
        <v>44934</v>
      </c>
    </row>
    <row r="1812" spans="1:7">
      <c r="A1812" t="s">
        <v>4438</v>
      </c>
      <c r="B1812">
        <v>39</v>
      </c>
      <c r="C1812" t="s">
        <v>4439</v>
      </c>
      <c r="D1812">
        <v>58164</v>
      </c>
      <c r="E1812" t="s">
        <v>18</v>
      </c>
      <c r="F1812">
        <v>1591719508</v>
      </c>
      <c r="G1812" s="1">
        <v>45122</v>
      </c>
    </row>
    <row r="1813" spans="1:7">
      <c r="A1813" t="s">
        <v>4440</v>
      </c>
      <c r="B1813">
        <v>19</v>
      </c>
      <c r="C1813" t="s">
        <v>4441</v>
      </c>
      <c r="D1813">
        <v>116322</v>
      </c>
      <c r="E1813" t="s">
        <v>27</v>
      </c>
      <c r="F1813">
        <v>8108614089</v>
      </c>
      <c r="G1813" s="1">
        <v>45212</v>
      </c>
    </row>
    <row r="1814" spans="1:7">
      <c r="A1814" t="s">
        <v>4442</v>
      </c>
      <c r="B1814">
        <v>74</v>
      </c>
      <c r="D1814">
        <v>60257</v>
      </c>
      <c r="E1814" t="s">
        <v>27</v>
      </c>
      <c r="F1814" t="s">
        <v>4443</v>
      </c>
      <c r="G1814" s="1">
        <v>45035</v>
      </c>
    </row>
    <row r="1815" spans="1:7">
      <c r="A1815" t="s">
        <v>4444</v>
      </c>
      <c r="B1815">
        <v>56</v>
      </c>
      <c r="C1815" t="s">
        <v>4445</v>
      </c>
      <c r="D1815">
        <v>31961</v>
      </c>
      <c r="E1815" t="s">
        <v>12</v>
      </c>
      <c r="F1815">
        <f>1-613-413-4724</f>
        <v>-5749</v>
      </c>
      <c r="G1815" s="1">
        <v>44930</v>
      </c>
    </row>
    <row r="1816" spans="1:7">
      <c r="A1816" t="s">
        <v>4446</v>
      </c>
      <c r="B1816">
        <v>20</v>
      </c>
      <c r="C1816" t="s">
        <v>4447</v>
      </c>
      <c r="E1816" t="s">
        <v>9</v>
      </c>
      <c r="G1816" s="1">
        <v>45079</v>
      </c>
    </row>
    <row r="1817" spans="1:7">
      <c r="A1817" t="s">
        <v>4448</v>
      </c>
      <c r="B1817">
        <v>45</v>
      </c>
      <c r="C1817" t="s">
        <v>4449</v>
      </c>
      <c r="D1817">
        <v>188849</v>
      </c>
      <c r="E1817" t="s">
        <v>27</v>
      </c>
      <c r="F1817" t="s">
        <v>4450</v>
      </c>
      <c r="G1817" s="1">
        <v>45152</v>
      </c>
    </row>
    <row r="1818" spans="1:7">
      <c r="A1818" t="s">
        <v>4451</v>
      </c>
      <c r="B1818">
        <v>32</v>
      </c>
      <c r="D1818">
        <v>41279</v>
      </c>
      <c r="E1818" t="s">
        <v>9</v>
      </c>
      <c r="F1818">
        <v>5396844455</v>
      </c>
      <c r="G1818" s="1">
        <v>45233</v>
      </c>
    </row>
    <row r="1819" spans="1:7">
      <c r="A1819" t="s">
        <v>4452</v>
      </c>
      <c r="B1819">
        <v>35</v>
      </c>
      <c r="C1819" t="s">
        <v>4453</v>
      </c>
      <c r="D1819">
        <v>126452</v>
      </c>
      <c r="E1819" t="s">
        <v>12</v>
      </c>
      <c r="F1819">
        <f>1-861-602-4845</f>
        <v>-6307</v>
      </c>
      <c r="G1819" s="1">
        <v>44967</v>
      </c>
    </row>
    <row r="1820" spans="1:7">
      <c r="A1820" t="s">
        <v>4454</v>
      </c>
      <c r="B1820">
        <v>53</v>
      </c>
      <c r="D1820">
        <v>53569</v>
      </c>
      <c r="E1820" t="s">
        <v>12</v>
      </c>
      <c r="G1820" s="1">
        <v>45142</v>
      </c>
    </row>
    <row r="1821" spans="1:7">
      <c r="A1821" t="s">
        <v>4455</v>
      </c>
      <c r="C1821" t="s">
        <v>4456</v>
      </c>
      <c r="D1821">
        <v>120456</v>
      </c>
      <c r="E1821" t="s">
        <v>358</v>
      </c>
      <c r="F1821" t="s">
        <v>4457</v>
      </c>
      <c r="G1821" s="1">
        <v>44968</v>
      </c>
    </row>
    <row r="1822" spans="1:7">
      <c r="A1822" t="s">
        <v>4458</v>
      </c>
      <c r="B1822">
        <v>23</v>
      </c>
      <c r="C1822" t="s">
        <v>389</v>
      </c>
      <c r="D1822">
        <v>110360</v>
      </c>
      <c r="E1822" t="s">
        <v>27</v>
      </c>
      <c r="F1822">
        <f>1-141-236-2637</f>
        <v>-3013</v>
      </c>
      <c r="G1822" s="1">
        <v>45074</v>
      </c>
    </row>
    <row r="1823" spans="1:7">
      <c r="A1823" t="s">
        <v>4459</v>
      </c>
      <c r="B1823">
        <v>44</v>
      </c>
      <c r="D1823">
        <v>76228</v>
      </c>
      <c r="E1823" t="s">
        <v>27</v>
      </c>
      <c r="F1823" t="s">
        <v>4460</v>
      </c>
      <c r="G1823" s="1">
        <v>45235</v>
      </c>
    </row>
    <row r="1824" spans="1:7">
      <c r="B1824">
        <v>26</v>
      </c>
      <c r="C1824" t="s">
        <v>594</v>
      </c>
      <c r="D1824">
        <v>31893</v>
      </c>
      <c r="E1824" t="s">
        <v>9</v>
      </c>
      <c r="F1824" t="s">
        <v>4461</v>
      </c>
      <c r="G1824" s="1">
        <v>45213</v>
      </c>
    </row>
    <row r="1825" spans="1:7">
      <c r="A1825" t="s">
        <v>4462</v>
      </c>
      <c r="B1825">
        <v>23</v>
      </c>
      <c r="C1825" t="s">
        <v>4463</v>
      </c>
      <c r="D1825">
        <v>-1000</v>
      </c>
      <c r="E1825" t="s">
        <v>12</v>
      </c>
      <c r="F1825" t="s">
        <v>4464</v>
      </c>
      <c r="G1825" s="1">
        <v>45278</v>
      </c>
    </row>
    <row r="1826" spans="1:7">
      <c r="A1826" t="s">
        <v>4465</v>
      </c>
      <c r="B1826">
        <v>34</v>
      </c>
      <c r="C1826" t="s">
        <v>4466</v>
      </c>
      <c r="E1826" t="s">
        <v>9</v>
      </c>
      <c r="F1826" t="s">
        <v>4467</v>
      </c>
      <c r="G1826" s="1">
        <v>44985</v>
      </c>
    </row>
    <row r="1827" spans="1:7">
      <c r="A1827" t="s">
        <v>4468</v>
      </c>
      <c r="B1827">
        <v>-5</v>
      </c>
      <c r="C1827" t="s">
        <v>4469</v>
      </c>
      <c r="D1827">
        <v>126055</v>
      </c>
      <c r="E1827" t="s">
        <v>9</v>
      </c>
      <c r="G1827" s="1">
        <v>44969</v>
      </c>
    </row>
    <row r="1828" spans="1:7">
      <c r="A1828" t="s">
        <v>4470</v>
      </c>
      <c r="B1828">
        <v>43</v>
      </c>
      <c r="C1828" t="s">
        <v>4471</v>
      </c>
      <c r="D1828">
        <v>189633</v>
      </c>
      <c r="E1828" t="s">
        <v>12</v>
      </c>
      <c r="F1828" t="s">
        <v>4472</v>
      </c>
      <c r="G1828" t="s">
        <v>3963</v>
      </c>
    </row>
    <row r="1829" spans="1:7">
      <c r="A1829" t="s">
        <v>4473</v>
      </c>
      <c r="B1829">
        <v>36</v>
      </c>
      <c r="C1829" t="s">
        <v>4474</v>
      </c>
      <c r="D1829">
        <v>147473</v>
      </c>
      <c r="E1829" t="s">
        <v>27</v>
      </c>
      <c r="F1829" t="s">
        <v>4475</v>
      </c>
      <c r="G1829" s="1">
        <v>45042</v>
      </c>
    </row>
    <row r="1830" spans="1:7">
      <c r="A1830" t="s">
        <v>4476</v>
      </c>
      <c r="B1830">
        <v>-5</v>
      </c>
      <c r="C1830" t="s">
        <v>4477</v>
      </c>
      <c r="D1830">
        <v>120678</v>
      </c>
      <c r="E1830" t="s">
        <v>9</v>
      </c>
      <c r="F1830" t="s">
        <v>4478</v>
      </c>
      <c r="G1830" s="1">
        <v>45201</v>
      </c>
    </row>
    <row r="1831" spans="1:7">
      <c r="A1831" t="s">
        <v>4479</v>
      </c>
      <c r="B1831">
        <v>38</v>
      </c>
      <c r="C1831" t="s">
        <v>4480</v>
      </c>
      <c r="D1831">
        <v>183390</v>
      </c>
      <c r="E1831" t="s">
        <v>12</v>
      </c>
      <c r="F1831" t="s">
        <v>4481</v>
      </c>
      <c r="G1831" s="1">
        <v>45201</v>
      </c>
    </row>
    <row r="1832" spans="1:7">
      <c r="A1832" t="s">
        <v>4482</v>
      </c>
      <c r="B1832">
        <v>66</v>
      </c>
      <c r="C1832" t="s">
        <v>4483</v>
      </c>
      <c r="D1832">
        <v>-5000</v>
      </c>
      <c r="E1832" t="s">
        <v>12</v>
      </c>
      <c r="F1832" t="s">
        <v>4484</v>
      </c>
      <c r="G1832" s="1">
        <v>45004</v>
      </c>
    </row>
    <row r="1833" spans="1:7">
      <c r="A1833" t="s">
        <v>4485</v>
      </c>
      <c r="B1833">
        <v>68</v>
      </c>
      <c r="C1833" t="s">
        <v>4486</v>
      </c>
      <c r="D1833">
        <v>113178</v>
      </c>
      <c r="E1833" t="s">
        <v>12</v>
      </c>
      <c r="F1833" t="s">
        <v>4487</v>
      </c>
      <c r="G1833" s="1">
        <v>45160</v>
      </c>
    </row>
    <row r="1834" spans="1:7">
      <c r="A1834" t="s">
        <v>4488</v>
      </c>
      <c r="B1834">
        <v>61</v>
      </c>
      <c r="C1834" t="s">
        <v>115</v>
      </c>
      <c r="D1834">
        <v>58328</v>
      </c>
      <c r="E1834" t="s">
        <v>9</v>
      </c>
      <c r="F1834" t="s">
        <v>4489</v>
      </c>
      <c r="G1834" s="1">
        <v>44974</v>
      </c>
    </row>
    <row r="1835" spans="1:7">
      <c r="A1835" t="s">
        <v>4490</v>
      </c>
      <c r="B1835">
        <v>19</v>
      </c>
      <c r="C1835" t="s">
        <v>4491</v>
      </c>
      <c r="D1835">
        <v>131971</v>
      </c>
      <c r="E1835" t="s">
        <v>27</v>
      </c>
      <c r="F1835">
        <v>7111434048</v>
      </c>
      <c r="G1835" s="1">
        <v>45240</v>
      </c>
    </row>
    <row r="1836" spans="1:7">
      <c r="A1836" t="s">
        <v>4492</v>
      </c>
      <c r="B1836">
        <v>22</v>
      </c>
      <c r="C1836" t="s">
        <v>4493</v>
      </c>
      <c r="D1836">
        <v>80971</v>
      </c>
      <c r="E1836" t="s">
        <v>294</v>
      </c>
      <c r="F1836" t="s">
        <v>4494</v>
      </c>
      <c r="G1836" s="1">
        <v>45168</v>
      </c>
    </row>
    <row r="1837" spans="1:7">
      <c r="A1837" t="s">
        <v>4495</v>
      </c>
      <c r="B1837">
        <v>50</v>
      </c>
      <c r="C1837" t="s">
        <v>4496</v>
      </c>
      <c r="D1837">
        <v>192627</v>
      </c>
      <c r="E1837" t="s">
        <v>9</v>
      </c>
      <c r="F1837" t="s">
        <v>4497</v>
      </c>
      <c r="G1837" s="1">
        <v>45174</v>
      </c>
    </row>
    <row r="1838" spans="1:7">
      <c r="A1838" t="s">
        <v>4498</v>
      </c>
      <c r="B1838">
        <v>18</v>
      </c>
      <c r="C1838" t="s">
        <v>4499</v>
      </c>
      <c r="D1838">
        <v>192171</v>
      </c>
      <c r="E1838" t="s">
        <v>36</v>
      </c>
      <c r="F1838" t="s">
        <v>4500</v>
      </c>
      <c r="G1838" s="1">
        <v>44967</v>
      </c>
    </row>
    <row r="1839" spans="1:7">
      <c r="A1839" t="s">
        <v>4501</v>
      </c>
      <c r="B1839">
        <v>27</v>
      </c>
      <c r="C1839" t="s">
        <v>4502</v>
      </c>
      <c r="D1839">
        <v>63132</v>
      </c>
      <c r="E1839" t="s">
        <v>27</v>
      </c>
      <c r="F1839">
        <f>1-334-689-5549</f>
        <v>-6571</v>
      </c>
      <c r="G1839" s="1">
        <v>45109</v>
      </c>
    </row>
    <row r="1840" spans="1:7">
      <c r="A1840" t="s">
        <v>4503</v>
      </c>
      <c r="B1840">
        <v>23</v>
      </c>
      <c r="C1840" t="s">
        <v>170</v>
      </c>
      <c r="D1840">
        <v>33880</v>
      </c>
      <c r="E1840" t="s">
        <v>27</v>
      </c>
      <c r="F1840" t="s">
        <v>4504</v>
      </c>
      <c r="G1840" s="1">
        <v>45099</v>
      </c>
    </row>
    <row r="1841" spans="1:7">
      <c r="A1841" t="s">
        <v>4505</v>
      </c>
      <c r="B1841">
        <v>19</v>
      </c>
      <c r="C1841" t="s">
        <v>4506</v>
      </c>
      <c r="D1841">
        <v>97616</v>
      </c>
      <c r="E1841" t="s">
        <v>36</v>
      </c>
      <c r="F1841" t="s">
        <v>4507</v>
      </c>
      <c r="G1841" s="1">
        <v>45123</v>
      </c>
    </row>
    <row r="1842" spans="1:7">
      <c r="A1842" t="s">
        <v>4508</v>
      </c>
      <c r="B1842">
        <v>-50</v>
      </c>
      <c r="C1842" t="s">
        <v>170</v>
      </c>
      <c r="D1842">
        <v>113996</v>
      </c>
      <c r="E1842" t="s">
        <v>36</v>
      </c>
      <c r="F1842" t="s">
        <v>4509</v>
      </c>
      <c r="G1842" s="1">
        <v>45010</v>
      </c>
    </row>
    <row r="1843" spans="1:7">
      <c r="A1843" t="s">
        <v>4510</v>
      </c>
      <c r="B1843">
        <v>79</v>
      </c>
      <c r="C1843" t="s">
        <v>4511</v>
      </c>
      <c r="D1843">
        <v>93879</v>
      </c>
      <c r="E1843" t="s">
        <v>9</v>
      </c>
      <c r="F1843" t="s">
        <v>4512</v>
      </c>
      <c r="G1843" s="1">
        <v>44931</v>
      </c>
    </row>
    <row r="1844" spans="1:7">
      <c r="A1844" t="s">
        <v>4513</v>
      </c>
      <c r="B1844">
        <v>500</v>
      </c>
      <c r="C1844" t="s">
        <v>4514</v>
      </c>
      <c r="D1844">
        <v>87062</v>
      </c>
      <c r="E1844" t="s">
        <v>9</v>
      </c>
      <c r="G1844" s="1">
        <v>45027</v>
      </c>
    </row>
    <row r="1845" spans="1:7">
      <c r="A1845" t="s">
        <v>4515</v>
      </c>
      <c r="B1845">
        <v>45</v>
      </c>
      <c r="C1845" t="s">
        <v>4516</v>
      </c>
      <c r="D1845">
        <v>92119</v>
      </c>
      <c r="E1845" t="s">
        <v>27</v>
      </c>
      <c r="F1845">
        <f>1-687-904-6116</f>
        <v>-7706</v>
      </c>
      <c r="G1845" s="1">
        <v>45100</v>
      </c>
    </row>
    <row r="1846" spans="1:7">
      <c r="A1846" t="s">
        <v>4517</v>
      </c>
      <c r="B1846">
        <v>54</v>
      </c>
      <c r="D1846">
        <v>185072</v>
      </c>
      <c r="E1846" t="s">
        <v>36</v>
      </c>
      <c r="F1846" t="s">
        <v>4518</v>
      </c>
      <c r="G1846" s="1">
        <v>44986</v>
      </c>
    </row>
    <row r="1847" spans="1:7">
      <c r="A1847" t="s">
        <v>4519</v>
      </c>
      <c r="B1847">
        <v>61</v>
      </c>
      <c r="C1847" t="s">
        <v>4520</v>
      </c>
      <c r="D1847">
        <v>182961</v>
      </c>
      <c r="E1847" t="s">
        <v>36</v>
      </c>
      <c r="F1847" t="s">
        <v>4521</v>
      </c>
      <c r="G1847" s="1">
        <v>44933</v>
      </c>
    </row>
    <row r="1848" spans="1:7">
      <c r="A1848" t="s">
        <v>4522</v>
      </c>
      <c r="B1848">
        <v>28</v>
      </c>
      <c r="C1848" t="s">
        <v>594</v>
      </c>
      <c r="D1848">
        <v>77574</v>
      </c>
      <c r="E1848" t="s">
        <v>358</v>
      </c>
      <c r="F1848">
        <v>8809347296</v>
      </c>
      <c r="G1848" s="1">
        <v>44944</v>
      </c>
    </row>
    <row r="1849" spans="1:7">
      <c r="A1849" t="s">
        <v>4523</v>
      </c>
      <c r="B1849">
        <v>0</v>
      </c>
      <c r="C1849" t="s">
        <v>4524</v>
      </c>
      <c r="D1849">
        <v>97087</v>
      </c>
      <c r="E1849" t="s">
        <v>12</v>
      </c>
      <c r="F1849">
        <v>8484828793</v>
      </c>
      <c r="G1849" s="1">
        <v>45066</v>
      </c>
    </row>
    <row r="1850" spans="1:7">
      <c r="A1850" t="s">
        <v>4525</v>
      </c>
      <c r="B1850">
        <v>73</v>
      </c>
      <c r="D1850">
        <v>127624</v>
      </c>
      <c r="E1850" t="s">
        <v>9</v>
      </c>
      <c r="F1850">
        <v>8017523794</v>
      </c>
      <c r="G1850" s="1">
        <v>45096</v>
      </c>
    </row>
    <row r="1851" spans="1:7">
      <c r="A1851" t="s">
        <v>4526</v>
      </c>
      <c r="B1851">
        <v>58</v>
      </c>
      <c r="C1851" t="s">
        <v>115</v>
      </c>
      <c r="D1851">
        <v>191096</v>
      </c>
      <c r="E1851" t="s">
        <v>9</v>
      </c>
      <c r="F1851">
        <v>9263025879</v>
      </c>
      <c r="G1851" s="1">
        <v>45054</v>
      </c>
    </row>
    <row r="1852" spans="1:7">
      <c r="B1852">
        <v>30</v>
      </c>
      <c r="C1852" t="s">
        <v>4527</v>
      </c>
      <c r="D1852">
        <v>136956</v>
      </c>
      <c r="E1852" t="s">
        <v>12</v>
      </c>
      <c r="F1852">
        <f>1-146-348-3138</f>
        <v>-3631</v>
      </c>
      <c r="G1852" s="1">
        <v>45098</v>
      </c>
    </row>
    <row r="1853" spans="1:7">
      <c r="A1853" t="s">
        <v>4528</v>
      </c>
      <c r="B1853">
        <v>45</v>
      </c>
      <c r="C1853" t="s">
        <v>61</v>
      </c>
      <c r="D1853">
        <v>182053</v>
      </c>
      <c r="E1853" t="s">
        <v>49</v>
      </c>
      <c r="F1853" t="s">
        <v>4529</v>
      </c>
      <c r="G1853" s="1">
        <v>45046</v>
      </c>
    </row>
    <row r="1854" spans="1:7">
      <c r="A1854" t="s">
        <v>3807</v>
      </c>
      <c r="B1854">
        <v>79</v>
      </c>
      <c r="D1854">
        <v>94729</v>
      </c>
      <c r="E1854" t="s">
        <v>27</v>
      </c>
      <c r="F1854" t="s">
        <v>4530</v>
      </c>
      <c r="G1854" s="1">
        <v>45000</v>
      </c>
    </row>
    <row r="1855" spans="1:7">
      <c r="A1855" t="s">
        <v>4531</v>
      </c>
      <c r="B1855">
        <v>-25</v>
      </c>
      <c r="C1855" t="s">
        <v>4532</v>
      </c>
      <c r="D1855">
        <v>87823</v>
      </c>
      <c r="E1855" t="s">
        <v>12</v>
      </c>
      <c r="F1855">
        <v>3872111537</v>
      </c>
      <c r="G1855" s="1">
        <v>45134</v>
      </c>
    </row>
    <row r="1856" spans="1:7">
      <c r="A1856" t="s">
        <v>4533</v>
      </c>
      <c r="B1856">
        <v>180</v>
      </c>
      <c r="C1856" t="s">
        <v>4534</v>
      </c>
      <c r="D1856">
        <v>40014</v>
      </c>
      <c r="E1856" t="s">
        <v>27</v>
      </c>
      <c r="F1856">
        <f>1-659-118-1517</f>
        <v>-2293</v>
      </c>
      <c r="G1856" s="1">
        <v>45002</v>
      </c>
    </row>
    <row r="1857" spans="1:7">
      <c r="A1857" t="s">
        <v>4535</v>
      </c>
      <c r="B1857">
        <v>69</v>
      </c>
      <c r="C1857" t="s">
        <v>4536</v>
      </c>
      <c r="D1857">
        <v>197856</v>
      </c>
      <c r="E1857" t="s">
        <v>12</v>
      </c>
      <c r="F1857">
        <f>1-659-228-1005</f>
        <v>-1891</v>
      </c>
      <c r="G1857" s="1">
        <v>45156</v>
      </c>
    </row>
    <row r="1858" spans="1:7">
      <c r="A1858" t="s">
        <v>4537</v>
      </c>
      <c r="B1858">
        <v>27</v>
      </c>
      <c r="C1858" t="s">
        <v>4538</v>
      </c>
      <c r="D1858">
        <v>193639</v>
      </c>
      <c r="E1858" t="s">
        <v>527</v>
      </c>
      <c r="F1858" t="s">
        <v>4539</v>
      </c>
      <c r="G1858" t="s">
        <v>3963</v>
      </c>
    </row>
    <row r="1859" spans="1:7">
      <c r="A1859" t="s">
        <v>4540</v>
      </c>
      <c r="B1859">
        <v>29</v>
      </c>
      <c r="E1859" t="s">
        <v>27</v>
      </c>
      <c r="F1859" t="s">
        <v>4541</v>
      </c>
      <c r="G1859" s="1">
        <v>44954</v>
      </c>
    </row>
    <row r="1860" spans="1:7">
      <c r="A1860" t="s">
        <v>869</v>
      </c>
      <c r="B1860">
        <v>45</v>
      </c>
      <c r="C1860" t="s">
        <v>4542</v>
      </c>
      <c r="D1860">
        <v>160526</v>
      </c>
      <c r="E1860" t="s">
        <v>36</v>
      </c>
      <c r="F1860" t="s">
        <v>4543</v>
      </c>
      <c r="G1860" s="1">
        <v>45285</v>
      </c>
    </row>
    <row r="1861" spans="1:7">
      <c r="A1861" t="s">
        <v>4544</v>
      </c>
      <c r="B1861">
        <v>26</v>
      </c>
      <c r="C1861" t="s">
        <v>4545</v>
      </c>
      <c r="D1861">
        <v>186078</v>
      </c>
      <c r="E1861" t="s">
        <v>12</v>
      </c>
      <c r="F1861" t="s">
        <v>4546</v>
      </c>
      <c r="G1861" s="1">
        <v>45266</v>
      </c>
    </row>
    <row r="1862" spans="1:7">
      <c r="A1862" t="s">
        <v>4547</v>
      </c>
      <c r="B1862">
        <v>59</v>
      </c>
      <c r="C1862" t="s">
        <v>445</v>
      </c>
      <c r="D1862">
        <v>41049</v>
      </c>
      <c r="E1862" t="s">
        <v>12</v>
      </c>
      <c r="F1862" t="s">
        <v>4548</v>
      </c>
      <c r="G1862" t="s">
        <v>1627</v>
      </c>
    </row>
    <row r="1863" spans="1:7">
      <c r="A1863" t="s">
        <v>4549</v>
      </c>
      <c r="B1863">
        <v>150</v>
      </c>
      <c r="C1863" t="s">
        <v>4550</v>
      </c>
      <c r="E1863" t="s">
        <v>12</v>
      </c>
      <c r="G1863" s="1">
        <v>44992</v>
      </c>
    </row>
    <row r="1864" spans="1:7">
      <c r="A1864" t="s">
        <v>4551</v>
      </c>
      <c r="B1864">
        <v>59</v>
      </c>
      <c r="C1864" t="s">
        <v>4552</v>
      </c>
      <c r="E1864" t="s">
        <v>12</v>
      </c>
      <c r="F1864" t="s">
        <v>4553</v>
      </c>
      <c r="G1864" s="1">
        <v>45209</v>
      </c>
    </row>
    <row r="1865" spans="1:7">
      <c r="A1865" t="s">
        <v>4554</v>
      </c>
      <c r="B1865">
        <v>76</v>
      </c>
      <c r="D1865">
        <v>-20000</v>
      </c>
      <c r="E1865" t="s">
        <v>12</v>
      </c>
      <c r="F1865">
        <f>1-786-968-8817</f>
        <v>-10570</v>
      </c>
      <c r="G1865" s="1">
        <v>45120</v>
      </c>
    </row>
    <row r="1866" spans="1:7">
      <c r="A1866" t="s">
        <v>4555</v>
      </c>
      <c r="B1866">
        <v>72</v>
      </c>
      <c r="C1866" t="s">
        <v>389</v>
      </c>
      <c r="D1866">
        <v>36638</v>
      </c>
      <c r="E1866" t="s">
        <v>12</v>
      </c>
      <c r="F1866" t="s">
        <v>4556</v>
      </c>
      <c r="G1866" s="1">
        <v>45133</v>
      </c>
    </row>
    <row r="1867" spans="1:7">
      <c r="A1867" t="s">
        <v>4557</v>
      </c>
      <c r="B1867">
        <v>22</v>
      </c>
      <c r="C1867" t="s">
        <v>4558</v>
      </c>
      <c r="D1867">
        <v>191081</v>
      </c>
      <c r="E1867" t="s">
        <v>27</v>
      </c>
      <c r="F1867" t="s">
        <v>4559</v>
      </c>
      <c r="G1867" s="1">
        <v>45181</v>
      </c>
    </row>
    <row r="1868" spans="1:7">
      <c r="A1868" t="s">
        <v>4560</v>
      </c>
      <c r="B1868">
        <v>20</v>
      </c>
      <c r="C1868" t="s">
        <v>4561</v>
      </c>
      <c r="D1868">
        <v>72863</v>
      </c>
      <c r="E1868" t="s">
        <v>12</v>
      </c>
      <c r="F1868" t="s">
        <v>4562</v>
      </c>
      <c r="G1868" t="s">
        <v>1459</v>
      </c>
    </row>
    <row r="1869" spans="1:7">
      <c r="A1869" t="s">
        <v>4563</v>
      </c>
      <c r="B1869">
        <v>37</v>
      </c>
      <c r="D1869">
        <v>66713</v>
      </c>
      <c r="E1869" t="s">
        <v>9</v>
      </c>
      <c r="F1869">
        <v>8029358897</v>
      </c>
      <c r="G1869" s="1">
        <v>45140</v>
      </c>
    </row>
    <row r="1870" spans="1:7">
      <c r="A1870" t="s">
        <v>4564</v>
      </c>
      <c r="B1870">
        <v>0</v>
      </c>
      <c r="C1870" t="s">
        <v>4565</v>
      </c>
      <c r="D1870">
        <v>149682</v>
      </c>
      <c r="E1870" t="s">
        <v>27</v>
      </c>
      <c r="F1870" t="s">
        <v>4566</v>
      </c>
      <c r="G1870" t="s">
        <v>87</v>
      </c>
    </row>
    <row r="1871" spans="1:7">
      <c r="A1871" t="s">
        <v>4567</v>
      </c>
      <c r="B1871">
        <v>78</v>
      </c>
      <c r="C1871" t="s">
        <v>4568</v>
      </c>
      <c r="D1871">
        <v>33832</v>
      </c>
      <c r="E1871" t="s">
        <v>12</v>
      </c>
      <c r="F1871" t="s">
        <v>4569</v>
      </c>
      <c r="G1871" s="1">
        <v>45141</v>
      </c>
    </row>
    <row r="1872" spans="1:7">
      <c r="A1872" t="s">
        <v>4570</v>
      </c>
      <c r="B1872">
        <v>34</v>
      </c>
      <c r="C1872" t="s">
        <v>4571</v>
      </c>
      <c r="D1872">
        <v>188598</v>
      </c>
      <c r="E1872" t="s">
        <v>12</v>
      </c>
      <c r="F1872">
        <f>1-127-885-7896</f>
        <v>-8907</v>
      </c>
      <c r="G1872" s="1">
        <v>44936</v>
      </c>
    </row>
    <row r="1873" spans="1:7">
      <c r="A1873" t="s">
        <v>4572</v>
      </c>
      <c r="B1873">
        <v>70</v>
      </c>
      <c r="C1873" t="s">
        <v>4573</v>
      </c>
      <c r="D1873">
        <v>91892</v>
      </c>
      <c r="E1873" t="s">
        <v>27</v>
      </c>
      <c r="F1873" t="s">
        <v>4574</v>
      </c>
      <c r="G1873" s="1">
        <v>45046</v>
      </c>
    </row>
    <row r="1874" spans="1:7">
      <c r="A1874" t="s">
        <v>4575</v>
      </c>
      <c r="B1874">
        <v>47</v>
      </c>
      <c r="C1874" t="s">
        <v>4576</v>
      </c>
      <c r="D1874">
        <v>162965</v>
      </c>
      <c r="E1874" t="s">
        <v>9</v>
      </c>
      <c r="G1874" s="1">
        <v>45268</v>
      </c>
    </row>
    <row r="1875" spans="1:7">
      <c r="A1875" t="s">
        <v>4577</v>
      </c>
      <c r="B1875">
        <v>45</v>
      </c>
      <c r="C1875" t="s">
        <v>4578</v>
      </c>
      <c r="D1875">
        <v>34150</v>
      </c>
      <c r="E1875" t="s">
        <v>27</v>
      </c>
      <c r="F1875" t="s">
        <v>4579</v>
      </c>
      <c r="G1875" s="1">
        <v>45046</v>
      </c>
    </row>
    <row r="1876" spans="1:7">
      <c r="A1876" t="s">
        <v>4580</v>
      </c>
      <c r="B1876">
        <v>43</v>
      </c>
      <c r="D1876">
        <v>194870</v>
      </c>
      <c r="E1876" t="s">
        <v>49</v>
      </c>
      <c r="F1876">
        <v>4485474748</v>
      </c>
      <c r="G1876" s="1">
        <v>45085</v>
      </c>
    </row>
    <row r="1877" spans="1:7">
      <c r="A1877" t="s">
        <v>4581</v>
      </c>
      <c r="B1877">
        <v>21</v>
      </c>
      <c r="C1877" t="s">
        <v>299</v>
      </c>
      <c r="D1877">
        <v>95614</v>
      </c>
      <c r="E1877" t="s">
        <v>27</v>
      </c>
      <c r="F1877" t="s">
        <v>4582</v>
      </c>
      <c r="G1877" s="1">
        <v>45199</v>
      </c>
    </row>
    <row r="1878" spans="1:7">
      <c r="A1878" t="s">
        <v>4583</v>
      </c>
      <c r="B1878">
        <v>44</v>
      </c>
      <c r="C1878" t="s">
        <v>4584</v>
      </c>
      <c r="D1878">
        <v>134292</v>
      </c>
      <c r="E1878" t="s">
        <v>12</v>
      </c>
      <c r="F1878" t="s">
        <v>4585</v>
      </c>
      <c r="G1878" s="1">
        <v>45240</v>
      </c>
    </row>
    <row r="1879" spans="1:7">
      <c r="A1879" t="s">
        <v>4586</v>
      </c>
      <c r="C1879" t="s">
        <v>4587</v>
      </c>
      <c r="D1879">
        <v>120925</v>
      </c>
      <c r="E1879" t="s">
        <v>9</v>
      </c>
      <c r="F1879">
        <v>2582098699</v>
      </c>
      <c r="G1879" s="1">
        <v>45167</v>
      </c>
    </row>
    <row r="1880" spans="1:7">
      <c r="A1880" t="s">
        <v>4588</v>
      </c>
      <c r="B1880">
        <v>66</v>
      </c>
      <c r="C1880" t="s">
        <v>4589</v>
      </c>
      <c r="D1880">
        <v>57472</v>
      </c>
      <c r="E1880" t="s">
        <v>27</v>
      </c>
      <c r="F1880" t="s">
        <v>4590</v>
      </c>
      <c r="G1880" s="1">
        <v>45084</v>
      </c>
    </row>
    <row r="1881" spans="1:7">
      <c r="A1881" t="s">
        <v>4591</v>
      </c>
      <c r="B1881">
        <v>19</v>
      </c>
      <c r="C1881" t="s">
        <v>4592</v>
      </c>
      <c r="D1881">
        <v>46576</v>
      </c>
      <c r="E1881" t="s">
        <v>9</v>
      </c>
      <c r="F1881">
        <v>8018933340</v>
      </c>
      <c r="G1881" s="1">
        <v>44993</v>
      </c>
    </row>
    <row r="1882" spans="1:7">
      <c r="A1882" t="s">
        <v>4593</v>
      </c>
      <c r="B1882">
        <v>39</v>
      </c>
      <c r="C1882" t="s">
        <v>4594</v>
      </c>
      <c r="D1882">
        <v>88560</v>
      </c>
      <c r="E1882" t="s">
        <v>27</v>
      </c>
      <c r="F1882">
        <f>1-736-907-1695</f>
        <v>-3337</v>
      </c>
      <c r="G1882" s="1">
        <v>44996</v>
      </c>
    </row>
    <row r="1883" spans="1:7">
      <c r="A1883" t="s">
        <v>4595</v>
      </c>
      <c r="D1883">
        <v>51630</v>
      </c>
      <c r="E1883" t="s">
        <v>12</v>
      </c>
      <c r="F1883" t="s">
        <v>4596</v>
      </c>
      <c r="G1883" s="1">
        <v>45250</v>
      </c>
    </row>
    <row r="1884" spans="1:7">
      <c r="A1884" t="s">
        <v>4597</v>
      </c>
      <c r="B1884">
        <v>79</v>
      </c>
      <c r="C1884" t="s">
        <v>4598</v>
      </c>
      <c r="D1884">
        <v>0</v>
      </c>
      <c r="E1884" t="s">
        <v>12</v>
      </c>
      <c r="F1884">
        <f>1-808-661-2123</f>
        <v>-3591</v>
      </c>
      <c r="G1884" s="1">
        <v>45133</v>
      </c>
    </row>
    <row r="1885" spans="1:7">
      <c r="A1885" t="s">
        <v>4599</v>
      </c>
      <c r="B1885">
        <v>50</v>
      </c>
      <c r="C1885" t="s">
        <v>4600</v>
      </c>
      <c r="D1885">
        <v>155014</v>
      </c>
      <c r="E1885" t="s">
        <v>36</v>
      </c>
      <c r="F1885">
        <f>1-912-910-7006</f>
        <v>-8827</v>
      </c>
      <c r="G1885" s="1">
        <v>44938</v>
      </c>
    </row>
    <row r="1886" spans="1:7">
      <c r="A1886" t="s">
        <v>4601</v>
      </c>
      <c r="B1886">
        <v>52</v>
      </c>
      <c r="C1886" t="s">
        <v>4602</v>
      </c>
      <c r="D1886">
        <v>133920</v>
      </c>
      <c r="E1886" t="s">
        <v>36</v>
      </c>
      <c r="G1886" s="1">
        <v>45063</v>
      </c>
    </row>
    <row r="1887" spans="1:7">
      <c r="A1887" t="s">
        <v>4603</v>
      </c>
      <c r="B1887">
        <v>68</v>
      </c>
      <c r="C1887" t="s">
        <v>4604</v>
      </c>
      <c r="D1887">
        <v>196589</v>
      </c>
      <c r="E1887" t="s">
        <v>9</v>
      </c>
      <c r="F1887">
        <v>5199848083</v>
      </c>
      <c r="G1887" s="1">
        <v>45215</v>
      </c>
    </row>
    <row r="1888" spans="1:7">
      <c r="A1888" t="s">
        <v>4605</v>
      </c>
      <c r="B1888">
        <v>42</v>
      </c>
      <c r="D1888">
        <v>106396</v>
      </c>
      <c r="E1888" t="s">
        <v>36</v>
      </c>
      <c r="F1888" t="s">
        <v>4606</v>
      </c>
      <c r="G1888" s="1">
        <v>45285</v>
      </c>
    </row>
    <row r="1889" spans="1:7">
      <c r="A1889" t="s">
        <v>4607</v>
      </c>
      <c r="B1889">
        <v>24</v>
      </c>
      <c r="C1889" t="s">
        <v>115</v>
      </c>
      <c r="D1889">
        <v>-50000</v>
      </c>
      <c r="E1889" t="s">
        <v>36</v>
      </c>
      <c r="F1889" t="s">
        <v>4608</v>
      </c>
      <c r="G1889" s="1">
        <v>44932</v>
      </c>
    </row>
    <row r="1890" spans="1:7">
      <c r="A1890" t="s">
        <v>4609</v>
      </c>
      <c r="B1890">
        <v>18</v>
      </c>
      <c r="D1890">
        <v>30336</v>
      </c>
      <c r="E1890" t="s">
        <v>12</v>
      </c>
      <c r="F1890" t="s">
        <v>4610</v>
      </c>
      <c r="G1890" s="1">
        <v>45161</v>
      </c>
    </row>
    <row r="1891" spans="1:7">
      <c r="A1891" t="s">
        <v>4611</v>
      </c>
      <c r="B1891">
        <v>61</v>
      </c>
      <c r="D1891">
        <v>111422</v>
      </c>
      <c r="E1891" t="s">
        <v>36</v>
      </c>
      <c r="F1891" t="s">
        <v>4612</v>
      </c>
      <c r="G1891" s="1">
        <v>45021</v>
      </c>
    </row>
    <row r="1892" spans="1:7">
      <c r="A1892" t="s">
        <v>4613</v>
      </c>
      <c r="B1892">
        <v>0</v>
      </c>
      <c r="C1892" t="s">
        <v>4614</v>
      </c>
      <c r="D1892">
        <v>129244</v>
      </c>
      <c r="E1892" t="s">
        <v>36</v>
      </c>
      <c r="F1892" t="s">
        <v>4615</v>
      </c>
      <c r="G1892" s="1">
        <v>45176</v>
      </c>
    </row>
    <row r="1893" spans="1:7">
      <c r="A1893" t="s">
        <v>4616</v>
      </c>
      <c r="D1893">
        <v>180245</v>
      </c>
      <c r="E1893" t="s">
        <v>49</v>
      </c>
      <c r="F1893" t="s">
        <v>4617</v>
      </c>
      <c r="G1893" s="1">
        <v>45035</v>
      </c>
    </row>
    <row r="1894" spans="1:7">
      <c r="A1894" t="s">
        <v>4618</v>
      </c>
      <c r="B1894">
        <v>50</v>
      </c>
      <c r="C1894" t="s">
        <v>4619</v>
      </c>
      <c r="D1894">
        <v>84633</v>
      </c>
      <c r="E1894" t="s">
        <v>9</v>
      </c>
      <c r="F1894" t="s">
        <v>4620</v>
      </c>
      <c r="G1894" s="1">
        <v>45075</v>
      </c>
    </row>
    <row r="1895" spans="1:7">
      <c r="A1895" t="s">
        <v>4621</v>
      </c>
      <c r="B1895">
        <v>19</v>
      </c>
      <c r="C1895" t="s">
        <v>4622</v>
      </c>
      <c r="D1895">
        <v>123079</v>
      </c>
      <c r="E1895" t="s">
        <v>27</v>
      </c>
      <c r="F1895" t="s">
        <v>4623</v>
      </c>
      <c r="G1895" t="s">
        <v>493</v>
      </c>
    </row>
    <row r="1896" spans="1:7">
      <c r="A1896" t="s">
        <v>4624</v>
      </c>
      <c r="B1896">
        <v>33</v>
      </c>
      <c r="C1896" t="s">
        <v>4625</v>
      </c>
      <c r="D1896">
        <v>66132</v>
      </c>
      <c r="E1896" t="s">
        <v>12</v>
      </c>
      <c r="F1896" t="s">
        <v>4626</v>
      </c>
      <c r="G1896" s="1">
        <v>44933</v>
      </c>
    </row>
    <row r="1897" spans="1:7">
      <c r="A1897" t="s">
        <v>4627</v>
      </c>
      <c r="B1897">
        <v>66</v>
      </c>
      <c r="D1897">
        <v>165150</v>
      </c>
      <c r="E1897" t="s">
        <v>27</v>
      </c>
      <c r="F1897" t="s">
        <v>4628</v>
      </c>
      <c r="G1897" s="1">
        <v>44997</v>
      </c>
    </row>
    <row r="1898" spans="1:7">
      <c r="A1898" t="s">
        <v>4629</v>
      </c>
      <c r="B1898">
        <v>130</v>
      </c>
      <c r="C1898" t="s">
        <v>4630</v>
      </c>
      <c r="D1898">
        <v>64773</v>
      </c>
      <c r="E1898" t="s">
        <v>27</v>
      </c>
      <c r="F1898" t="s">
        <v>4631</v>
      </c>
      <c r="G1898" s="1">
        <v>45178</v>
      </c>
    </row>
    <row r="1899" spans="1:7">
      <c r="B1899">
        <v>51</v>
      </c>
      <c r="C1899" t="s">
        <v>4632</v>
      </c>
      <c r="D1899">
        <v>106441</v>
      </c>
      <c r="E1899" t="s">
        <v>36</v>
      </c>
      <c r="F1899" t="s">
        <v>4633</v>
      </c>
      <c r="G1899" s="1">
        <v>45127</v>
      </c>
    </row>
    <row r="1900" spans="1:7">
      <c r="A1900" t="s">
        <v>4634</v>
      </c>
      <c r="B1900">
        <v>-1</v>
      </c>
      <c r="C1900" t="s">
        <v>61</v>
      </c>
      <c r="E1900" t="s">
        <v>9</v>
      </c>
      <c r="F1900" t="s">
        <v>4635</v>
      </c>
      <c r="G1900" s="1">
        <v>45202</v>
      </c>
    </row>
    <row r="1901" spans="1:7">
      <c r="A1901" t="s">
        <v>2100</v>
      </c>
      <c r="B1901">
        <v>36</v>
      </c>
      <c r="C1901" t="s">
        <v>4636</v>
      </c>
      <c r="D1901">
        <v>184978</v>
      </c>
      <c r="E1901" t="s">
        <v>12</v>
      </c>
      <c r="F1901">
        <v>4339458019</v>
      </c>
      <c r="G1901" s="1">
        <v>45001</v>
      </c>
    </row>
    <row r="1902" spans="1:7">
      <c r="A1902" t="s">
        <v>4637</v>
      </c>
      <c r="B1902">
        <v>41</v>
      </c>
      <c r="C1902" t="s">
        <v>4638</v>
      </c>
      <c r="D1902">
        <v>33052</v>
      </c>
      <c r="E1902" t="s">
        <v>27</v>
      </c>
      <c r="F1902">
        <f>1-323-924-3832</f>
        <v>-5078</v>
      </c>
      <c r="G1902" s="1">
        <v>45159</v>
      </c>
    </row>
    <row r="1903" spans="1:7">
      <c r="A1903" t="s">
        <v>4639</v>
      </c>
      <c r="B1903">
        <v>33</v>
      </c>
      <c r="C1903" t="s">
        <v>4640</v>
      </c>
      <c r="D1903">
        <v>195637</v>
      </c>
      <c r="E1903" t="s">
        <v>27</v>
      </c>
      <c r="F1903" t="s">
        <v>4641</v>
      </c>
      <c r="G1903" s="1">
        <v>45019</v>
      </c>
    </row>
    <row r="1904" spans="1:7">
      <c r="A1904" t="s">
        <v>4642</v>
      </c>
      <c r="B1904">
        <v>52</v>
      </c>
      <c r="C1904" t="s">
        <v>4643</v>
      </c>
      <c r="E1904" t="s">
        <v>36</v>
      </c>
      <c r="F1904">
        <f>1-635-353-5009</f>
        <v>-5996</v>
      </c>
      <c r="G1904" s="1">
        <v>45085</v>
      </c>
    </row>
    <row r="1905" spans="1:7">
      <c r="A1905" t="s">
        <v>4644</v>
      </c>
      <c r="B1905">
        <v>78</v>
      </c>
      <c r="C1905" t="s">
        <v>4645</v>
      </c>
      <c r="D1905">
        <v>191771</v>
      </c>
      <c r="E1905" t="s">
        <v>27</v>
      </c>
      <c r="F1905" t="s">
        <v>4646</v>
      </c>
      <c r="G1905" s="1">
        <v>45014</v>
      </c>
    </row>
    <row r="1906" spans="1:7">
      <c r="A1906" t="s">
        <v>4647</v>
      </c>
      <c r="B1906">
        <v>70</v>
      </c>
      <c r="C1906" t="s">
        <v>389</v>
      </c>
      <c r="E1906" t="s">
        <v>27</v>
      </c>
      <c r="F1906" t="s">
        <v>4648</v>
      </c>
      <c r="G1906" s="1">
        <v>45262</v>
      </c>
    </row>
    <row r="1907" spans="1:7">
      <c r="A1907" t="s">
        <v>4649</v>
      </c>
      <c r="B1907">
        <v>77</v>
      </c>
      <c r="C1907" t="s">
        <v>4650</v>
      </c>
      <c r="D1907">
        <v>126367</v>
      </c>
      <c r="E1907" t="s">
        <v>9</v>
      </c>
      <c r="F1907" t="s">
        <v>4651</v>
      </c>
      <c r="G1907" s="1">
        <v>45230</v>
      </c>
    </row>
    <row r="1908" spans="1:7">
      <c r="A1908" t="s">
        <v>4652</v>
      </c>
      <c r="B1908">
        <v>39</v>
      </c>
      <c r="C1908" t="s">
        <v>4653</v>
      </c>
      <c r="D1908">
        <v>31936</v>
      </c>
      <c r="E1908" t="s">
        <v>27</v>
      </c>
      <c r="F1908" t="s">
        <v>4654</v>
      </c>
      <c r="G1908" s="1">
        <v>45131</v>
      </c>
    </row>
    <row r="1909" spans="1:7">
      <c r="A1909" t="s">
        <v>4655</v>
      </c>
      <c r="B1909">
        <v>40</v>
      </c>
      <c r="C1909" t="s">
        <v>4656</v>
      </c>
      <c r="D1909">
        <v>37526</v>
      </c>
      <c r="E1909" t="s">
        <v>12</v>
      </c>
      <c r="F1909" t="s">
        <v>4657</v>
      </c>
      <c r="G1909" s="1">
        <v>45109</v>
      </c>
    </row>
    <row r="1910" spans="1:7">
      <c r="A1910" t="s">
        <v>4658</v>
      </c>
      <c r="B1910">
        <v>76</v>
      </c>
      <c r="C1910" t="s">
        <v>4659</v>
      </c>
      <c r="E1910" t="s">
        <v>36</v>
      </c>
      <c r="F1910" t="s">
        <v>4660</v>
      </c>
      <c r="G1910" s="1">
        <v>45078</v>
      </c>
    </row>
    <row r="1911" spans="1:7">
      <c r="A1911" t="s">
        <v>4661</v>
      </c>
      <c r="B1911">
        <v>66</v>
      </c>
      <c r="D1911">
        <v>133863</v>
      </c>
      <c r="E1911" t="s">
        <v>9</v>
      </c>
      <c r="F1911" t="s">
        <v>4662</v>
      </c>
      <c r="G1911" t="s">
        <v>371</v>
      </c>
    </row>
    <row r="1912" spans="1:7">
      <c r="A1912" t="s">
        <v>4663</v>
      </c>
      <c r="B1912">
        <v>0</v>
      </c>
      <c r="C1912" t="s">
        <v>4664</v>
      </c>
      <c r="E1912" t="s">
        <v>27</v>
      </c>
      <c r="F1912" t="s">
        <v>4665</v>
      </c>
      <c r="G1912" s="1">
        <v>45227</v>
      </c>
    </row>
    <row r="1913" spans="1:7">
      <c r="A1913" t="s">
        <v>4666</v>
      </c>
      <c r="B1913">
        <v>70</v>
      </c>
      <c r="C1913" t="s">
        <v>4667</v>
      </c>
      <c r="D1913">
        <v>118020</v>
      </c>
      <c r="E1913" t="s">
        <v>36</v>
      </c>
      <c r="F1913">
        <v>6041077282</v>
      </c>
      <c r="G1913" s="1">
        <v>44997</v>
      </c>
    </row>
    <row r="1914" spans="1:7">
      <c r="A1914" t="s">
        <v>4668</v>
      </c>
      <c r="B1914">
        <v>52</v>
      </c>
      <c r="C1914" t="s">
        <v>170</v>
      </c>
      <c r="D1914">
        <v>178115</v>
      </c>
      <c r="E1914" t="s">
        <v>12</v>
      </c>
      <c r="F1914" t="s">
        <v>4669</v>
      </c>
      <c r="G1914" t="s">
        <v>422</v>
      </c>
    </row>
    <row r="1915" spans="1:7">
      <c r="A1915" t="s">
        <v>4670</v>
      </c>
      <c r="B1915">
        <v>48</v>
      </c>
      <c r="D1915">
        <v>113049</v>
      </c>
      <c r="E1915" t="s">
        <v>12</v>
      </c>
      <c r="F1915">
        <v>8525455135</v>
      </c>
      <c r="G1915" s="1">
        <v>44969</v>
      </c>
    </row>
    <row r="1916" spans="1:7">
      <c r="A1916" t="s">
        <v>4671</v>
      </c>
      <c r="B1916">
        <v>250</v>
      </c>
      <c r="C1916" t="s">
        <v>4672</v>
      </c>
      <c r="D1916">
        <v>181014</v>
      </c>
      <c r="E1916" t="s">
        <v>36</v>
      </c>
      <c r="F1916" t="s">
        <v>4673</v>
      </c>
      <c r="G1916" s="1">
        <v>45273</v>
      </c>
    </row>
    <row r="1917" spans="1:7">
      <c r="A1917" t="s">
        <v>2243</v>
      </c>
      <c r="B1917">
        <v>49</v>
      </c>
      <c r="C1917" t="s">
        <v>4674</v>
      </c>
      <c r="D1917">
        <v>134824</v>
      </c>
      <c r="E1917" t="s">
        <v>9</v>
      </c>
      <c r="F1917" t="s">
        <v>4675</v>
      </c>
      <c r="G1917" s="1">
        <v>44957</v>
      </c>
    </row>
    <row r="1918" spans="1:7">
      <c r="A1918" t="s">
        <v>4676</v>
      </c>
      <c r="B1918">
        <v>28</v>
      </c>
      <c r="C1918" t="s">
        <v>4677</v>
      </c>
      <c r="E1918" t="s">
        <v>12</v>
      </c>
      <c r="F1918" t="s">
        <v>4678</v>
      </c>
      <c r="G1918" s="1">
        <v>45185</v>
      </c>
    </row>
    <row r="1919" spans="1:7">
      <c r="A1919" t="s">
        <v>4679</v>
      </c>
      <c r="B1919">
        <v>60</v>
      </c>
      <c r="C1919" t="s">
        <v>445</v>
      </c>
      <c r="E1919" t="s">
        <v>36</v>
      </c>
      <c r="F1919" t="s">
        <v>4680</v>
      </c>
      <c r="G1919" s="1">
        <v>45280</v>
      </c>
    </row>
    <row r="1920" spans="1:7">
      <c r="A1920" t="s">
        <v>4681</v>
      </c>
      <c r="B1920">
        <v>130</v>
      </c>
      <c r="C1920" t="s">
        <v>445</v>
      </c>
      <c r="D1920">
        <v>45504</v>
      </c>
      <c r="E1920" t="s">
        <v>18</v>
      </c>
      <c r="F1920" t="s">
        <v>4682</v>
      </c>
      <c r="G1920" s="1">
        <v>45026</v>
      </c>
    </row>
    <row r="1921" spans="1:7">
      <c r="A1921" t="s">
        <v>4683</v>
      </c>
      <c r="B1921">
        <v>75</v>
      </c>
      <c r="C1921" t="s">
        <v>4684</v>
      </c>
      <c r="D1921">
        <v>108137</v>
      </c>
      <c r="E1921" t="s">
        <v>18</v>
      </c>
      <c r="F1921" t="s">
        <v>4685</v>
      </c>
      <c r="G1921" s="1">
        <v>45190</v>
      </c>
    </row>
    <row r="1922" spans="1:7">
      <c r="A1922" t="s">
        <v>4686</v>
      </c>
      <c r="B1922">
        <v>79</v>
      </c>
      <c r="C1922" t="s">
        <v>4687</v>
      </c>
      <c r="D1922">
        <v>92433</v>
      </c>
      <c r="E1922" t="s">
        <v>36</v>
      </c>
      <c r="F1922">
        <v>6268097086</v>
      </c>
      <c r="G1922" s="1">
        <v>45195</v>
      </c>
    </row>
    <row r="1923" spans="1:7">
      <c r="A1923" t="s">
        <v>4688</v>
      </c>
      <c r="B1923">
        <v>25</v>
      </c>
      <c r="C1923" t="s">
        <v>4689</v>
      </c>
      <c r="D1923">
        <v>90782</v>
      </c>
      <c r="E1923" t="s">
        <v>9</v>
      </c>
      <c r="F1923">
        <v>5011397503</v>
      </c>
      <c r="G1923" s="1">
        <v>45269</v>
      </c>
    </row>
    <row r="1924" spans="1:7">
      <c r="A1924" t="s">
        <v>4690</v>
      </c>
      <c r="B1924">
        <v>61</v>
      </c>
      <c r="C1924" t="s">
        <v>4691</v>
      </c>
      <c r="D1924">
        <v>120012</v>
      </c>
      <c r="E1924" t="s">
        <v>9</v>
      </c>
      <c r="G1924" s="1">
        <v>45277</v>
      </c>
    </row>
    <row r="1925" spans="1:7">
      <c r="A1925" t="s">
        <v>4692</v>
      </c>
      <c r="B1925">
        <v>74</v>
      </c>
      <c r="C1925" t="s">
        <v>4693</v>
      </c>
      <c r="D1925">
        <v>95066</v>
      </c>
      <c r="E1925" t="s">
        <v>9</v>
      </c>
      <c r="F1925" t="s">
        <v>4694</v>
      </c>
      <c r="G1925" s="1">
        <v>45150</v>
      </c>
    </row>
    <row r="1926" spans="1:7">
      <c r="A1926" t="s">
        <v>4695</v>
      </c>
      <c r="B1926">
        <v>42</v>
      </c>
      <c r="C1926" t="s">
        <v>4696</v>
      </c>
      <c r="E1926" t="s">
        <v>12</v>
      </c>
      <c r="F1926" t="s">
        <v>4697</v>
      </c>
      <c r="G1926" s="1">
        <v>45140</v>
      </c>
    </row>
    <row r="1927" spans="1:7">
      <c r="B1927">
        <v>75</v>
      </c>
      <c r="C1927" t="s">
        <v>4698</v>
      </c>
      <c r="D1927">
        <v>86358</v>
      </c>
      <c r="E1927" t="s">
        <v>27</v>
      </c>
      <c r="F1927">
        <f>1-813-820-9011</f>
        <v>-10643</v>
      </c>
      <c r="G1927" s="1">
        <v>45143</v>
      </c>
    </row>
    <row r="1928" spans="1:7">
      <c r="A1928" t="s">
        <v>4699</v>
      </c>
      <c r="B1928">
        <v>58</v>
      </c>
      <c r="C1928" t="s">
        <v>299</v>
      </c>
      <c r="D1928">
        <v>177596</v>
      </c>
      <c r="E1928" t="s">
        <v>12</v>
      </c>
      <c r="F1928" t="s">
        <v>4700</v>
      </c>
      <c r="G1928" s="1">
        <v>45008</v>
      </c>
    </row>
    <row r="1929" spans="1:7">
      <c r="A1929" t="s">
        <v>4701</v>
      </c>
      <c r="B1929">
        <v>70</v>
      </c>
      <c r="C1929" t="s">
        <v>4702</v>
      </c>
      <c r="D1929">
        <v>45689</v>
      </c>
      <c r="E1929" t="s">
        <v>12</v>
      </c>
      <c r="F1929">
        <v>9324262230</v>
      </c>
      <c r="G1929" s="1">
        <v>44927</v>
      </c>
    </row>
    <row r="1930" spans="1:7">
      <c r="A1930" t="s">
        <v>4703</v>
      </c>
      <c r="B1930">
        <v>71</v>
      </c>
      <c r="C1930" t="s">
        <v>4704</v>
      </c>
      <c r="D1930">
        <v>116207</v>
      </c>
      <c r="E1930" t="s">
        <v>9</v>
      </c>
      <c r="F1930" t="s">
        <v>4705</v>
      </c>
      <c r="G1930" s="1">
        <v>45180</v>
      </c>
    </row>
    <row r="1931" spans="1:7">
      <c r="A1931" t="s">
        <v>4706</v>
      </c>
      <c r="B1931">
        <v>78</v>
      </c>
      <c r="C1931" t="s">
        <v>4707</v>
      </c>
      <c r="D1931">
        <v>170287</v>
      </c>
      <c r="E1931" t="s">
        <v>9</v>
      </c>
      <c r="F1931" t="s">
        <v>4708</v>
      </c>
      <c r="G1931" t="s">
        <v>81</v>
      </c>
    </row>
    <row r="1932" spans="1:7">
      <c r="A1932" t="s">
        <v>4709</v>
      </c>
      <c r="B1932">
        <v>31</v>
      </c>
      <c r="C1932" t="s">
        <v>4710</v>
      </c>
      <c r="D1932">
        <v>89500</v>
      </c>
      <c r="E1932" t="s">
        <v>12</v>
      </c>
      <c r="F1932">
        <f>1-587-104-1156</f>
        <v>-1846</v>
      </c>
      <c r="G1932" s="1">
        <v>45269</v>
      </c>
    </row>
    <row r="1933" spans="1:7">
      <c r="A1933" t="s">
        <v>4711</v>
      </c>
      <c r="B1933">
        <v>71</v>
      </c>
      <c r="C1933" t="s">
        <v>4712</v>
      </c>
      <c r="D1933">
        <v>167150</v>
      </c>
      <c r="E1933" t="s">
        <v>36</v>
      </c>
      <c r="G1933" s="1">
        <v>45101</v>
      </c>
    </row>
    <row r="1934" spans="1:7">
      <c r="A1934" t="s">
        <v>4713</v>
      </c>
      <c r="B1934">
        <v>38</v>
      </c>
      <c r="C1934" t="s">
        <v>4714</v>
      </c>
      <c r="D1934">
        <v>176692</v>
      </c>
      <c r="E1934" t="s">
        <v>27</v>
      </c>
      <c r="F1934">
        <v>9620361356</v>
      </c>
      <c r="G1934" s="1">
        <v>45038</v>
      </c>
    </row>
    <row r="1935" spans="1:7">
      <c r="A1935" t="s">
        <v>4715</v>
      </c>
      <c r="B1935">
        <v>75</v>
      </c>
      <c r="C1935" t="s">
        <v>4716</v>
      </c>
      <c r="D1935">
        <v>69553</v>
      </c>
      <c r="E1935" t="s">
        <v>27</v>
      </c>
      <c r="F1935" t="s">
        <v>4717</v>
      </c>
      <c r="G1935" s="1">
        <v>45184</v>
      </c>
    </row>
    <row r="1936" spans="1:7">
      <c r="A1936" t="s">
        <v>4718</v>
      </c>
      <c r="B1936">
        <v>0</v>
      </c>
      <c r="C1936" t="s">
        <v>4719</v>
      </c>
      <c r="D1936">
        <v>64550</v>
      </c>
      <c r="E1936" t="s">
        <v>27</v>
      </c>
      <c r="F1936">
        <f>1-315-276-9471</f>
        <v>-10061</v>
      </c>
      <c r="G1936" s="1">
        <v>45270</v>
      </c>
    </row>
    <row r="1937" spans="1:7">
      <c r="A1937" t="s">
        <v>4720</v>
      </c>
      <c r="B1937">
        <v>20</v>
      </c>
      <c r="C1937" t="s">
        <v>4721</v>
      </c>
      <c r="D1937">
        <v>-50000</v>
      </c>
      <c r="E1937" t="s">
        <v>36</v>
      </c>
      <c r="F1937" t="s">
        <v>4722</v>
      </c>
      <c r="G1937" s="1">
        <v>45264</v>
      </c>
    </row>
    <row r="1938" spans="1:7">
      <c r="A1938" t="s">
        <v>4723</v>
      </c>
      <c r="B1938">
        <v>28</v>
      </c>
      <c r="C1938" t="s">
        <v>169</v>
      </c>
      <c r="D1938">
        <v>85514</v>
      </c>
      <c r="E1938" t="s">
        <v>12</v>
      </c>
      <c r="F1938" t="s">
        <v>4724</v>
      </c>
      <c r="G1938" s="1">
        <v>45149</v>
      </c>
    </row>
    <row r="1939" spans="1:7">
      <c r="A1939" t="s">
        <v>4725</v>
      </c>
      <c r="B1939">
        <v>68</v>
      </c>
      <c r="D1939">
        <v>133376</v>
      </c>
      <c r="E1939" t="s">
        <v>12</v>
      </c>
      <c r="G1939" s="1">
        <v>45033</v>
      </c>
    </row>
    <row r="1940" spans="1:7">
      <c r="A1940" t="s">
        <v>4726</v>
      </c>
      <c r="B1940">
        <v>73</v>
      </c>
      <c r="C1940" t="s">
        <v>4727</v>
      </c>
      <c r="D1940">
        <v>102095</v>
      </c>
      <c r="E1940" t="s">
        <v>27</v>
      </c>
      <c r="F1940">
        <f>1-460-678-8070</f>
        <v>-9207</v>
      </c>
      <c r="G1940" s="1">
        <v>45019</v>
      </c>
    </row>
    <row r="1941" spans="1:7">
      <c r="A1941" t="s">
        <v>4728</v>
      </c>
      <c r="B1941">
        <v>34</v>
      </c>
      <c r="C1941" t="s">
        <v>4729</v>
      </c>
      <c r="D1941">
        <v>141369</v>
      </c>
      <c r="E1941" t="s">
        <v>12</v>
      </c>
      <c r="F1941">
        <v>9784084995</v>
      </c>
      <c r="G1941" s="1">
        <v>45182</v>
      </c>
    </row>
    <row r="1942" spans="1:7">
      <c r="A1942" t="s">
        <v>4730</v>
      </c>
      <c r="B1942">
        <v>50</v>
      </c>
      <c r="C1942" t="s">
        <v>4731</v>
      </c>
      <c r="D1942">
        <v>76418</v>
      </c>
      <c r="E1942" t="s">
        <v>12</v>
      </c>
      <c r="F1942" t="s">
        <v>4732</v>
      </c>
      <c r="G1942" s="1">
        <v>45017</v>
      </c>
    </row>
    <row r="1943" spans="1:7">
      <c r="A1943" t="s">
        <v>4733</v>
      </c>
      <c r="B1943">
        <v>40</v>
      </c>
      <c r="C1943" t="s">
        <v>4734</v>
      </c>
      <c r="D1943">
        <v>75865</v>
      </c>
      <c r="E1943" t="s">
        <v>294</v>
      </c>
      <c r="F1943" t="s">
        <v>4735</v>
      </c>
      <c r="G1943" s="1">
        <v>45268</v>
      </c>
    </row>
    <row r="1944" spans="1:7">
      <c r="A1944" t="s">
        <v>3862</v>
      </c>
      <c r="B1944">
        <v>68</v>
      </c>
      <c r="D1944">
        <v>189472</v>
      </c>
      <c r="E1944" t="s">
        <v>36</v>
      </c>
      <c r="F1944" t="s">
        <v>4736</v>
      </c>
      <c r="G1944" s="1">
        <v>45030</v>
      </c>
    </row>
    <row r="1945" spans="1:7">
      <c r="A1945" t="s">
        <v>4737</v>
      </c>
      <c r="B1945">
        <v>57</v>
      </c>
      <c r="C1945" t="s">
        <v>4738</v>
      </c>
      <c r="D1945">
        <v>104123</v>
      </c>
      <c r="E1945" t="s">
        <v>12</v>
      </c>
      <c r="F1945">
        <v>2754947472</v>
      </c>
      <c r="G1945" s="1">
        <v>44982</v>
      </c>
    </row>
    <row r="1946" spans="1:7">
      <c r="A1946" t="s">
        <v>3776</v>
      </c>
      <c r="B1946">
        <v>31</v>
      </c>
      <c r="C1946" t="s">
        <v>3777</v>
      </c>
      <c r="D1946">
        <v>192462</v>
      </c>
      <c r="E1946" t="s">
        <v>9</v>
      </c>
      <c r="F1946">
        <f>1-843-436-3903</f>
        <v>-5181</v>
      </c>
      <c r="G1946" s="1">
        <v>45248</v>
      </c>
    </row>
    <row r="1947" spans="1:7">
      <c r="A1947" t="s">
        <v>4739</v>
      </c>
      <c r="B1947">
        <v>48</v>
      </c>
      <c r="C1947" t="s">
        <v>4740</v>
      </c>
      <c r="D1947">
        <v>130546</v>
      </c>
      <c r="E1947" t="s">
        <v>9</v>
      </c>
      <c r="F1947">
        <f>1-153-401-7249</f>
        <v>-7802</v>
      </c>
      <c r="G1947" s="1">
        <v>44993</v>
      </c>
    </row>
    <row r="1948" spans="1:7">
      <c r="A1948" t="s">
        <v>4741</v>
      </c>
      <c r="B1948">
        <v>35</v>
      </c>
      <c r="C1948" t="s">
        <v>4742</v>
      </c>
      <c r="D1948">
        <v>108518</v>
      </c>
      <c r="E1948" t="s">
        <v>27</v>
      </c>
      <c r="F1948" t="s">
        <v>4743</v>
      </c>
      <c r="G1948" s="1">
        <v>45282</v>
      </c>
    </row>
    <row r="1949" spans="1:7">
      <c r="A1949" t="s">
        <v>1403</v>
      </c>
      <c r="B1949">
        <v>61</v>
      </c>
      <c r="C1949" t="s">
        <v>299</v>
      </c>
      <c r="E1949" t="s">
        <v>27</v>
      </c>
      <c r="F1949" t="s">
        <v>4744</v>
      </c>
      <c r="G1949" s="1">
        <v>45003</v>
      </c>
    </row>
    <row r="1950" spans="1:7">
      <c r="A1950" t="s">
        <v>4745</v>
      </c>
      <c r="B1950">
        <v>-10</v>
      </c>
      <c r="C1950" t="s">
        <v>4746</v>
      </c>
      <c r="D1950">
        <v>76289</v>
      </c>
      <c r="E1950" t="s">
        <v>12</v>
      </c>
      <c r="F1950">
        <v>4658585732</v>
      </c>
      <c r="G1950" s="1">
        <v>44928</v>
      </c>
    </row>
    <row r="1951" spans="1:7">
      <c r="A1951" t="s">
        <v>4747</v>
      </c>
      <c r="B1951">
        <v>59</v>
      </c>
      <c r="C1951" t="s">
        <v>4748</v>
      </c>
      <c r="D1951">
        <v>159744</v>
      </c>
      <c r="E1951" t="s">
        <v>9</v>
      </c>
      <c r="F1951">
        <v>5045892188</v>
      </c>
      <c r="G1951" s="1">
        <v>44982</v>
      </c>
    </row>
    <row r="1952" spans="1:7">
      <c r="A1952" t="s">
        <v>4749</v>
      </c>
      <c r="B1952">
        <v>68</v>
      </c>
      <c r="D1952">
        <v>65903</v>
      </c>
      <c r="E1952" t="s">
        <v>36</v>
      </c>
      <c r="F1952" t="s">
        <v>4750</v>
      </c>
      <c r="G1952" s="1">
        <v>45014</v>
      </c>
    </row>
    <row r="1953" spans="1:7">
      <c r="A1953" t="s">
        <v>4751</v>
      </c>
      <c r="B1953">
        <v>33</v>
      </c>
      <c r="C1953" t="s">
        <v>4752</v>
      </c>
      <c r="D1953">
        <v>78785</v>
      </c>
      <c r="E1953" t="s">
        <v>9</v>
      </c>
      <c r="F1953" t="s">
        <v>4753</v>
      </c>
      <c r="G1953" s="1">
        <v>44949</v>
      </c>
    </row>
    <row r="1954" spans="1:7">
      <c r="A1954" t="s">
        <v>4754</v>
      </c>
      <c r="B1954">
        <v>45</v>
      </c>
      <c r="C1954" t="s">
        <v>4755</v>
      </c>
      <c r="D1954">
        <v>-5000</v>
      </c>
      <c r="E1954" t="s">
        <v>12</v>
      </c>
      <c r="F1954">
        <v>5658351000</v>
      </c>
      <c r="G1954" s="1">
        <v>45074</v>
      </c>
    </row>
    <row r="1955" spans="1:7">
      <c r="A1955" t="s">
        <v>4756</v>
      </c>
      <c r="B1955">
        <v>150</v>
      </c>
      <c r="D1955">
        <v>121218</v>
      </c>
      <c r="E1955" t="s">
        <v>27</v>
      </c>
      <c r="F1955" t="s">
        <v>4757</v>
      </c>
      <c r="G1955" s="1">
        <v>45173</v>
      </c>
    </row>
    <row r="1956" spans="1:7">
      <c r="A1956" t="s">
        <v>4758</v>
      </c>
      <c r="B1956">
        <v>55</v>
      </c>
      <c r="C1956" t="s">
        <v>4759</v>
      </c>
      <c r="D1956">
        <v>179682</v>
      </c>
      <c r="E1956" t="s">
        <v>9</v>
      </c>
      <c r="F1956">
        <v>5436016319</v>
      </c>
      <c r="G1956" t="s">
        <v>422</v>
      </c>
    </row>
    <row r="1957" spans="1:7">
      <c r="A1957" t="s">
        <v>4760</v>
      </c>
      <c r="B1957">
        <v>18</v>
      </c>
      <c r="C1957" t="s">
        <v>4761</v>
      </c>
      <c r="D1957">
        <v>133998</v>
      </c>
      <c r="E1957" t="s">
        <v>27</v>
      </c>
      <c r="F1957" t="s">
        <v>4762</v>
      </c>
      <c r="G1957" s="1">
        <v>45031</v>
      </c>
    </row>
    <row r="1958" spans="1:7">
      <c r="A1958" t="s">
        <v>4763</v>
      </c>
      <c r="B1958">
        <v>56</v>
      </c>
      <c r="C1958" t="s">
        <v>4764</v>
      </c>
      <c r="D1958">
        <v>155844</v>
      </c>
      <c r="E1958" t="s">
        <v>12</v>
      </c>
      <c r="G1958" s="1">
        <v>45108</v>
      </c>
    </row>
    <row r="1959" spans="1:7">
      <c r="A1959" t="s">
        <v>4765</v>
      </c>
      <c r="B1959">
        <v>75</v>
      </c>
      <c r="C1959" t="s">
        <v>4766</v>
      </c>
      <c r="D1959">
        <v>104233</v>
      </c>
      <c r="E1959" t="s">
        <v>12</v>
      </c>
      <c r="F1959">
        <f>1-616-254-8591</f>
        <v>-9460</v>
      </c>
      <c r="G1959" s="1">
        <v>45054</v>
      </c>
    </row>
    <row r="1960" spans="1:7">
      <c r="A1960" t="s">
        <v>4767</v>
      </c>
      <c r="B1960">
        <v>77</v>
      </c>
      <c r="C1960" t="s">
        <v>4768</v>
      </c>
      <c r="D1960">
        <v>124774</v>
      </c>
      <c r="E1960" t="s">
        <v>9</v>
      </c>
      <c r="F1960" t="s">
        <v>4769</v>
      </c>
      <c r="G1960" s="1">
        <v>44965</v>
      </c>
    </row>
    <row r="1961" spans="1:7">
      <c r="A1961" t="s">
        <v>4770</v>
      </c>
      <c r="B1961">
        <v>29</v>
      </c>
      <c r="C1961" t="s">
        <v>445</v>
      </c>
      <c r="E1961" t="s">
        <v>27</v>
      </c>
      <c r="F1961">
        <v>7353638232</v>
      </c>
      <c r="G1961" s="1">
        <v>45206</v>
      </c>
    </row>
    <row r="1962" spans="1:7">
      <c r="A1962" t="s">
        <v>4771</v>
      </c>
      <c r="B1962">
        <v>66</v>
      </c>
      <c r="C1962" t="s">
        <v>4772</v>
      </c>
      <c r="D1962">
        <v>100843</v>
      </c>
      <c r="E1962" t="s">
        <v>36</v>
      </c>
      <c r="F1962">
        <f>1-478-221-7694</f>
        <v>-8392</v>
      </c>
      <c r="G1962" s="1">
        <v>44944</v>
      </c>
    </row>
    <row r="1963" spans="1:7">
      <c r="A1963" t="s">
        <v>4773</v>
      </c>
      <c r="B1963">
        <v>32</v>
      </c>
      <c r="C1963" t="s">
        <v>4774</v>
      </c>
      <c r="D1963">
        <v>129555</v>
      </c>
      <c r="E1963" t="s">
        <v>12</v>
      </c>
      <c r="F1963" t="s">
        <v>4775</v>
      </c>
      <c r="G1963" s="1">
        <v>45163</v>
      </c>
    </row>
    <row r="1964" spans="1:7">
      <c r="A1964" t="s">
        <v>4776</v>
      </c>
      <c r="B1964">
        <v>40</v>
      </c>
      <c r="C1964" t="s">
        <v>17</v>
      </c>
      <c r="D1964">
        <v>-50000</v>
      </c>
      <c r="E1964" t="s">
        <v>36</v>
      </c>
      <c r="F1964" t="s">
        <v>4777</v>
      </c>
      <c r="G1964" s="1">
        <v>44962</v>
      </c>
    </row>
    <row r="1965" spans="1:7">
      <c r="A1965" t="s">
        <v>4778</v>
      </c>
      <c r="B1965">
        <v>68</v>
      </c>
      <c r="C1965" t="s">
        <v>4779</v>
      </c>
      <c r="D1965">
        <v>149815</v>
      </c>
      <c r="E1965" t="s">
        <v>9</v>
      </c>
      <c r="F1965" t="s">
        <v>4780</v>
      </c>
      <c r="G1965" s="1">
        <v>45243</v>
      </c>
    </row>
    <row r="1966" spans="1:7">
      <c r="A1966" t="s">
        <v>4781</v>
      </c>
      <c r="B1966">
        <v>31</v>
      </c>
      <c r="C1966" t="s">
        <v>4782</v>
      </c>
      <c r="D1966">
        <v>44799</v>
      </c>
      <c r="E1966" t="s">
        <v>36</v>
      </c>
      <c r="F1966" t="s">
        <v>4783</v>
      </c>
      <c r="G1966" s="1">
        <v>45083</v>
      </c>
    </row>
    <row r="1967" spans="1:7">
      <c r="A1967" t="s">
        <v>4784</v>
      </c>
      <c r="B1967">
        <v>300</v>
      </c>
      <c r="C1967" t="s">
        <v>4785</v>
      </c>
      <c r="D1967">
        <v>38640</v>
      </c>
      <c r="E1967" t="s">
        <v>36</v>
      </c>
      <c r="F1967" t="s">
        <v>4786</v>
      </c>
      <c r="G1967" t="s">
        <v>371</v>
      </c>
    </row>
    <row r="1968" spans="1:7">
      <c r="A1968" t="s">
        <v>4787</v>
      </c>
      <c r="B1968">
        <v>35</v>
      </c>
      <c r="C1968" t="s">
        <v>4788</v>
      </c>
      <c r="D1968">
        <v>35668</v>
      </c>
      <c r="E1968" t="s">
        <v>36</v>
      </c>
      <c r="F1968" t="s">
        <v>4789</v>
      </c>
      <c r="G1968" s="1">
        <v>45273</v>
      </c>
    </row>
    <row r="1969" spans="1:7">
      <c r="A1969" t="s">
        <v>4790</v>
      </c>
      <c r="B1969">
        <v>73</v>
      </c>
      <c r="C1969" t="s">
        <v>115</v>
      </c>
      <c r="D1969">
        <v>188114</v>
      </c>
      <c r="E1969" t="s">
        <v>36</v>
      </c>
      <c r="F1969" t="s">
        <v>4791</v>
      </c>
      <c r="G1969" s="1">
        <v>44945</v>
      </c>
    </row>
    <row r="1970" spans="1:7">
      <c r="A1970" t="s">
        <v>4792</v>
      </c>
      <c r="B1970">
        <v>59</v>
      </c>
      <c r="C1970" t="s">
        <v>4793</v>
      </c>
      <c r="D1970">
        <v>57364</v>
      </c>
      <c r="E1970" t="s">
        <v>12</v>
      </c>
      <c r="F1970">
        <f>1-108-726-9362</f>
        <v>-10195</v>
      </c>
      <c r="G1970" s="1">
        <v>44948</v>
      </c>
    </row>
    <row r="1971" spans="1:7">
      <c r="A1971" t="s">
        <v>4794</v>
      </c>
      <c r="B1971">
        <v>65</v>
      </c>
      <c r="C1971" t="s">
        <v>4795</v>
      </c>
      <c r="D1971">
        <v>134186</v>
      </c>
      <c r="E1971" t="s">
        <v>36</v>
      </c>
      <c r="F1971" t="s">
        <v>4796</v>
      </c>
      <c r="G1971" s="1">
        <v>45280</v>
      </c>
    </row>
    <row r="1972" spans="1:7">
      <c r="A1972" t="s">
        <v>4797</v>
      </c>
      <c r="B1972">
        <v>65</v>
      </c>
      <c r="C1972" t="s">
        <v>4798</v>
      </c>
      <c r="D1972">
        <v>57867</v>
      </c>
      <c r="E1972" t="s">
        <v>9</v>
      </c>
      <c r="F1972">
        <v>1103207870</v>
      </c>
      <c r="G1972" s="1">
        <v>45099</v>
      </c>
    </row>
    <row r="1973" spans="1:7">
      <c r="A1973" t="s">
        <v>4799</v>
      </c>
      <c r="B1973">
        <v>52</v>
      </c>
      <c r="C1973" t="s">
        <v>4800</v>
      </c>
      <c r="D1973">
        <v>102255</v>
      </c>
      <c r="E1973" t="s">
        <v>36</v>
      </c>
      <c r="F1973" t="s">
        <v>4801</v>
      </c>
      <c r="G1973" s="1">
        <v>45241</v>
      </c>
    </row>
    <row r="1974" spans="1:7">
      <c r="A1974" t="s">
        <v>4802</v>
      </c>
      <c r="B1974">
        <v>0</v>
      </c>
      <c r="C1974" t="s">
        <v>4803</v>
      </c>
      <c r="D1974">
        <v>148680</v>
      </c>
      <c r="E1974" t="s">
        <v>27</v>
      </c>
      <c r="F1974" t="s">
        <v>4804</v>
      </c>
      <c r="G1974" s="1">
        <v>44963</v>
      </c>
    </row>
    <row r="1975" spans="1:7">
      <c r="A1975" t="s">
        <v>4805</v>
      </c>
      <c r="B1975">
        <v>69</v>
      </c>
      <c r="C1975" t="s">
        <v>4806</v>
      </c>
      <c r="D1975">
        <v>143776</v>
      </c>
      <c r="E1975" t="s">
        <v>12</v>
      </c>
      <c r="F1975">
        <v>6761334796</v>
      </c>
      <c r="G1975" s="1">
        <v>45111</v>
      </c>
    </row>
    <row r="1976" spans="1:7">
      <c r="A1976" t="s">
        <v>4807</v>
      </c>
      <c r="B1976">
        <v>29</v>
      </c>
      <c r="C1976" t="s">
        <v>4808</v>
      </c>
      <c r="D1976">
        <v>39196</v>
      </c>
      <c r="E1976" t="s">
        <v>12</v>
      </c>
      <c r="F1976">
        <f>1-396-244-4852</f>
        <v>-5491</v>
      </c>
      <c r="G1976" s="1">
        <v>45178</v>
      </c>
    </row>
    <row r="1977" spans="1:7">
      <c r="A1977" t="s">
        <v>4809</v>
      </c>
      <c r="B1977">
        <v>77</v>
      </c>
      <c r="C1977" t="s">
        <v>4810</v>
      </c>
      <c r="D1977">
        <v>190073</v>
      </c>
      <c r="E1977" t="s">
        <v>36</v>
      </c>
      <c r="F1977" t="s">
        <v>4811</v>
      </c>
      <c r="G1977" s="1">
        <v>45038</v>
      </c>
    </row>
    <row r="1978" spans="1:7">
      <c r="A1978" t="s">
        <v>4812</v>
      </c>
      <c r="B1978">
        <v>21</v>
      </c>
      <c r="C1978" t="s">
        <v>4813</v>
      </c>
      <c r="D1978">
        <v>140317</v>
      </c>
      <c r="E1978" t="s">
        <v>12</v>
      </c>
      <c r="G1978" s="1">
        <v>45169</v>
      </c>
    </row>
    <row r="1979" spans="1:7">
      <c r="A1979" t="s">
        <v>508</v>
      </c>
      <c r="B1979">
        <v>38</v>
      </c>
      <c r="C1979" t="s">
        <v>4814</v>
      </c>
      <c r="D1979">
        <v>199330</v>
      </c>
      <c r="E1979" t="s">
        <v>527</v>
      </c>
      <c r="F1979" t="s">
        <v>4815</v>
      </c>
      <c r="G1979" s="1">
        <v>45280</v>
      </c>
    </row>
    <row r="1980" spans="1:7">
      <c r="A1980" t="s">
        <v>4816</v>
      </c>
      <c r="B1980">
        <v>19</v>
      </c>
      <c r="C1980" t="s">
        <v>4817</v>
      </c>
      <c r="D1980">
        <v>109436</v>
      </c>
      <c r="E1980" t="s">
        <v>27</v>
      </c>
      <c r="F1980" t="s">
        <v>4818</v>
      </c>
      <c r="G1980" s="1">
        <v>45044</v>
      </c>
    </row>
    <row r="1981" spans="1:7">
      <c r="A1981" t="s">
        <v>4819</v>
      </c>
      <c r="B1981">
        <v>31</v>
      </c>
      <c r="C1981" t="s">
        <v>4820</v>
      </c>
      <c r="D1981">
        <v>185666</v>
      </c>
      <c r="E1981" t="s">
        <v>358</v>
      </c>
      <c r="F1981">
        <f>1-481-899-8758</f>
        <v>-10137</v>
      </c>
      <c r="G1981" s="1">
        <v>45148</v>
      </c>
    </row>
    <row r="1982" spans="1:7">
      <c r="A1982" t="s">
        <v>4821</v>
      </c>
      <c r="B1982">
        <v>36</v>
      </c>
      <c r="C1982" t="s">
        <v>4822</v>
      </c>
      <c r="D1982">
        <v>175281</v>
      </c>
      <c r="E1982" t="s">
        <v>12</v>
      </c>
      <c r="F1982">
        <f>1-835-145-4845</f>
        <v>-5824</v>
      </c>
      <c r="G1982" s="1">
        <v>44941</v>
      </c>
    </row>
    <row r="1983" spans="1:7">
      <c r="A1983" t="s">
        <v>4823</v>
      </c>
      <c r="B1983">
        <v>77</v>
      </c>
      <c r="C1983" t="s">
        <v>4824</v>
      </c>
      <c r="D1983">
        <v>177580</v>
      </c>
      <c r="E1983" t="s">
        <v>12</v>
      </c>
      <c r="F1983" t="s">
        <v>4825</v>
      </c>
      <c r="G1983" t="s">
        <v>715</v>
      </c>
    </row>
    <row r="1984" spans="1:7">
      <c r="A1984" t="s">
        <v>4826</v>
      </c>
      <c r="B1984">
        <v>-999</v>
      </c>
      <c r="C1984" t="s">
        <v>531</v>
      </c>
      <c r="D1984">
        <v>-1</v>
      </c>
      <c r="E1984" t="s">
        <v>532</v>
      </c>
      <c r="G1984" t="s">
        <v>493</v>
      </c>
    </row>
    <row r="1985" spans="1:7">
      <c r="A1985" t="s">
        <v>4827</v>
      </c>
      <c r="B1985">
        <v>32</v>
      </c>
      <c r="C1985" t="s">
        <v>4828</v>
      </c>
      <c r="D1985">
        <v>144826</v>
      </c>
      <c r="E1985" t="s">
        <v>12</v>
      </c>
      <c r="F1985" t="s">
        <v>4829</v>
      </c>
      <c r="G1985" s="1">
        <v>45182</v>
      </c>
    </row>
    <row r="1986" spans="1:7">
      <c r="A1986" t="s">
        <v>4830</v>
      </c>
      <c r="B1986">
        <v>22</v>
      </c>
      <c r="C1986" t="s">
        <v>445</v>
      </c>
      <c r="D1986">
        <v>169677</v>
      </c>
      <c r="E1986" t="s">
        <v>27</v>
      </c>
      <c r="F1986">
        <f>1-221-195-5101</f>
        <v>-5516</v>
      </c>
      <c r="G1986" s="1">
        <v>45290</v>
      </c>
    </row>
    <row r="1987" spans="1:7">
      <c r="A1987" t="s">
        <v>4831</v>
      </c>
      <c r="B1987">
        <v>64</v>
      </c>
      <c r="C1987" t="s">
        <v>4832</v>
      </c>
      <c r="D1987">
        <v>-10000</v>
      </c>
      <c r="E1987" t="s">
        <v>27</v>
      </c>
      <c r="F1987">
        <f>1-551-424-5410</f>
        <v>-6384</v>
      </c>
      <c r="G1987" s="1">
        <v>44934</v>
      </c>
    </row>
    <row r="1988" spans="1:7">
      <c r="A1988" t="s">
        <v>4833</v>
      </c>
      <c r="B1988">
        <v>73</v>
      </c>
      <c r="C1988" t="s">
        <v>4834</v>
      </c>
      <c r="D1988">
        <v>105324</v>
      </c>
      <c r="E1988" t="s">
        <v>27</v>
      </c>
      <c r="F1988" t="s">
        <v>4835</v>
      </c>
      <c r="G1988" s="1">
        <v>45100</v>
      </c>
    </row>
    <row r="1989" spans="1:7">
      <c r="A1989" t="s">
        <v>4836</v>
      </c>
      <c r="B1989">
        <v>48</v>
      </c>
      <c r="C1989" t="s">
        <v>4837</v>
      </c>
      <c r="D1989">
        <v>185199</v>
      </c>
      <c r="E1989" t="s">
        <v>27</v>
      </c>
      <c r="F1989" t="s">
        <v>4838</v>
      </c>
      <c r="G1989" s="1">
        <v>44974</v>
      </c>
    </row>
    <row r="1990" spans="1:7">
      <c r="A1990" t="s">
        <v>4839</v>
      </c>
      <c r="B1990">
        <v>28</v>
      </c>
      <c r="C1990" t="s">
        <v>4840</v>
      </c>
      <c r="D1990">
        <v>130400</v>
      </c>
      <c r="E1990" t="s">
        <v>27</v>
      </c>
      <c r="G1990" s="1">
        <v>45269</v>
      </c>
    </row>
    <row r="1991" spans="1:7">
      <c r="A1991" t="s">
        <v>4841</v>
      </c>
      <c r="B1991">
        <v>36</v>
      </c>
      <c r="C1991" t="s">
        <v>4842</v>
      </c>
      <c r="E1991" t="s">
        <v>9</v>
      </c>
      <c r="F1991" t="s">
        <v>4843</v>
      </c>
      <c r="G1991" s="1">
        <v>45218</v>
      </c>
    </row>
    <row r="1992" spans="1:7">
      <c r="B1992">
        <v>52</v>
      </c>
      <c r="D1992">
        <v>0</v>
      </c>
      <c r="E1992" t="s">
        <v>9</v>
      </c>
      <c r="F1992">
        <v>3331746291</v>
      </c>
      <c r="G1992" s="1">
        <v>44982</v>
      </c>
    </row>
    <row r="1993" spans="1:7">
      <c r="A1993" t="s">
        <v>4844</v>
      </c>
      <c r="B1993">
        <v>28</v>
      </c>
      <c r="C1993" t="s">
        <v>4845</v>
      </c>
      <c r="E1993" t="s">
        <v>12</v>
      </c>
      <c r="F1993" t="s">
        <v>4846</v>
      </c>
      <c r="G1993" s="1">
        <v>45102</v>
      </c>
    </row>
    <row r="1994" spans="1:7">
      <c r="A1994" t="s">
        <v>4847</v>
      </c>
      <c r="B1994">
        <v>60</v>
      </c>
      <c r="C1994" t="s">
        <v>4848</v>
      </c>
      <c r="D1994">
        <v>166093</v>
      </c>
      <c r="E1994" t="s">
        <v>9</v>
      </c>
      <c r="F1994">
        <v>4964528773</v>
      </c>
      <c r="G1994" s="1">
        <v>45214</v>
      </c>
    </row>
    <row r="1995" spans="1:7">
      <c r="A1995" t="s">
        <v>4849</v>
      </c>
      <c r="C1995" t="s">
        <v>4850</v>
      </c>
      <c r="D1995">
        <v>69451</v>
      </c>
      <c r="E1995" t="s">
        <v>12</v>
      </c>
      <c r="F1995" t="s">
        <v>4851</v>
      </c>
      <c r="G1995" s="1">
        <v>45197</v>
      </c>
    </row>
    <row r="1996" spans="1:7">
      <c r="A1996" t="s">
        <v>4852</v>
      </c>
      <c r="B1996">
        <v>27</v>
      </c>
      <c r="C1996" t="s">
        <v>445</v>
      </c>
      <c r="D1996">
        <v>-1000</v>
      </c>
      <c r="E1996" t="s">
        <v>12</v>
      </c>
      <c r="F1996">
        <v>5696560131</v>
      </c>
      <c r="G1996" s="1">
        <v>44943</v>
      </c>
    </row>
    <row r="1997" spans="1:7">
      <c r="A1997" t="s">
        <v>4853</v>
      </c>
      <c r="B1997">
        <v>43</v>
      </c>
      <c r="C1997" t="s">
        <v>4854</v>
      </c>
      <c r="D1997">
        <v>0</v>
      </c>
      <c r="E1997" t="s">
        <v>36</v>
      </c>
      <c r="F1997">
        <f>1-980-364-7595</f>
        <v>-8938</v>
      </c>
      <c r="G1997" s="1">
        <v>45183</v>
      </c>
    </row>
    <row r="1998" spans="1:7">
      <c r="A1998" t="s">
        <v>4855</v>
      </c>
      <c r="B1998">
        <v>64</v>
      </c>
      <c r="C1998" t="s">
        <v>4856</v>
      </c>
      <c r="D1998">
        <v>107789</v>
      </c>
      <c r="E1998" t="s">
        <v>36</v>
      </c>
      <c r="F1998" t="s">
        <v>4857</v>
      </c>
      <c r="G1998" s="1">
        <v>45022</v>
      </c>
    </row>
    <row r="1999" spans="1:7">
      <c r="A1999" t="s">
        <v>4858</v>
      </c>
      <c r="B1999">
        <v>43</v>
      </c>
      <c r="C1999" t="s">
        <v>170</v>
      </c>
      <c r="D1999">
        <v>51067</v>
      </c>
      <c r="E1999" t="s">
        <v>27</v>
      </c>
      <c r="F1999" t="s">
        <v>4859</v>
      </c>
      <c r="G1999" s="1">
        <v>45055</v>
      </c>
    </row>
    <row r="2000" spans="1:7">
      <c r="A2000" t="s">
        <v>4860</v>
      </c>
      <c r="B2000">
        <v>77</v>
      </c>
      <c r="C2000" t="s">
        <v>4861</v>
      </c>
      <c r="D2000">
        <v>96852</v>
      </c>
      <c r="E2000" t="s">
        <v>36</v>
      </c>
      <c r="F2000" t="s">
        <v>4862</v>
      </c>
      <c r="G2000" s="1">
        <v>45256</v>
      </c>
    </row>
    <row r="2001" spans="1:7">
      <c r="A2001" t="s">
        <v>4863</v>
      </c>
      <c r="B2001">
        <v>55</v>
      </c>
      <c r="C2001" t="s">
        <v>4864</v>
      </c>
      <c r="D2001">
        <v>100453</v>
      </c>
      <c r="E2001" t="s">
        <v>9</v>
      </c>
      <c r="F2001" t="s">
        <v>4865</v>
      </c>
      <c r="G2001" s="1">
        <v>45103</v>
      </c>
    </row>
    <row r="2002" spans="1:7">
      <c r="A2002" t="s">
        <v>4866</v>
      </c>
      <c r="B2002">
        <v>61</v>
      </c>
      <c r="D2002">
        <v>173788</v>
      </c>
      <c r="E2002" t="s">
        <v>36</v>
      </c>
      <c r="F2002" t="s">
        <v>4867</v>
      </c>
      <c r="G2002" s="1">
        <v>45112</v>
      </c>
    </row>
    <row r="2003" spans="1:7">
      <c r="A2003" t="s">
        <v>4868</v>
      </c>
      <c r="B2003">
        <v>66</v>
      </c>
      <c r="C2003" t="s">
        <v>4869</v>
      </c>
      <c r="D2003">
        <v>144176</v>
      </c>
      <c r="E2003" t="s">
        <v>9</v>
      </c>
      <c r="F2003">
        <v>9945098335</v>
      </c>
      <c r="G2003" s="1">
        <v>45207</v>
      </c>
    </row>
    <row r="2004" spans="1:7">
      <c r="A2004" t="s">
        <v>4870</v>
      </c>
      <c r="B2004">
        <v>48</v>
      </c>
      <c r="C2004" t="s">
        <v>4871</v>
      </c>
      <c r="D2004">
        <v>92287</v>
      </c>
      <c r="E2004" t="s">
        <v>27</v>
      </c>
      <c r="F2004">
        <f>1-264-246-9964</f>
        <v>-10473</v>
      </c>
      <c r="G2004" s="1">
        <v>45215</v>
      </c>
    </row>
    <row r="2005" spans="1:7">
      <c r="A2005" t="s">
        <v>4872</v>
      </c>
      <c r="B2005">
        <v>48</v>
      </c>
      <c r="E2005" t="s">
        <v>9</v>
      </c>
      <c r="F2005">
        <v>1268211135</v>
      </c>
      <c r="G2005" s="1">
        <v>45265</v>
      </c>
    </row>
    <row r="2006" spans="1:7">
      <c r="A2006" t="s">
        <v>4873</v>
      </c>
      <c r="B2006">
        <v>63</v>
      </c>
      <c r="C2006" t="s">
        <v>4874</v>
      </c>
      <c r="D2006">
        <v>0</v>
      </c>
      <c r="E2006" t="s">
        <v>36</v>
      </c>
      <c r="G2006" s="1">
        <v>45199</v>
      </c>
    </row>
    <row r="2007" spans="1:7">
      <c r="A2007" t="s">
        <v>4875</v>
      </c>
      <c r="B2007">
        <v>0</v>
      </c>
      <c r="C2007" t="s">
        <v>4876</v>
      </c>
      <c r="D2007">
        <v>66609</v>
      </c>
      <c r="E2007" t="s">
        <v>9</v>
      </c>
      <c r="F2007" t="s">
        <v>4877</v>
      </c>
      <c r="G2007" s="1">
        <v>45083</v>
      </c>
    </row>
    <row r="2008" spans="1:7">
      <c r="A2008" t="s">
        <v>4878</v>
      </c>
      <c r="B2008">
        <v>18</v>
      </c>
      <c r="D2008">
        <v>57606</v>
      </c>
      <c r="E2008" t="s">
        <v>36</v>
      </c>
      <c r="F2008" t="s">
        <v>4879</v>
      </c>
      <c r="G2008" s="1">
        <v>45245</v>
      </c>
    </row>
    <row r="2009" spans="1:7">
      <c r="A2009" t="s">
        <v>4880</v>
      </c>
      <c r="B2009">
        <v>46</v>
      </c>
      <c r="C2009" t="s">
        <v>4881</v>
      </c>
      <c r="D2009">
        <v>99468</v>
      </c>
      <c r="F2009" t="s">
        <v>4882</v>
      </c>
      <c r="G2009" s="1">
        <v>45061</v>
      </c>
    </row>
    <row r="2010" spans="1:7">
      <c r="A2010" t="s">
        <v>4883</v>
      </c>
      <c r="C2010" t="s">
        <v>4884</v>
      </c>
      <c r="D2010">
        <v>160431</v>
      </c>
      <c r="E2010" t="s">
        <v>36</v>
      </c>
      <c r="F2010" t="s">
        <v>4885</v>
      </c>
      <c r="G2010" s="1">
        <v>45250</v>
      </c>
    </row>
    <row r="2011" spans="1:7">
      <c r="A2011" t="s">
        <v>4886</v>
      </c>
      <c r="B2011">
        <v>30</v>
      </c>
      <c r="C2011" t="s">
        <v>4887</v>
      </c>
      <c r="D2011">
        <v>135514</v>
      </c>
      <c r="E2011" t="s">
        <v>12</v>
      </c>
      <c r="F2011" t="s">
        <v>4888</v>
      </c>
      <c r="G2011" s="1">
        <v>44960</v>
      </c>
    </row>
    <row r="2012" spans="1:7">
      <c r="A2012" t="s">
        <v>4889</v>
      </c>
      <c r="B2012">
        <v>56</v>
      </c>
      <c r="C2012" t="s">
        <v>4890</v>
      </c>
      <c r="D2012">
        <v>172690</v>
      </c>
      <c r="E2012" t="s">
        <v>27</v>
      </c>
      <c r="F2012" t="s">
        <v>4891</v>
      </c>
      <c r="G2012" s="1">
        <v>45188</v>
      </c>
    </row>
    <row r="2013" spans="1:7">
      <c r="A2013" t="s">
        <v>4892</v>
      </c>
      <c r="B2013">
        <v>38</v>
      </c>
      <c r="C2013" t="s">
        <v>4893</v>
      </c>
      <c r="D2013">
        <v>52692</v>
      </c>
      <c r="E2013" t="s">
        <v>27</v>
      </c>
      <c r="F2013" t="s">
        <v>4894</v>
      </c>
      <c r="G2013" s="1">
        <v>45010</v>
      </c>
    </row>
    <row r="2014" spans="1:7">
      <c r="A2014" t="s">
        <v>4895</v>
      </c>
      <c r="B2014">
        <v>63</v>
      </c>
      <c r="C2014" t="s">
        <v>4896</v>
      </c>
      <c r="D2014">
        <v>100411</v>
      </c>
      <c r="E2014" t="s">
        <v>27</v>
      </c>
      <c r="F2014" t="s">
        <v>4897</v>
      </c>
      <c r="G2014" s="1">
        <v>45017</v>
      </c>
    </row>
    <row r="2015" spans="1:7">
      <c r="A2015" t="s">
        <v>4898</v>
      </c>
      <c r="B2015">
        <v>50</v>
      </c>
      <c r="C2015" t="s">
        <v>169</v>
      </c>
      <c r="E2015" t="s">
        <v>36</v>
      </c>
      <c r="G2015" s="1">
        <v>45209</v>
      </c>
    </row>
    <row r="2016" spans="1:7">
      <c r="A2016" t="s">
        <v>4899</v>
      </c>
      <c r="B2016">
        <v>38</v>
      </c>
      <c r="C2016" t="s">
        <v>4900</v>
      </c>
      <c r="D2016">
        <v>136300</v>
      </c>
      <c r="F2016" t="s">
        <v>4901</v>
      </c>
      <c r="G2016" s="1">
        <v>45004</v>
      </c>
    </row>
    <row r="2017" spans="1:7">
      <c r="A2017" t="s">
        <v>4902</v>
      </c>
      <c r="B2017">
        <v>70</v>
      </c>
      <c r="C2017" t="s">
        <v>4903</v>
      </c>
      <c r="D2017">
        <v>158467</v>
      </c>
      <c r="E2017" t="s">
        <v>27</v>
      </c>
      <c r="F2017" t="s">
        <v>4904</v>
      </c>
      <c r="G2017" s="1">
        <v>45210</v>
      </c>
    </row>
    <row r="2018" spans="1:7">
      <c r="A2018" t="s">
        <v>4905</v>
      </c>
      <c r="B2018">
        <v>-10</v>
      </c>
      <c r="C2018" t="s">
        <v>4906</v>
      </c>
      <c r="D2018">
        <v>94824</v>
      </c>
      <c r="E2018" t="s">
        <v>36</v>
      </c>
      <c r="F2018" t="s">
        <v>4907</v>
      </c>
      <c r="G2018" s="1">
        <v>44960</v>
      </c>
    </row>
    <row r="2019" spans="1:7">
      <c r="A2019" t="s">
        <v>3530</v>
      </c>
      <c r="B2019">
        <v>47</v>
      </c>
      <c r="C2019" t="s">
        <v>4908</v>
      </c>
      <c r="D2019">
        <v>37016</v>
      </c>
      <c r="E2019" t="s">
        <v>18</v>
      </c>
      <c r="F2019">
        <v>8979273911</v>
      </c>
      <c r="G2019" s="1">
        <v>45139</v>
      </c>
    </row>
    <row r="2020" spans="1:7">
      <c r="A2020" t="s">
        <v>4909</v>
      </c>
      <c r="C2020" t="s">
        <v>4910</v>
      </c>
      <c r="D2020">
        <v>85276</v>
      </c>
      <c r="E2020" t="s">
        <v>9</v>
      </c>
      <c r="F2020">
        <v>9585752886</v>
      </c>
      <c r="G2020" s="1">
        <v>45254</v>
      </c>
    </row>
    <row r="2021" spans="1:7">
      <c r="A2021" t="s">
        <v>4911</v>
      </c>
      <c r="B2021">
        <v>26</v>
      </c>
      <c r="C2021" t="s">
        <v>169</v>
      </c>
      <c r="D2021">
        <v>52337</v>
      </c>
      <c r="E2021" t="s">
        <v>36</v>
      </c>
      <c r="F2021" t="s">
        <v>4912</v>
      </c>
      <c r="G2021" s="1">
        <v>45197</v>
      </c>
    </row>
    <row r="2022" spans="1:7">
      <c r="A2022" t="s">
        <v>4913</v>
      </c>
      <c r="B2022">
        <v>26</v>
      </c>
      <c r="C2022" t="s">
        <v>4914</v>
      </c>
      <c r="D2022">
        <v>43569</v>
      </c>
      <c r="E2022" t="s">
        <v>9</v>
      </c>
      <c r="F2022" t="s">
        <v>4915</v>
      </c>
      <c r="G2022" s="1">
        <v>45096</v>
      </c>
    </row>
    <row r="2023" spans="1:7">
      <c r="A2023" t="s">
        <v>4916</v>
      </c>
      <c r="B2023">
        <v>67</v>
      </c>
      <c r="C2023" t="s">
        <v>4917</v>
      </c>
      <c r="D2023">
        <v>75875</v>
      </c>
      <c r="E2023" t="s">
        <v>9</v>
      </c>
      <c r="F2023" t="s">
        <v>4918</v>
      </c>
      <c r="G2023" s="1">
        <v>45226</v>
      </c>
    </row>
    <row r="2024" spans="1:7">
      <c r="A2024" t="s">
        <v>449</v>
      </c>
      <c r="B2024">
        <v>52</v>
      </c>
      <c r="C2024" t="s">
        <v>4919</v>
      </c>
      <c r="D2024">
        <v>82870</v>
      </c>
      <c r="E2024" t="s">
        <v>12</v>
      </c>
      <c r="F2024" t="s">
        <v>4920</v>
      </c>
      <c r="G2024" s="1">
        <v>45016</v>
      </c>
    </row>
    <row r="2025" spans="1:7">
      <c r="A2025" t="s">
        <v>4921</v>
      </c>
      <c r="B2025">
        <v>23</v>
      </c>
      <c r="C2025" t="s">
        <v>4922</v>
      </c>
      <c r="D2025">
        <v>105504</v>
      </c>
      <c r="E2025" t="s">
        <v>27</v>
      </c>
      <c r="F2025">
        <f>1-123-630-9384</f>
        <v>-10136</v>
      </c>
      <c r="G2025" s="1">
        <v>45165</v>
      </c>
    </row>
    <row r="2026" spans="1:7">
      <c r="A2026" t="s">
        <v>4923</v>
      </c>
      <c r="B2026">
        <v>55</v>
      </c>
      <c r="C2026" t="s">
        <v>169</v>
      </c>
      <c r="D2026">
        <v>160429</v>
      </c>
      <c r="E2026" t="s">
        <v>358</v>
      </c>
      <c r="F2026" t="s">
        <v>4924</v>
      </c>
      <c r="G2026" s="1">
        <v>44948</v>
      </c>
    </row>
    <row r="2027" spans="1:7">
      <c r="A2027" t="s">
        <v>4925</v>
      </c>
      <c r="B2027">
        <v>36</v>
      </c>
      <c r="D2027">
        <v>58482</v>
      </c>
      <c r="E2027" t="s">
        <v>36</v>
      </c>
      <c r="F2027" t="s">
        <v>4926</v>
      </c>
      <c r="G2027" s="1">
        <v>45216</v>
      </c>
    </row>
    <row r="2028" spans="1:7">
      <c r="A2028" t="s">
        <v>4927</v>
      </c>
      <c r="B2028">
        <v>44</v>
      </c>
      <c r="C2028" t="s">
        <v>4928</v>
      </c>
      <c r="D2028">
        <v>137051</v>
      </c>
      <c r="E2028" t="s">
        <v>9</v>
      </c>
      <c r="F2028" t="s">
        <v>4929</v>
      </c>
      <c r="G2028" s="1">
        <v>44958</v>
      </c>
    </row>
    <row r="2029" spans="1:7">
      <c r="A2029" t="s">
        <v>4930</v>
      </c>
      <c r="C2029" t="s">
        <v>518</v>
      </c>
      <c r="D2029">
        <v>65944</v>
      </c>
      <c r="E2029" t="s">
        <v>27</v>
      </c>
      <c r="F2029" t="s">
        <v>4931</v>
      </c>
      <c r="G2029" s="1">
        <v>45201</v>
      </c>
    </row>
    <row r="2030" spans="1:7">
      <c r="A2030" t="s">
        <v>4932</v>
      </c>
      <c r="B2030">
        <v>56</v>
      </c>
      <c r="C2030" t="s">
        <v>4933</v>
      </c>
      <c r="D2030">
        <v>160064</v>
      </c>
      <c r="E2030" t="s">
        <v>9</v>
      </c>
      <c r="F2030" t="s">
        <v>4934</v>
      </c>
      <c r="G2030" s="1">
        <v>45009</v>
      </c>
    </row>
    <row r="2031" spans="1:7">
      <c r="A2031" t="s">
        <v>4935</v>
      </c>
      <c r="B2031">
        <v>74</v>
      </c>
      <c r="D2031">
        <v>44549</v>
      </c>
      <c r="E2031" t="s">
        <v>9</v>
      </c>
      <c r="F2031">
        <f>1-507-567-1646</f>
        <v>-2719</v>
      </c>
      <c r="G2031" s="1">
        <v>45005</v>
      </c>
    </row>
    <row r="2032" spans="1:7">
      <c r="A2032" t="s">
        <v>4936</v>
      </c>
      <c r="B2032">
        <v>46</v>
      </c>
      <c r="C2032" t="s">
        <v>4937</v>
      </c>
      <c r="D2032">
        <v>139349</v>
      </c>
      <c r="E2032" t="s">
        <v>36</v>
      </c>
      <c r="G2032" s="1">
        <v>44927</v>
      </c>
    </row>
    <row r="2033" spans="1:7">
      <c r="A2033" t="s">
        <v>4938</v>
      </c>
      <c r="B2033">
        <v>150</v>
      </c>
      <c r="C2033" t="s">
        <v>4939</v>
      </c>
      <c r="D2033">
        <v>91114</v>
      </c>
      <c r="E2033" t="s">
        <v>36</v>
      </c>
      <c r="F2033" t="s">
        <v>4940</v>
      </c>
      <c r="G2033" s="1">
        <v>45239</v>
      </c>
    </row>
    <row r="2034" spans="1:7">
      <c r="A2034" t="s">
        <v>4941</v>
      </c>
      <c r="B2034">
        <v>50</v>
      </c>
      <c r="C2034" t="s">
        <v>4942</v>
      </c>
      <c r="D2034">
        <v>43689</v>
      </c>
      <c r="E2034" t="s">
        <v>12</v>
      </c>
      <c r="F2034" t="s">
        <v>4943</v>
      </c>
      <c r="G2034" s="1">
        <v>45194</v>
      </c>
    </row>
    <row r="2035" spans="1:7">
      <c r="A2035" t="s">
        <v>4944</v>
      </c>
      <c r="B2035">
        <v>58</v>
      </c>
      <c r="C2035" t="s">
        <v>4945</v>
      </c>
      <c r="E2035" t="s">
        <v>36</v>
      </c>
      <c r="F2035">
        <v>7474660539</v>
      </c>
      <c r="G2035" s="1">
        <v>45063</v>
      </c>
    </row>
    <row r="2036" spans="1:7">
      <c r="A2036" t="s">
        <v>4946</v>
      </c>
      <c r="B2036">
        <v>64</v>
      </c>
      <c r="C2036" t="s">
        <v>4947</v>
      </c>
      <c r="D2036">
        <v>73539</v>
      </c>
      <c r="E2036" t="s">
        <v>12</v>
      </c>
      <c r="F2036">
        <f>1-247-186-3800</f>
        <v>-4232</v>
      </c>
      <c r="G2036" s="1">
        <v>45209</v>
      </c>
    </row>
    <row r="2037" spans="1:7">
      <c r="A2037" t="s">
        <v>4948</v>
      </c>
      <c r="B2037">
        <v>78</v>
      </c>
      <c r="C2037" t="s">
        <v>4949</v>
      </c>
      <c r="D2037">
        <v>-10000</v>
      </c>
      <c r="E2037" t="s">
        <v>9</v>
      </c>
      <c r="F2037" t="s">
        <v>4950</v>
      </c>
      <c r="G2037" s="1">
        <v>45026</v>
      </c>
    </row>
    <row r="2038" spans="1:7">
      <c r="A2038" t="s">
        <v>4951</v>
      </c>
      <c r="B2038">
        <v>25</v>
      </c>
      <c r="C2038" t="s">
        <v>4952</v>
      </c>
      <c r="D2038">
        <v>174434</v>
      </c>
      <c r="E2038" t="s">
        <v>12</v>
      </c>
      <c r="F2038" t="s">
        <v>4953</v>
      </c>
      <c r="G2038" s="1">
        <v>45267</v>
      </c>
    </row>
    <row r="2039" spans="1:7">
      <c r="A2039" t="s">
        <v>4954</v>
      </c>
      <c r="B2039">
        <v>71</v>
      </c>
      <c r="C2039" t="s">
        <v>4955</v>
      </c>
      <c r="D2039">
        <v>128970</v>
      </c>
      <c r="E2039" t="s">
        <v>27</v>
      </c>
      <c r="F2039">
        <v>3895694146</v>
      </c>
      <c r="G2039" t="s">
        <v>715</v>
      </c>
    </row>
    <row r="2040" spans="1:7">
      <c r="A2040" t="s">
        <v>4956</v>
      </c>
      <c r="B2040">
        <v>74</v>
      </c>
      <c r="C2040" t="s">
        <v>4957</v>
      </c>
      <c r="D2040">
        <v>134940</v>
      </c>
      <c r="E2040" t="s">
        <v>36</v>
      </c>
      <c r="F2040" t="s">
        <v>4958</v>
      </c>
      <c r="G2040" s="1">
        <v>45002</v>
      </c>
    </row>
    <row r="2041" spans="1:7">
      <c r="A2041" t="s">
        <v>4959</v>
      </c>
      <c r="B2041">
        <v>78</v>
      </c>
      <c r="C2041" t="s">
        <v>4960</v>
      </c>
      <c r="D2041">
        <v>-10000</v>
      </c>
      <c r="E2041" t="s">
        <v>12</v>
      </c>
      <c r="F2041" t="s">
        <v>4961</v>
      </c>
      <c r="G2041" s="1">
        <v>44988</v>
      </c>
    </row>
    <row r="2042" spans="1:7">
      <c r="A2042" t="s">
        <v>4962</v>
      </c>
      <c r="B2042">
        <v>75</v>
      </c>
      <c r="D2042">
        <v>0</v>
      </c>
      <c r="E2042" t="s">
        <v>12</v>
      </c>
      <c r="F2042">
        <v>1000367517</v>
      </c>
      <c r="G2042" s="1">
        <v>45182</v>
      </c>
    </row>
    <row r="2043" spans="1:7">
      <c r="A2043" t="s">
        <v>4963</v>
      </c>
      <c r="B2043">
        <v>22</v>
      </c>
      <c r="C2043" t="s">
        <v>4964</v>
      </c>
      <c r="D2043">
        <v>143880</v>
      </c>
      <c r="E2043" t="s">
        <v>27</v>
      </c>
      <c r="F2043" t="s">
        <v>4965</v>
      </c>
      <c r="G2043" s="1">
        <v>45062</v>
      </c>
    </row>
    <row r="2044" spans="1:7">
      <c r="A2044" t="s">
        <v>4966</v>
      </c>
      <c r="B2044">
        <v>76</v>
      </c>
      <c r="C2044" t="s">
        <v>4967</v>
      </c>
      <c r="D2044">
        <v>178725</v>
      </c>
      <c r="E2044" t="s">
        <v>27</v>
      </c>
      <c r="F2044" t="s">
        <v>4968</v>
      </c>
      <c r="G2044" s="1">
        <v>45151</v>
      </c>
    </row>
    <row r="2045" spans="1:7">
      <c r="A2045" t="s">
        <v>4969</v>
      </c>
      <c r="B2045">
        <v>64</v>
      </c>
      <c r="C2045" t="s">
        <v>4970</v>
      </c>
      <c r="D2045">
        <v>170070</v>
      </c>
      <c r="E2045" t="s">
        <v>12</v>
      </c>
      <c r="F2045" t="s">
        <v>4971</v>
      </c>
      <c r="G2045" s="1">
        <v>45286</v>
      </c>
    </row>
    <row r="2046" spans="1:7">
      <c r="A2046" t="s">
        <v>4972</v>
      </c>
      <c r="B2046">
        <v>26</v>
      </c>
      <c r="C2046" t="s">
        <v>4973</v>
      </c>
      <c r="D2046">
        <v>78570</v>
      </c>
      <c r="E2046" t="s">
        <v>27</v>
      </c>
      <c r="F2046" t="s">
        <v>4974</v>
      </c>
      <c r="G2046" s="1">
        <v>45291</v>
      </c>
    </row>
    <row r="2047" spans="1:7">
      <c r="A2047" t="s">
        <v>4975</v>
      </c>
      <c r="B2047">
        <v>26</v>
      </c>
      <c r="C2047" t="s">
        <v>4976</v>
      </c>
      <c r="D2047">
        <v>76418</v>
      </c>
      <c r="E2047" t="s">
        <v>49</v>
      </c>
      <c r="F2047">
        <v>7383213464</v>
      </c>
      <c r="G2047" s="1">
        <v>45263</v>
      </c>
    </row>
    <row r="2048" spans="1:7">
      <c r="A2048" t="s">
        <v>4977</v>
      </c>
      <c r="B2048">
        <v>48</v>
      </c>
      <c r="C2048" t="s">
        <v>4978</v>
      </c>
      <c r="D2048">
        <v>92790</v>
      </c>
      <c r="E2048" t="s">
        <v>12</v>
      </c>
      <c r="F2048" t="s">
        <v>4979</v>
      </c>
      <c r="G2048" s="1">
        <v>45098</v>
      </c>
    </row>
    <row r="2049" spans="1:7">
      <c r="A2049" t="s">
        <v>4980</v>
      </c>
      <c r="B2049">
        <v>71</v>
      </c>
      <c r="C2049" t="s">
        <v>4981</v>
      </c>
      <c r="D2049">
        <v>-1000</v>
      </c>
      <c r="E2049" t="s">
        <v>9</v>
      </c>
      <c r="F2049" t="s">
        <v>4982</v>
      </c>
      <c r="G2049" s="1">
        <v>44981</v>
      </c>
    </row>
    <row r="2050" spans="1:7">
      <c r="A2050" t="s">
        <v>4983</v>
      </c>
      <c r="B2050">
        <v>20</v>
      </c>
      <c r="C2050" t="s">
        <v>4984</v>
      </c>
      <c r="D2050">
        <v>158921</v>
      </c>
      <c r="E2050" t="s">
        <v>9</v>
      </c>
      <c r="G2050" s="1">
        <v>45209</v>
      </c>
    </row>
    <row r="2051" spans="1:7">
      <c r="A2051" t="s">
        <v>4985</v>
      </c>
      <c r="B2051">
        <v>27</v>
      </c>
      <c r="C2051" t="s">
        <v>4986</v>
      </c>
      <c r="D2051">
        <v>90272</v>
      </c>
      <c r="E2051" t="s">
        <v>27</v>
      </c>
      <c r="F2051">
        <f>1-705-842-8993</f>
        <v>-10539</v>
      </c>
      <c r="G2051" t="s">
        <v>81</v>
      </c>
    </row>
    <row r="2052" spans="1:7">
      <c r="A2052" t="s">
        <v>4987</v>
      </c>
      <c r="B2052">
        <v>25</v>
      </c>
      <c r="C2052" t="s">
        <v>4988</v>
      </c>
      <c r="D2052">
        <v>121228</v>
      </c>
      <c r="E2052" t="s">
        <v>9</v>
      </c>
      <c r="F2052" t="s">
        <v>4989</v>
      </c>
      <c r="G2052" s="1">
        <v>45091</v>
      </c>
    </row>
    <row r="2053" spans="1:7">
      <c r="A2053" t="s">
        <v>4990</v>
      </c>
      <c r="B2053">
        <v>36</v>
      </c>
      <c r="C2053" t="s">
        <v>4991</v>
      </c>
      <c r="D2053">
        <v>75337</v>
      </c>
      <c r="E2053" t="s">
        <v>27</v>
      </c>
      <c r="F2053" t="s">
        <v>4992</v>
      </c>
      <c r="G2053" s="1">
        <v>45163</v>
      </c>
    </row>
    <row r="2054" spans="1:7">
      <c r="A2054" t="s">
        <v>4993</v>
      </c>
      <c r="B2054">
        <v>72</v>
      </c>
      <c r="C2054" t="s">
        <v>4994</v>
      </c>
      <c r="D2054">
        <v>53834</v>
      </c>
      <c r="E2054" t="s">
        <v>9</v>
      </c>
      <c r="F2054">
        <f>1-522-152-4267</f>
        <v>-4940</v>
      </c>
      <c r="G2054" s="1">
        <v>45019</v>
      </c>
    </row>
    <row r="2055" spans="1:7">
      <c r="A2055" t="s">
        <v>4995</v>
      </c>
      <c r="B2055">
        <v>70</v>
      </c>
      <c r="C2055" t="s">
        <v>4996</v>
      </c>
      <c r="D2055">
        <v>154010</v>
      </c>
      <c r="E2055" t="s">
        <v>27</v>
      </c>
      <c r="F2055" t="s">
        <v>4997</v>
      </c>
      <c r="G2055" s="1">
        <v>45163</v>
      </c>
    </row>
    <row r="2056" spans="1:7">
      <c r="A2056" t="s">
        <v>4998</v>
      </c>
      <c r="B2056">
        <v>66</v>
      </c>
      <c r="C2056" t="s">
        <v>4999</v>
      </c>
      <c r="D2056">
        <v>155629</v>
      </c>
      <c r="E2056" t="s">
        <v>12</v>
      </c>
      <c r="F2056" t="s">
        <v>5000</v>
      </c>
      <c r="G2056" s="1">
        <v>45197</v>
      </c>
    </row>
    <row r="2057" spans="1:7">
      <c r="A2057" t="s">
        <v>5001</v>
      </c>
      <c r="B2057">
        <v>-10</v>
      </c>
      <c r="D2057">
        <v>161225</v>
      </c>
      <c r="E2057" t="s">
        <v>12</v>
      </c>
      <c r="F2057" t="s">
        <v>5002</v>
      </c>
      <c r="G2057" s="1">
        <v>44969</v>
      </c>
    </row>
    <row r="2058" spans="1:7">
      <c r="A2058" t="s">
        <v>5003</v>
      </c>
      <c r="B2058">
        <v>54</v>
      </c>
      <c r="C2058" t="s">
        <v>5004</v>
      </c>
      <c r="D2058">
        <v>134718</v>
      </c>
      <c r="E2058" t="s">
        <v>9</v>
      </c>
      <c r="F2058" t="s">
        <v>5005</v>
      </c>
      <c r="G2058" s="1">
        <v>45184</v>
      </c>
    </row>
    <row r="2059" spans="1:7">
      <c r="A2059" t="s">
        <v>5006</v>
      </c>
      <c r="B2059">
        <v>72</v>
      </c>
      <c r="D2059">
        <v>74460</v>
      </c>
      <c r="E2059" t="s">
        <v>36</v>
      </c>
      <c r="F2059">
        <v>1063161101</v>
      </c>
      <c r="G2059" s="1">
        <v>45002</v>
      </c>
    </row>
    <row r="2060" spans="1:7">
      <c r="A2060" t="s">
        <v>5007</v>
      </c>
      <c r="B2060">
        <v>63</v>
      </c>
      <c r="C2060" t="s">
        <v>5008</v>
      </c>
      <c r="D2060">
        <v>174252</v>
      </c>
      <c r="E2060" t="s">
        <v>9</v>
      </c>
      <c r="F2060">
        <f>1-308-469-7399</f>
        <v>-8175</v>
      </c>
      <c r="G2060" s="1">
        <v>45117</v>
      </c>
    </row>
    <row r="2061" spans="1:7">
      <c r="A2061" t="s">
        <v>5009</v>
      </c>
      <c r="B2061">
        <v>50</v>
      </c>
      <c r="C2061" t="s">
        <v>5010</v>
      </c>
      <c r="D2061">
        <v>75991</v>
      </c>
      <c r="E2061" t="s">
        <v>12</v>
      </c>
      <c r="F2061" t="s">
        <v>5011</v>
      </c>
      <c r="G2061" s="1">
        <v>45271</v>
      </c>
    </row>
    <row r="2062" spans="1:7">
      <c r="A2062" t="s">
        <v>5012</v>
      </c>
      <c r="B2062">
        <v>36</v>
      </c>
      <c r="C2062" t="s">
        <v>5013</v>
      </c>
      <c r="D2062">
        <v>135315</v>
      </c>
      <c r="E2062" t="s">
        <v>12</v>
      </c>
      <c r="F2062" t="s">
        <v>5014</v>
      </c>
      <c r="G2062" s="1">
        <v>45068</v>
      </c>
    </row>
    <row r="2063" spans="1:7">
      <c r="A2063" t="s">
        <v>5015</v>
      </c>
      <c r="B2063">
        <v>0</v>
      </c>
      <c r="C2063" t="s">
        <v>478</v>
      </c>
      <c r="D2063">
        <v>185438</v>
      </c>
      <c r="E2063" t="s">
        <v>12</v>
      </c>
      <c r="F2063" t="s">
        <v>5016</v>
      </c>
      <c r="G2063" s="1">
        <v>45205</v>
      </c>
    </row>
    <row r="2064" spans="1:7">
      <c r="A2064" t="s">
        <v>5017</v>
      </c>
      <c r="B2064">
        <v>36</v>
      </c>
      <c r="C2064" t="s">
        <v>5018</v>
      </c>
      <c r="D2064">
        <v>191040</v>
      </c>
      <c r="E2064" t="s">
        <v>27</v>
      </c>
      <c r="F2064" t="s">
        <v>5019</v>
      </c>
      <c r="G2064" s="1">
        <v>45237</v>
      </c>
    </row>
    <row r="2065" spans="1:7">
      <c r="A2065" t="s">
        <v>5020</v>
      </c>
      <c r="B2065">
        <v>28</v>
      </c>
      <c r="C2065" t="s">
        <v>5021</v>
      </c>
      <c r="D2065">
        <v>122691</v>
      </c>
      <c r="E2065" t="s">
        <v>9</v>
      </c>
      <c r="F2065" t="s">
        <v>5022</v>
      </c>
      <c r="G2065" s="1">
        <v>45261</v>
      </c>
    </row>
    <row r="2066" spans="1:7">
      <c r="A2066" t="s">
        <v>5023</v>
      </c>
      <c r="B2066">
        <v>75</v>
      </c>
      <c r="C2066" t="s">
        <v>5024</v>
      </c>
      <c r="D2066">
        <v>123635</v>
      </c>
      <c r="E2066" t="s">
        <v>9</v>
      </c>
      <c r="F2066" t="s">
        <v>5025</v>
      </c>
      <c r="G2066" s="1">
        <v>45175</v>
      </c>
    </row>
    <row r="2067" spans="1:7">
      <c r="A2067" t="s">
        <v>5026</v>
      </c>
      <c r="B2067">
        <v>47</v>
      </c>
      <c r="C2067" t="s">
        <v>5027</v>
      </c>
      <c r="D2067">
        <v>55363</v>
      </c>
      <c r="E2067" t="s">
        <v>12</v>
      </c>
      <c r="F2067" t="s">
        <v>5028</v>
      </c>
      <c r="G2067" s="1">
        <v>45077</v>
      </c>
    </row>
    <row r="2068" spans="1:7">
      <c r="A2068" t="s">
        <v>5029</v>
      </c>
      <c r="B2068">
        <v>51</v>
      </c>
      <c r="C2068" t="s">
        <v>5030</v>
      </c>
      <c r="D2068">
        <v>171822</v>
      </c>
      <c r="E2068" t="s">
        <v>9</v>
      </c>
      <c r="F2068" t="s">
        <v>5031</v>
      </c>
      <c r="G2068" s="1">
        <v>45044</v>
      </c>
    </row>
    <row r="2069" spans="1:7">
      <c r="A2069" t="s">
        <v>5032</v>
      </c>
      <c r="B2069">
        <v>33</v>
      </c>
      <c r="D2069">
        <v>180145</v>
      </c>
      <c r="E2069" t="s">
        <v>12</v>
      </c>
      <c r="F2069">
        <f>1-766-888-3854</f>
        <v>-5507</v>
      </c>
      <c r="G2069" s="1">
        <v>44935</v>
      </c>
    </row>
    <row r="2070" spans="1:7">
      <c r="A2070" t="s">
        <v>5033</v>
      </c>
      <c r="B2070">
        <v>52</v>
      </c>
      <c r="C2070" t="s">
        <v>5034</v>
      </c>
      <c r="D2070">
        <v>193926</v>
      </c>
      <c r="E2070" t="s">
        <v>12</v>
      </c>
      <c r="G2070" t="s">
        <v>371</v>
      </c>
    </row>
    <row r="2071" spans="1:7">
      <c r="A2071" t="s">
        <v>5035</v>
      </c>
      <c r="B2071">
        <v>52</v>
      </c>
      <c r="C2071" t="s">
        <v>5036</v>
      </c>
      <c r="D2071">
        <v>180611</v>
      </c>
      <c r="E2071" t="s">
        <v>12</v>
      </c>
      <c r="F2071">
        <v>7588919626</v>
      </c>
      <c r="G2071" s="1">
        <v>45144</v>
      </c>
    </row>
    <row r="2072" spans="1:7">
      <c r="A2072" t="s">
        <v>5037</v>
      </c>
      <c r="B2072">
        <v>38</v>
      </c>
      <c r="D2072">
        <v>97657</v>
      </c>
      <c r="E2072" t="s">
        <v>36</v>
      </c>
      <c r="F2072" t="s">
        <v>5038</v>
      </c>
      <c r="G2072" s="1">
        <v>44945</v>
      </c>
    </row>
    <row r="2073" spans="1:7">
      <c r="A2073" t="s">
        <v>5039</v>
      </c>
      <c r="B2073">
        <v>20</v>
      </c>
      <c r="C2073" t="s">
        <v>5040</v>
      </c>
      <c r="D2073">
        <v>78291</v>
      </c>
      <c r="E2073" t="s">
        <v>12</v>
      </c>
      <c r="G2073" s="1">
        <v>45223</v>
      </c>
    </row>
    <row r="2074" spans="1:7">
      <c r="A2074" t="s">
        <v>5041</v>
      </c>
      <c r="B2074">
        <v>63</v>
      </c>
      <c r="C2074" t="s">
        <v>5042</v>
      </c>
      <c r="D2074">
        <v>79853</v>
      </c>
      <c r="E2074" t="s">
        <v>27</v>
      </c>
      <c r="F2074">
        <v>5223195646</v>
      </c>
      <c r="G2074" s="1">
        <v>45240</v>
      </c>
    </row>
    <row r="2075" spans="1:7">
      <c r="B2075">
        <v>66</v>
      </c>
      <c r="C2075" t="s">
        <v>5043</v>
      </c>
      <c r="E2075" t="s">
        <v>12</v>
      </c>
      <c r="F2075" t="s">
        <v>5044</v>
      </c>
      <c r="G2075" s="1">
        <v>45155</v>
      </c>
    </row>
    <row r="2076" spans="1:7">
      <c r="A2076" t="s">
        <v>5045</v>
      </c>
      <c r="B2076">
        <v>68</v>
      </c>
      <c r="C2076" t="s">
        <v>5046</v>
      </c>
      <c r="D2076">
        <v>171041</v>
      </c>
      <c r="E2076" t="s">
        <v>12</v>
      </c>
      <c r="F2076">
        <v>8170525675</v>
      </c>
      <c r="G2076" s="1">
        <v>45047</v>
      </c>
    </row>
    <row r="2077" spans="1:7">
      <c r="A2077" t="s">
        <v>5047</v>
      </c>
      <c r="C2077" t="s">
        <v>5048</v>
      </c>
      <c r="D2077">
        <v>69148</v>
      </c>
      <c r="E2077" t="s">
        <v>12</v>
      </c>
      <c r="G2077" s="1">
        <v>45123</v>
      </c>
    </row>
    <row r="2078" spans="1:7">
      <c r="B2078">
        <v>42</v>
      </c>
      <c r="C2078" t="s">
        <v>518</v>
      </c>
      <c r="D2078">
        <v>146136</v>
      </c>
      <c r="E2078" t="s">
        <v>36</v>
      </c>
      <c r="F2078" t="s">
        <v>5049</v>
      </c>
      <c r="G2078" s="1">
        <v>45107</v>
      </c>
    </row>
    <row r="2079" spans="1:7">
      <c r="A2079" t="s">
        <v>5050</v>
      </c>
      <c r="B2079">
        <v>52</v>
      </c>
      <c r="C2079" t="s">
        <v>594</v>
      </c>
      <c r="D2079">
        <v>49991</v>
      </c>
      <c r="E2079" t="s">
        <v>27</v>
      </c>
      <c r="G2079" s="1">
        <v>44985</v>
      </c>
    </row>
    <row r="2080" spans="1:7">
      <c r="A2080" t="s">
        <v>5051</v>
      </c>
      <c r="C2080" t="s">
        <v>5052</v>
      </c>
      <c r="D2080">
        <v>118370</v>
      </c>
      <c r="E2080" t="s">
        <v>27</v>
      </c>
      <c r="F2080" t="s">
        <v>5053</v>
      </c>
      <c r="G2080" s="1">
        <v>44942</v>
      </c>
    </row>
    <row r="2081" spans="1:7">
      <c r="A2081" t="s">
        <v>5054</v>
      </c>
      <c r="B2081">
        <v>42</v>
      </c>
      <c r="C2081" t="s">
        <v>5055</v>
      </c>
      <c r="D2081">
        <v>125335</v>
      </c>
      <c r="E2081" t="s">
        <v>9</v>
      </c>
      <c r="F2081">
        <f>1-622-873-1776</f>
        <v>-3270</v>
      </c>
      <c r="G2081" s="1">
        <v>44927</v>
      </c>
    </row>
    <row r="2082" spans="1:7">
      <c r="A2082" t="s">
        <v>5056</v>
      </c>
      <c r="B2082">
        <v>37</v>
      </c>
      <c r="C2082" t="s">
        <v>5057</v>
      </c>
      <c r="D2082">
        <v>119156</v>
      </c>
      <c r="E2082" t="s">
        <v>18</v>
      </c>
      <c r="F2082" t="s">
        <v>5058</v>
      </c>
      <c r="G2082" s="1">
        <v>45127</v>
      </c>
    </row>
    <row r="2083" spans="1:7">
      <c r="A2083" t="s">
        <v>567</v>
      </c>
      <c r="B2083">
        <v>46</v>
      </c>
      <c r="C2083" t="s">
        <v>594</v>
      </c>
      <c r="D2083">
        <v>61923</v>
      </c>
      <c r="E2083" t="s">
        <v>9</v>
      </c>
      <c r="F2083" t="s">
        <v>5059</v>
      </c>
      <c r="G2083" s="1">
        <v>45135</v>
      </c>
    </row>
    <row r="2084" spans="1:7">
      <c r="A2084" t="s">
        <v>5060</v>
      </c>
      <c r="B2084">
        <v>31</v>
      </c>
      <c r="C2084" t="s">
        <v>5061</v>
      </c>
      <c r="D2084">
        <v>130706</v>
      </c>
      <c r="E2084" t="s">
        <v>27</v>
      </c>
      <c r="F2084" t="s">
        <v>5062</v>
      </c>
      <c r="G2084" s="1">
        <v>44971</v>
      </c>
    </row>
    <row r="2085" spans="1:7">
      <c r="A2085" t="s">
        <v>5063</v>
      </c>
      <c r="B2085">
        <v>68</v>
      </c>
      <c r="C2085" t="s">
        <v>5064</v>
      </c>
      <c r="D2085">
        <v>41577</v>
      </c>
      <c r="E2085" t="s">
        <v>36</v>
      </c>
      <c r="F2085">
        <f>1-307-614-8519</f>
        <v>-9439</v>
      </c>
      <c r="G2085" s="1">
        <v>45063</v>
      </c>
    </row>
    <row r="2086" spans="1:7">
      <c r="A2086" t="s">
        <v>5065</v>
      </c>
      <c r="B2086">
        <v>68</v>
      </c>
      <c r="C2086" t="s">
        <v>5066</v>
      </c>
      <c r="E2086" t="s">
        <v>36</v>
      </c>
      <c r="F2086">
        <v>2074320602</v>
      </c>
      <c r="G2086" s="1">
        <v>45165</v>
      </c>
    </row>
    <row r="2087" spans="1:7">
      <c r="A2087" t="s">
        <v>5067</v>
      </c>
      <c r="B2087">
        <v>23</v>
      </c>
      <c r="C2087" t="s">
        <v>5068</v>
      </c>
      <c r="D2087">
        <v>35606</v>
      </c>
      <c r="E2087" t="s">
        <v>9</v>
      </c>
      <c r="F2087" t="s">
        <v>5069</v>
      </c>
      <c r="G2087" s="1">
        <v>45258</v>
      </c>
    </row>
    <row r="2088" spans="1:7">
      <c r="A2088" t="s">
        <v>5070</v>
      </c>
      <c r="B2088">
        <v>31</v>
      </c>
      <c r="C2088" t="s">
        <v>5071</v>
      </c>
      <c r="D2088">
        <v>186671</v>
      </c>
      <c r="E2088" t="s">
        <v>27</v>
      </c>
      <c r="F2088" t="s">
        <v>5072</v>
      </c>
      <c r="G2088" s="1">
        <v>45147</v>
      </c>
    </row>
    <row r="2089" spans="1:7">
      <c r="A2089" t="s">
        <v>5073</v>
      </c>
      <c r="B2089">
        <v>36</v>
      </c>
      <c r="C2089" t="s">
        <v>5074</v>
      </c>
      <c r="E2089" t="s">
        <v>27</v>
      </c>
      <c r="F2089" t="s">
        <v>5075</v>
      </c>
      <c r="G2089" s="1">
        <v>45092</v>
      </c>
    </row>
    <row r="2090" spans="1:7">
      <c r="A2090" t="s">
        <v>5076</v>
      </c>
      <c r="B2090">
        <v>27</v>
      </c>
      <c r="C2090" t="s">
        <v>5077</v>
      </c>
      <c r="D2090">
        <v>155211</v>
      </c>
      <c r="E2090" t="s">
        <v>18</v>
      </c>
      <c r="F2090" t="s">
        <v>5078</v>
      </c>
      <c r="G2090" s="1">
        <v>45178</v>
      </c>
    </row>
    <row r="2091" spans="1:7">
      <c r="A2091" t="s">
        <v>5079</v>
      </c>
      <c r="B2091">
        <v>25</v>
      </c>
      <c r="C2091" t="s">
        <v>5080</v>
      </c>
      <c r="D2091">
        <v>164304</v>
      </c>
      <c r="E2091" t="s">
        <v>12</v>
      </c>
      <c r="F2091">
        <f>1-993-551-3524</f>
        <v>-5067</v>
      </c>
      <c r="G2091" s="1">
        <v>45286</v>
      </c>
    </row>
    <row r="2092" spans="1:7">
      <c r="A2092" t="s">
        <v>5081</v>
      </c>
      <c r="B2092">
        <v>32</v>
      </c>
      <c r="C2092" t="s">
        <v>445</v>
      </c>
      <c r="D2092">
        <v>129397</v>
      </c>
      <c r="E2092" t="s">
        <v>36</v>
      </c>
      <c r="F2092" t="s">
        <v>5082</v>
      </c>
      <c r="G2092" s="1">
        <v>45225</v>
      </c>
    </row>
    <row r="2093" spans="1:7">
      <c r="A2093" t="s">
        <v>5083</v>
      </c>
      <c r="B2093">
        <v>34</v>
      </c>
      <c r="C2093" t="s">
        <v>5084</v>
      </c>
      <c r="D2093">
        <v>153099</v>
      </c>
      <c r="E2093" t="s">
        <v>49</v>
      </c>
      <c r="G2093" t="s">
        <v>301</v>
      </c>
    </row>
    <row r="2094" spans="1:7">
      <c r="B2094">
        <v>24</v>
      </c>
      <c r="C2094" t="s">
        <v>5085</v>
      </c>
      <c r="D2094">
        <v>75475</v>
      </c>
      <c r="E2094" t="s">
        <v>27</v>
      </c>
      <c r="F2094">
        <v>2906775938</v>
      </c>
      <c r="G2094" s="1">
        <v>45098</v>
      </c>
    </row>
    <row r="2095" spans="1:7">
      <c r="A2095" t="s">
        <v>1557</v>
      </c>
      <c r="B2095">
        <v>37</v>
      </c>
      <c r="C2095" t="s">
        <v>5086</v>
      </c>
      <c r="D2095">
        <v>80468</v>
      </c>
      <c r="E2095" t="s">
        <v>36</v>
      </c>
      <c r="F2095" t="s">
        <v>5087</v>
      </c>
      <c r="G2095" s="1">
        <v>45074</v>
      </c>
    </row>
    <row r="2096" spans="1:7">
      <c r="A2096" t="s">
        <v>5088</v>
      </c>
      <c r="B2096">
        <v>500</v>
      </c>
      <c r="E2096" t="s">
        <v>36</v>
      </c>
      <c r="F2096" t="s">
        <v>5089</v>
      </c>
      <c r="G2096" s="1">
        <v>45227</v>
      </c>
    </row>
    <row r="2097" spans="1:7">
      <c r="A2097" t="s">
        <v>5017</v>
      </c>
      <c r="B2097">
        <v>27</v>
      </c>
      <c r="C2097" t="s">
        <v>5090</v>
      </c>
      <c r="D2097">
        <v>-50000</v>
      </c>
      <c r="E2097" t="s">
        <v>9</v>
      </c>
      <c r="F2097" t="s">
        <v>5091</v>
      </c>
      <c r="G2097" s="1">
        <v>45170</v>
      </c>
    </row>
    <row r="2098" spans="1:7">
      <c r="A2098" t="s">
        <v>5092</v>
      </c>
      <c r="B2098">
        <v>77</v>
      </c>
      <c r="D2098">
        <v>59086</v>
      </c>
      <c r="E2098" t="s">
        <v>9</v>
      </c>
      <c r="F2098">
        <f>1-440-958-6019</f>
        <v>-7416</v>
      </c>
      <c r="G2098" s="1">
        <v>45256</v>
      </c>
    </row>
    <row r="2099" spans="1:7">
      <c r="A2099" t="s">
        <v>5093</v>
      </c>
      <c r="B2099">
        <v>38</v>
      </c>
      <c r="C2099" t="s">
        <v>5094</v>
      </c>
      <c r="D2099">
        <v>50045</v>
      </c>
      <c r="E2099" t="s">
        <v>27</v>
      </c>
      <c r="F2099">
        <f>1-248-981-2114</f>
        <v>-3342</v>
      </c>
      <c r="G2099" s="1">
        <v>45273</v>
      </c>
    </row>
    <row r="2100" spans="1:7">
      <c r="A2100" t="s">
        <v>5095</v>
      </c>
      <c r="B2100">
        <v>43</v>
      </c>
      <c r="C2100" t="s">
        <v>5096</v>
      </c>
      <c r="D2100">
        <v>-10000</v>
      </c>
      <c r="E2100" t="s">
        <v>27</v>
      </c>
      <c r="F2100" t="s">
        <v>5097</v>
      </c>
      <c r="G2100" s="1">
        <v>45059</v>
      </c>
    </row>
    <row r="2101" spans="1:7">
      <c r="A2101" t="s">
        <v>5098</v>
      </c>
      <c r="B2101">
        <v>180</v>
      </c>
      <c r="C2101" t="s">
        <v>5099</v>
      </c>
      <c r="D2101">
        <v>183412</v>
      </c>
      <c r="E2101" t="s">
        <v>36</v>
      </c>
      <c r="F2101" t="s">
        <v>5100</v>
      </c>
      <c r="G2101" s="1">
        <v>44933</v>
      </c>
    </row>
    <row r="2102" spans="1:7">
      <c r="A2102" t="s">
        <v>5101</v>
      </c>
      <c r="B2102">
        <v>59</v>
      </c>
      <c r="C2102" t="s">
        <v>5102</v>
      </c>
      <c r="D2102">
        <v>94925</v>
      </c>
      <c r="E2102" t="s">
        <v>12</v>
      </c>
      <c r="F2102">
        <v>7934038104</v>
      </c>
      <c r="G2102" s="1">
        <v>45106</v>
      </c>
    </row>
    <row r="2103" spans="1:7">
      <c r="A2103" t="s">
        <v>5103</v>
      </c>
      <c r="B2103">
        <v>-999</v>
      </c>
      <c r="C2103" t="s">
        <v>531</v>
      </c>
      <c r="D2103">
        <v>-1</v>
      </c>
      <c r="E2103" t="s">
        <v>532</v>
      </c>
      <c r="G2103" t="s">
        <v>493</v>
      </c>
    </row>
    <row r="2104" spans="1:7">
      <c r="A2104" t="s">
        <v>5104</v>
      </c>
      <c r="B2104">
        <v>68</v>
      </c>
      <c r="C2104" t="s">
        <v>5105</v>
      </c>
      <c r="D2104">
        <v>45193</v>
      </c>
      <c r="E2104" t="s">
        <v>27</v>
      </c>
      <c r="F2104" t="s">
        <v>5106</v>
      </c>
      <c r="G2104" s="1">
        <v>45132</v>
      </c>
    </row>
    <row r="2105" spans="1:7">
      <c r="A2105" t="s">
        <v>5107</v>
      </c>
      <c r="B2105">
        <v>0</v>
      </c>
      <c r="C2105" t="s">
        <v>5108</v>
      </c>
      <c r="D2105">
        <v>135750</v>
      </c>
      <c r="E2105" t="s">
        <v>12</v>
      </c>
      <c r="F2105">
        <v>4504358997</v>
      </c>
      <c r="G2105" s="1">
        <v>45012</v>
      </c>
    </row>
    <row r="2106" spans="1:7">
      <c r="A2106" t="s">
        <v>5109</v>
      </c>
      <c r="B2106">
        <v>52</v>
      </c>
      <c r="C2106" t="s">
        <v>5110</v>
      </c>
      <c r="D2106">
        <v>-50000</v>
      </c>
      <c r="E2106" t="s">
        <v>12</v>
      </c>
      <c r="F2106">
        <v>4251342697</v>
      </c>
      <c r="G2106" s="1">
        <v>45289</v>
      </c>
    </row>
    <row r="2107" spans="1:7">
      <c r="A2107" t="s">
        <v>5111</v>
      </c>
      <c r="B2107">
        <v>70</v>
      </c>
      <c r="C2107" t="s">
        <v>5112</v>
      </c>
      <c r="D2107">
        <v>113981</v>
      </c>
      <c r="E2107" t="s">
        <v>9</v>
      </c>
      <c r="F2107" t="s">
        <v>5113</v>
      </c>
      <c r="G2107" s="1">
        <v>44957</v>
      </c>
    </row>
    <row r="2108" spans="1:7">
      <c r="A2108" t="s">
        <v>5114</v>
      </c>
      <c r="B2108">
        <v>25</v>
      </c>
      <c r="C2108" t="s">
        <v>5115</v>
      </c>
      <c r="D2108">
        <v>60908</v>
      </c>
      <c r="E2108" t="s">
        <v>27</v>
      </c>
      <c r="F2108" t="s">
        <v>5116</v>
      </c>
      <c r="G2108" s="1">
        <v>45127</v>
      </c>
    </row>
    <row r="2109" spans="1:7">
      <c r="A2109" t="s">
        <v>5117</v>
      </c>
      <c r="B2109">
        <v>39</v>
      </c>
      <c r="C2109" t="s">
        <v>5118</v>
      </c>
      <c r="D2109">
        <v>60988</v>
      </c>
      <c r="E2109" t="s">
        <v>9</v>
      </c>
      <c r="F2109" t="s">
        <v>5119</v>
      </c>
      <c r="G2109" s="1">
        <v>45219</v>
      </c>
    </row>
    <row r="2110" spans="1:7">
      <c r="A2110" t="s">
        <v>5120</v>
      </c>
      <c r="B2110">
        <v>26</v>
      </c>
      <c r="C2110" t="s">
        <v>5121</v>
      </c>
      <c r="D2110">
        <v>80705</v>
      </c>
      <c r="E2110" t="s">
        <v>36</v>
      </c>
      <c r="F2110">
        <v>3127317293</v>
      </c>
      <c r="G2110" s="1">
        <v>45237</v>
      </c>
    </row>
    <row r="2111" spans="1:7">
      <c r="A2111" t="s">
        <v>5122</v>
      </c>
      <c r="B2111">
        <v>76</v>
      </c>
      <c r="C2111" t="s">
        <v>5123</v>
      </c>
      <c r="D2111">
        <v>54648</v>
      </c>
      <c r="E2111" t="s">
        <v>12</v>
      </c>
      <c r="F2111" t="s">
        <v>5124</v>
      </c>
      <c r="G2111" s="1">
        <v>45094</v>
      </c>
    </row>
    <row r="2112" spans="1:7">
      <c r="A2112" t="s">
        <v>5125</v>
      </c>
      <c r="B2112">
        <v>78</v>
      </c>
      <c r="C2112" t="s">
        <v>5126</v>
      </c>
      <c r="D2112">
        <v>54335</v>
      </c>
      <c r="E2112" t="s">
        <v>27</v>
      </c>
      <c r="F2112" t="s">
        <v>5127</v>
      </c>
      <c r="G2112" s="1">
        <v>45153</v>
      </c>
    </row>
    <row r="2113" spans="1:7">
      <c r="A2113" t="s">
        <v>5128</v>
      </c>
      <c r="B2113">
        <v>64</v>
      </c>
      <c r="C2113" t="s">
        <v>5129</v>
      </c>
      <c r="D2113">
        <v>0</v>
      </c>
      <c r="E2113" t="s">
        <v>9</v>
      </c>
      <c r="F2113">
        <f>1-512-260-8200</f>
        <v>-8971</v>
      </c>
      <c r="G2113" s="1">
        <v>44955</v>
      </c>
    </row>
    <row r="2114" spans="1:7">
      <c r="A2114" t="s">
        <v>5130</v>
      </c>
      <c r="B2114">
        <v>-10</v>
      </c>
      <c r="D2114">
        <v>108533</v>
      </c>
      <c r="E2114" t="s">
        <v>12</v>
      </c>
      <c r="F2114" t="s">
        <v>5131</v>
      </c>
      <c r="G2114" s="1">
        <v>45086</v>
      </c>
    </row>
    <row r="2115" spans="1:7">
      <c r="A2115" t="s">
        <v>5132</v>
      </c>
      <c r="B2115">
        <v>0</v>
      </c>
      <c r="C2115" t="s">
        <v>5133</v>
      </c>
      <c r="D2115">
        <v>109698</v>
      </c>
      <c r="E2115" t="s">
        <v>12</v>
      </c>
      <c r="F2115" t="s">
        <v>5134</v>
      </c>
      <c r="G2115" s="1">
        <v>45026</v>
      </c>
    </row>
    <row r="2116" spans="1:7">
      <c r="A2116" t="s">
        <v>5135</v>
      </c>
      <c r="B2116">
        <v>62</v>
      </c>
      <c r="C2116" t="s">
        <v>5136</v>
      </c>
      <c r="E2116" t="s">
        <v>27</v>
      </c>
      <c r="F2116">
        <v>3651030484</v>
      </c>
      <c r="G2116" s="1">
        <v>45074</v>
      </c>
    </row>
    <row r="2117" spans="1:7">
      <c r="A2117" t="s">
        <v>5137</v>
      </c>
      <c r="B2117">
        <v>25</v>
      </c>
      <c r="D2117">
        <v>174866</v>
      </c>
      <c r="E2117" t="s">
        <v>27</v>
      </c>
      <c r="F2117" t="s">
        <v>5138</v>
      </c>
      <c r="G2117" s="1">
        <v>44946</v>
      </c>
    </row>
    <row r="2118" spans="1:7">
      <c r="A2118" t="s">
        <v>727</v>
      </c>
      <c r="B2118">
        <v>23</v>
      </c>
      <c r="C2118" t="s">
        <v>5139</v>
      </c>
      <c r="D2118">
        <v>145657</v>
      </c>
      <c r="E2118" t="s">
        <v>12</v>
      </c>
      <c r="F2118" t="s">
        <v>5140</v>
      </c>
      <c r="G2118" s="1">
        <v>44975</v>
      </c>
    </row>
    <row r="2119" spans="1:7">
      <c r="A2119" t="s">
        <v>5141</v>
      </c>
      <c r="B2119">
        <v>72</v>
      </c>
      <c r="C2119" t="s">
        <v>5142</v>
      </c>
      <c r="D2119">
        <v>112987</v>
      </c>
      <c r="E2119" t="s">
        <v>12</v>
      </c>
      <c r="F2119" t="s">
        <v>5143</v>
      </c>
      <c r="G2119" s="1">
        <v>45256</v>
      </c>
    </row>
    <row r="2120" spans="1:7">
      <c r="A2120" t="s">
        <v>5144</v>
      </c>
      <c r="B2120">
        <v>74</v>
      </c>
      <c r="C2120" t="s">
        <v>5145</v>
      </c>
      <c r="D2120">
        <v>125251</v>
      </c>
      <c r="E2120" t="s">
        <v>36</v>
      </c>
      <c r="F2120">
        <v>9708288160</v>
      </c>
      <c r="G2120" s="1">
        <v>45268</v>
      </c>
    </row>
    <row r="2121" spans="1:7">
      <c r="A2121" t="s">
        <v>5146</v>
      </c>
      <c r="B2121">
        <v>42</v>
      </c>
      <c r="C2121" t="s">
        <v>5147</v>
      </c>
      <c r="D2121">
        <v>91720</v>
      </c>
      <c r="E2121" t="s">
        <v>9</v>
      </c>
      <c r="F2121">
        <f>1-552-386-5893</f>
        <v>-6830</v>
      </c>
      <c r="G2121" s="1">
        <v>45290</v>
      </c>
    </row>
    <row r="2122" spans="1:7">
      <c r="A2122" t="s">
        <v>5148</v>
      </c>
      <c r="B2122">
        <v>-1</v>
      </c>
      <c r="C2122" t="s">
        <v>5149</v>
      </c>
      <c r="D2122">
        <v>-10000</v>
      </c>
      <c r="E2122" t="s">
        <v>27</v>
      </c>
      <c r="F2122" t="s">
        <v>5150</v>
      </c>
      <c r="G2122" s="1">
        <v>45275</v>
      </c>
    </row>
    <row r="2123" spans="1:7">
      <c r="A2123" t="s">
        <v>5151</v>
      </c>
      <c r="B2123">
        <v>64</v>
      </c>
      <c r="C2123" t="s">
        <v>5152</v>
      </c>
      <c r="D2123">
        <v>84330</v>
      </c>
      <c r="E2123" t="s">
        <v>36</v>
      </c>
      <c r="F2123" t="s">
        <v>5153</v>
      </c>
      <c r="G2123" s="1">
        <v>44973</v>
      </c>
    </row>
    <row r="2124" spans="1:7">
      <c r="A2124" t="s">
        <v>5154</v>
      </c>
      <c r="B2124">
        <v>500</v>
      </c>
      <c r="C2124" t="s">
        <v>5155</v>
      </c>
      <c r="D2124">
        <v>131026</v>
      </c>
      <c r="E2124" t="s">
        <v>12</v>
      </c>
      <c r="F2124" t="s">
        <v>5156</v>
      </c>
      <c r="G2124" s="1">
        <v>45185</v>
      </c>
    </row>
    <row r="2125" spans="1:7">
      <c r="A2125" t="s">
        <v>5157</v>
      </c>
      <c r="B2125">
        <v>70</v>
      </c>
      <c r="C2125" t="s">
        <v>389</v>
      </c>
      <c r="D2125">
        <v>44683</v>
      </c>
      <c r="E2125" t="s">
        <v>12</v>
      </c>
      <c r="F2125" t="s">
        <v>5158</v>
      </c>
      <c r="G2125" s="1">
        <v>44961</v>
      </c>
    </row>
    <row r="2126" spans="1:7">
      <c r="A2126" t="s">
        <v>5159</v>
      </c>
      <c r="B2126">
        <v>44</v>
      </c>
      <c r="C2126" t="s">
        <v>5160</v>
      </c>
      <c r="D2126">
        <v>182324</v>
      </c>
      <c r="E2126" t="s">
        <v>12</v>
      </c>
      <c r="F2126" t="s">
        <v>5161</v>
      </c>
      <c r="G2126" s="1">
        <v>44941</v>
      </c>
    </row>
    <row r="2127" spans="1:7">
      <c r="A2127" t="s">
        <v>5162</v>
      </c>
      <c r="B2127">
        <v>52</v>
      </c>
      <c r="C2127" t="s">
        <v>478</v>
      </c>
      <c r="D2127">
        <v>189422</v>
      </c>
      <c r="E2127" t="s">
        <v>27</v>
      </c>
      <c r="G2127" s="1">
        <v>45199</v>
      </c>
    </row>
    <row r="2128" spans="1:7">
      <c r="A2128" t="s">
        <v>5163</v>
      </c>
      <c r="B2128">
        <v>51</v>
      </c>
      <c r="C2128" t="s">
        <v>17</v>
      </c>
      <c r="D2128">
        <v>196258</v>
      </c>
      <c r="E2128" t="s">
        <v>12</v>
      </c>
      <c r="F2128">
        <v>3166860023</v>
      </c>
      <c r="G2128" t="s">
        <v>483</v>
      </c>
    </row>
    <row r="2129" spans="1:7">
      <c r="A2129" t="s">
        <v>5164</v>
      </c>
      <c r="B2129">
        <v>63</v>
      </c>
      <c r="C2129" t="s">
        <v>5165</v>
      </c>
      <c r="D2129">
        <v>184591</v>
      </c>
      <c r="E2129" t="s">
        <v>9</v>
      </c>
      <c r="F2129" t="s">
        <v>5166</v>
      </c>
      <c r="G2129" s="1">
        <v>45148</v>
      </c>
    </row>
    <row r="2130" spans="1:7">
      <c r="A2130" t="s">
        <v>5167</v>
      </c>
      <c r="B2130">
        <v>26</v>
      </c>
      <c r="C2130" t="s">
        <v>5168</v>
      </c>
      <c r="D2130">
        <v>32895</v>
      </c>
      <c r="E2130" t="s">
        <v>12</v>
      </c>
      <c r="F2130" t="s">
        <v>5169</v>
      </c>
      <c r="G2130" s="1">
        <v>45031</v>
      </c>
    </row>
    <row r="2131" spans="1:7">
      <c r="A2131" t="s">
        <v>5170</v>
      </c>
      <c r="B2131">
        <v>26</v>
      </c>
      <c r="C2131" t="s">
        <v>61</v>
      </c>
      <c r="D2131">
        <v>154577</v>
      </c>
      <c r="E2131" t="s">
        <v>9</v>
      </c>
      <c r="F2131">
        <f>1-445-793-3947</f>
        <v>-5184</v>
      </c>
      <c r="G2131" s="1">
        <v>45256</v>
      </c>
    </row>
    <row r="2132" spans="1:7">
      <c r="A2132" t="s">
        <v>5171</v>
      </c>
      <c r="B2132">
        <v>46</v>
      </c>
      <c r="C2132" t="s">
        <v>5172</v>
      </c>
      <c r="D2132">
        <v>171774</v>
      </c>
      <c r="E2132" t="s">
        <v>12</v>
      </c>
      <c r="F2132" t="s">
        <v>5173</v>
      </c>
      <c r="G2132" s="1">
        <v>45281</v>
      </c>
    </row>
    <row r="2133" spans="1:7">
      <c r="A2133" t="s">
        <v>5174</v>
      </c>
      <c r="B2133">
        <v>36</v>
      </c>
      <c r="C2133" t="s">
        <v>5175</v>
      </c>
      <c r="D2133">
        <v>0</v>
      </c>
      <c r="F2133" t="s">
        <v>5176</v>
      </c>
      <c r="G2133" s="1">
        <v>44972</v>
      </c>
    </row>
    <row r="2134" spans="1:7">
      <c r="A2134" t="s">
        <v>5177</v>
      </c>
      <c r="B2134">
        <v>47</v>
      </c>
      <c r="E2134" t="s">
        <v>9</v>
      </c>
      <c r="F2134" t="s">
        <v>5178</v>
      </c>
      <c r="G2134" s="1">
        <v>45258</v>
      </c>
    </row>
    <row r="2135" spans="1:7">
      <c r="A2135" t="s">
        <v>5179</v>
      </c>
      <c r="B2135">
        <v>23</v>
      </c>
      <c r="C2135" t="s">
        <v>5180</v>
      </c>
      <c r="D2135">
        <v>165994</v>
      </c>
      <c r="E2135" t="s">
        <v>9</v>
      </c>
      <c r="F2135">
        <f>1-165-642-7778</f>
        <v>-8584</v>
      </c>
      <c r="G2135" s="1">
        <v>45049</v>
      </c>
    </row>
    <row r="2136" spans="1:7">
      <c r="A2136" t="s">
        <v>5181</v>
      </c>
      <c r="B2136">
        <v>44</v>
      </c>
      <c r="C2136" t="s">
        <v>5182</v>
      </c>
      <c r="D2136">
        <v>-10000</v>
      </c>
      <c r="E2136" t="s">
        <v>36</v>
      </c>
      <c r="F2136" t="s">
        <v>5183</v>
      </c>
      <c r="G2136" s="1">
        <v>45008</v>
      </c>
    </row>
    <row r="2137" spans="1:7">
      <c r="A2137" t="s">
        <v>5184</v>
      </c>
      <c r="B2137">
        <v>40</v>
      </c>
      <c r="C2137" t="s">
        <v>5185</v>
      </c>
      <c r="D2137">
        <v>169271</v>
      </c>
      <c r="E2137" t="s">
        <v>36</v>
      </c>
      <c r="F2137">
        <f>1-141-474-7003</f>
        <v>-7617</v>
      </c>
      <c r="G2137" s="1">
        <v>45083</v>
      </c>
    </row>
    <row r="2138" spans="1:7">
      <c r="A2138" t="s">
        <v>5186</v>
      </c>
      <c r="B2138">
        <v>70</v>
      </c>
      <c r="C2138" t="s">
        <v>389</v>
      </c>
      <c r="D2138">
        <v>0</v>
      </c>
      <c r="E2138" t="s">
        <v>36</v>
      </c>
      <c r="F2138" t="s">
        <v>5187</v>
      </c>
      <c r="G2138" s="1">
        <v>45184</v>
      </c>
    </row>
    <row r="2139" spans="1:7">
      <c r="A2139" t="s">
        <v>5188</v>
      </c>
      <c r="B2139">
        <v>29</v>
      </c>
      <c r="D2139">
        <v>103606</v>
      </c>
      <c r="E2139" t="s">
        <v>12</v>
      </c>
      <c r="F2139" t="s">
        <v>5189</v>
      </c>
      <c r="G2139" s="1">
        <v>44927</v>
      </c>
    </row>
    <row r="2140" spans="1:7">
      <c r="A2140" t="s">
        <v>5190</v>
      </c>
      <c r="B2140">
        <v>35</v>
      </c>
      <c r="D2140">
        <v>68498</v>
      </c>
      <c r="E2140" t="s">
        <v>9</v>
      </c>
      <c r="F2140">
        <f>1-298-354-6741</f>
        <v>-7392</v>
      </c>
      <c r="G2140" s="1">
        <v>45270</v>
      </c>
    </row>
    <row r="2141" spans="1:7">
      <c r="A2141" t="s">
        <v>5191</v>
      </c>
      <c r="B2141">
        <v>55</v>
      </c>
      <c r="C2141" t="s">
        <v>5192</v>
      </c>
      <c r="D2141">
        <v>189031</v>
      </c>
      <c r="E2141" t="s">
        <v>9</v>
      </c>
      <c r="F2141" t="s">
        <v>5193</v>
      </c>
      <c r="G2141" s="1">
        <v>45215</v>
      </c>
    </row>
    <row r="2142" spans="1:7">
      <c r="A2142" t="s">
        <v>4269</v>
      </c>
      <c r="B2142">
        <v>66</v>
      </c>
      <c r="C2142" t="s">
        <v>4270</v>
      </c>
      <c r="D2142">
        <v>176259</v>
      </c>
      <c r="E2142" t="s">
        <v>27</v>
      </c>
      <c r="F2142">
        <v>9357790587</v>
      </c>
      <c r="G2142" s="1">
        <v>45225</v>
      </c>
    </row>
    <row r="2143" spans="1:7">
      <c r="A2143" t="s">
        <v>5194</v>
      </c>
      <c r="B2143">
        <v>46</v>
      </c>
      <c r="C2143" t="s">
        <v>115</v>
      </c>
      <c r="D2143">
        <v>117759</v>
      </c>
      <c r="E2143" t="s">
        <v>27</v>
      </c>
      <c r="F2143" t="s">
        <v>5195</v>
      </c>
      <c r="G2143" t="s">
        <v>493</v>
      </c>
    </row>
    <row r="2144" spans="1:7">
      <c r="A2144" t="s">
        <v>5196</v>
      </c>
      <c r="B2144">
        <v>25</v>
      </c>
      <c r="C2144" t="s">
        <v>5197</v>
      </c>
      <c r="D2144">
        <v>198017</v>
      </c>
      <c r="E2144" t="s">
        <v>12</v>
      </c>
      <c r="F2144" t="s">
        <v>5198</v>
      </c>
      <c r="G2144" s="1">
        <v>45179</v>
      </c>
    </row>
    <row r="2145" spans="1:7">
      <c r="A2145" t="s">
        <v>5199</v>
      </c>
      <c r="B2145">
        <v>24</v>
      </c>
      <c r="C2145" t="s">
        <v>5200</v>
      </c>
      <c r="D2145">
        <v>89412</v>
      </c>
      <c r="E2145" t="s">
        <v>36</v>
      </c>
      <c r="F2145" t="s">
        <v>5201</v>
      </c>
      <c r="G2145" s="1">
        <v>45153</v>
      </c>
    </row>
    <row r="2146" spans="1:7">
      <c r="A2146" t="s">
        <v>5202</v>
      </c>
      <c r="B2146">
        <v>73</v>
      </c>
      <c r="C2146" t="s">
        <v>5203</v>
      </c>
      <c r="D2146">
        <v>32765</v>
      </c>
      <c r="E2146" t="s">
        <v>9</v>
      </c>
      <c r="F2146" t="s">
        <v>5204</v>
      </c>
      <c r="G2146" s="1">
        <v>45242</v>
      </c>
    </row>
    <row r="2147" spans="1:7">
      <c r="A2147" t="s">
        <v>5205</v>
      </c>
      <c r="B2147">
        <v>41</v>
      </c>
      <c r="C2147" t="s">
        <v>5206</v>
      </c>
      <c r="D2147">
        <v>87221</v>
      </c>
      <c r="E2147" t="s">
        <v>36</v>
      </c>
      <c r="F2147" t="s">
        <v>5207</v>
      </c>
      <c r="G2147" s="1">
        <v>45103</v>
      </c>
    </row>
    <row r="2148" spans="1:7">
      <c r="A2148" t="s">
        <v>5208</v>
      </c>
      <c r="B2148">
        <v>71</v>
      </c>
      <c r="C2148" t="s">
        <v>5209</v>
      </c>
      <c r="D2148">
        <v>183373</v>
      </c>
      <c r="E2148" t="s">
        <v>18</v>
      </c>
      <c r="F2148" t="s">
        <v>5210</v>
      </c>
      <c r="G2148" s="1">
        <v>44974</v>
      </c>
    </row>
    <row r="2149" spans="1:7">
      <c r="A2149" t="s">
        <v>5211</v>
      </c>
      <c r="B2149">
        <v>68</v>
      </c>
      <c r="C2149" t="s">
        <v>5212</v>
      </c>
      <c r="D2149">
        <v>0</v>
      </c>
      <c r="E2149" t="s">
        <v>12</v>
      </c>
      <c r="F2149" t="s">
        <v>5213</v>
      </c>
      <c r="G2149" s="1">
        <v>44981</v>
      </c>
    </row>
    <row r="2150" spans="1:7">
      <c r="A2150" t="s">
        <v>5214</v>
      </c>
      <c r="B2150">
        <v>77</v>
      </c>
      <c r="C2150" t="s">
        <v>5215</v>
      </c>
      <c r="D2150">
        <v>43288</v>
      </c>
      <c r="E2150" t="s">
        <v>9</v>
      </c>
      <c r="F2150" t="s">
        <v>5216</v>
      </c>
      <c r="G2150" s="1">
        <v>44939</v>
      </c>
    </row>
    <row r="2151" spans="1:7">
      <c r="A2151" t="s">
        <v>5217</v>
      </c>
      <c r="B2151">
        <v>-100</v>
      </c>
      <c r="C2151" t="s">
        <v>518</v>
      </c>
      <c r="D2151">
        <v>133247</v>
      </c>
      <c r="E2151" t="s">
        <v>27</v>
      </c>
      <c r="F2151" t="s">
        <v>5218</v>
      </c>
      <c r="G2151" s="1">
        <v>44927</v>
      </c>
    </row>
    <row r="2152" spans="1:7">
      <c r="A2152" t="s">
        <v>5219</v>
      </c>
      <c r="B2152">
        <v>73</v>
      </c>
      <c r="C2152" t="s">
        <v>5220</v>
      </c>
      <c r="D2152">
        <v>130922</v>
      </c>
      <c r="E2152" t="s">
        <v>27</v>
      </c>
      <c r="F2152" t="s">
        <v>5221</v>
      </c>
      <c r="G2152" s="1">
        <v>45125</v>
      </c>
    </row>
    <row r="2153" spans="1:7">
      <c r="A2153" t="s">
        <v>5222</v>
      </c>
      <c r="B2153">
        <v>74</v>
      </c>
      <c r="C2153" t="s">
        <v>5223</v>
      </c>
      <c r="D2153">
        <v>140957</v>
      </c>
      <c r="E2153" t="s">
        <v>9</v>
      </c>
      <c r="F2153" t="s">
        <v>5224</v>
      </c>
      <c r="G2153" s="1">
        <v>45060</v>
      </c>
    </row>
    <row r="2154" spans="1:7">
      <c r="A2154" t="s">
        <v>5225</v>
      </c>
      <c r="B2154">
        <v>20</v>
      </c>
      <c r="C2154" t="s">
        <v>5226</v>
      </c>
      <c r="D2154">
        <v>127469</v>
      </c>
      <c r="E2154" t="s">
        <v>9</v>
      </c>
      <c r="F2154" t="s">
        <v>5227</v>
      </c>
      <c r="G2154" s="1">
        <v>44952</v>
      </c>
    </row>
    <row r="2155" spans="1:7">
      <c r="A2155" t="s">
        <v>5228</v>
      </c>
      <c r="B2155">
        <v>150</v>
      </c>
      <c r="C2155" t="s">
        <v>115</v>
      </c>
      <c r="D2155">
        <v>124699</v>
      </c>
      <c r="E2155" t="s">
        <v>9</v>
      </c>
      <c r="F2155" t="s">
        <v>5229</v>
      </c>
      <c r="G2155" s="1">
        <v>45007</v>
      </c>
    </row>
    <row r="2156" spans="1:7">
      <c r="A2156" t="s">
        <v>5230</v>
      </c>
      <c r="B2156">
        <v>28</v>
      </c>
      <c r="C2156" t="s">
        <v>5231</v>
      </c>
      <c r="D2156">
        <v>68346</v>
      </c>
      <c r="E2156" t="s">
        <v>873</v>
      </c>
      <c r="F2156" t="s">
        <v>5232</v>
      </c>
      <c r="G2156" s="1">
        <v>45046</v>
      </c>
    </row>
    <row r="2157" spans="1:7">
      <c r="A2157" t="s">
        <v>5233</v>
      </c>
      <c r="B2157">
        <v>64</v>
      </c>
      <c r="C2157" t="s">
        <v>5234</v>
      </c>
      <c r="D2157">
        <v>50176</v>
      </c>
      <c r="E2157" t="s">
        <v>12</v>
      </c>
      <c r="F2157" t="s">
        <v>5235</v>
      </c>
      <c r="G2157" s="1">
        <v>45009</v>
      </c>
    </row>
    <row r="2158" spans="1:7">
      <c r="A2158" t="s">
        <v>5236</v>
      </c>
      <c r="B2158">
        <v>59</v>
      </c>
      <c r="C2158" t="s">
        <v>5237</v>
      </c>
      <c r="D2158">
        <v>69255</v>
      </c>
      <c r="E2158" t="s">
        <v>9</v>
      </c>
      <c r="F2158" t="s">
        <v>5238</v>
      </c>
      <c r="G2158" s="1">
        <v>45036</v>
      </c>
    </row>
    <row r="2159" spans="1:7">
      <c r="A2159" t="s">
        <v>5239</v>
      </c>
      <c r="B2159">
        <v>25</v>
      </c>
      <c r="C2159" t="s">
        <v>5240</v>
      </c>
      <c r="D2159">
        <v>38876</v>
      </c>
      <c r="E2159" t="s">
        <v>9</v>
      </c>
      <c r="F2159">
        <v>5612746621</v>
      </c>
      <c r="G2159" s="1">
        <v>45256</v>
      </c>
    </row>
    <row r="2160" spans="1:7">
      <c r="A2160" t="s">
        <v>5241</v>
      </c>
      <c r="B2160">
        <v>22</v>
      </c>
      <c r="D2160">
        <v>136311</v>
      </c>
      <c r="E2160" t="s">
        <v>27</v>
      </c>
      <c r="F2160" t="s">
        <v>5242</v>
      </c>
      <c r="G2160" s="1">
        <v>45076</v>
      </c>
    </row>
    <row r="2161" spans="1:7">
      <c r="A2161" t="s">
        <v>1802</v>
      </c>
      <c r="B2161">
        <v>46</v>
      </c>
      <c r="C2161" t="s">
        <v>5243</v>
      </c>
      <c r="D2161">
        <v>137041</v>
      </c>
      <c r="E2161" t="s">
        <v>12</v>
      </c>
      <c r="F2161">
        <f>1-157-840-3160</f>
        <v>-4156</v>
      </c>
      <c r="G2161" s="1">
        <v>44940</v>
      </c>
    </row>
    <row r="2162" spans="1:7">
      <c r="A2162" t="s">
        <v>5244</v>
      </c>
      <c r="B2162">
        <v>50</v>
      </c>
      <c r="C2162" t="s">
        <v>5245</v>
      </c>
      <c r="D2162">
        <v>87836</v>
      </c>
      <c r="E2162" t="s">
        <v>36</v>
      </c>
      <c r="F2162" t="s">
        <v>5246</v>
      </c>
      <c r="G2162" s="1">
        <v>44972</v>
      </c>
    </row>
    <row r="2163" spans="1:7">
      <c r="A2163" t="s">
        <v>5247</v>
      </c>
      <c r="B2163">
        <v>74</v>
      </c>
      <c r="C2163" t="s">
        <v>478</v>
      </c>
      <c r="D2163">
        <v>113848</v>
      </c>
      <c r="E2163" t="s">
        <v>9</v>
      </c>
      <c r="F2163" t="s">
        <v>5248</v>
      </c>
      <c r="G2163" s="1">
        <v>45276</v>
      </c>
    </row>
    <row r="2164" spans="1:7">
      <c r="A2164" t="s">
        <v>5249</v>
      </c>
      <c r="B2164">
        <v>46</v>
      </c>
      <c r="D2164">
        <v>-20000</v>
      </c>
      <c r="E2164" t="s">
        <v>36</v>
      </c>
      <c r="F2164">
        <v>9727885096</v>
      </c>
      <c r="G2164" s="1">
        <v>45212</v>
      </c>
    </row>
    <row r="2165" spans="1:7">
      <c r="A2165" t="s">
        <v>5250</v>
      </c>
      <c r="B2165">
        <v>57</v>
      </c>
      <c r="C2165" t="s">
        <v>5251</v>
      </c>
      <c r="D2165">
        <v>-1000</v>
      </c>
      <c r="E2165" t="s">
        <v>27</v>
      </c>
      <c r="F2165" t="s">
        <v>5252</v>
      </c>
      <c r="G2165" t="s">
        <v>3963</v>
      </c>
    </row>
    <row r="2166" spans="1:7">
      <c r="A2166" t="s">
        <v>5253</v>
      </c>
      <c r="C2166" t="s">
        <v>5254</v>
      </c>
      <c r="D2166">
        <v>45449</v>
      </c>
      <c r="E2166" t="s">
        <v>12</v>
      </c>
      <c r="F2166" t="s">
        <v>5255</v>
      </c>
      <c r="G2166" s="1">
        <v>44981</v>
      </c>
    </row>
    <row r="2167" spans="1:7">
      <c r="A2167" t="s">
        <v>5256</v>
      </c>
      <c r="B2167">
        <v>46</v>
      </c>
      <c r="C2167" t="s">
        <v>5257</v>
      </c>
      <c r="E2167" t="s">
        <v>36</v>
      </c>
      <c r="F2167" t="s">
        <v>5258</v>
      </c>
      <c r="G2167" s="1">
        <v>44941</v>
      </c>
    </row>
    <row r="2168" spans="1:7">
      <c r="A2168" t="s">
        <v>5259</v>
      </c>
      <c r="B2168">
        <v>18</v>
      </c>
      <c r="C2168" t="s">
        <v>5260</v>
      </c>
      <c r="D2168">
        <v>71153</v>
      </c>
      <c r="E2168" t="s">
        <v>9</v>
      </c>
      <c r="F2168" t="s">
        <v>5261</v>
      </c>
      <c r="G2168" s="1">
        <v>45135</v>
      </c>
    </row>
    <row r="2169" spans="1:7">
      <c r="A2169" t="s">
        <v>5262</v>
      </c>
      <c r="B2169">
        <v>77</v>
      </c>
      <c r="C2169" t="s">
        <v>5263</v>
      </c>
      <c r="D2169">
        <v>189484</v>
      </c>
      <c r="E2169" t="s">
        <v>27</v>
      </c>
      <c r="F2169" t="s">
        <v>5264</v>
      </c>
      <c r="G2169" s="1">
        <v>45122</v>
      </c>
    </row>
    <row r="2170" spans="1:7">
      <c r="A2170" t="s">
        <v>5265</v>
      </c>
      <c r="B2170">
        <v>18</v>
      </c>
      <c r="C2170" t="s">
        <v>5266</v>
      </c>
      <c r="D2170">
        <v>59086</v>
      </c>
      <c r="E2170" t="s">
        <v>9</v>
      </c>
      <c r="F2170">
        <f>1-676-688-9715</f>
        <v>-11078</v>
      </c>
      <c r="G2170" t="s">
        <v>301</v>
      </c>
    </row>
    <row r="2171" spans="1:7">
      <c r="A2171" t="s">
        <v>661</v>
      </c>
      <c r="B2171">
        <v>20</v>
      </c>
      <c r="C2171" t="s">
        <v>5267</v>
      </c>
      <c r="D2171">
        <v>68405</v>
      </c>
      <c r="E2171" t="s">
        <v>9</v>
      </c>
      <c r="F2171" t="s">
        <v>5268</v>
      </c>
      <c r="G2171" s="1">
        <v>45183</v>
      </c>
    </row>
    <row r="2172" spans="1:7">
      <c r="A2172" t="s">
        <v>5269</v>
      </c>
      <c r="B2172">
        <v>200</v>
      </c>
      <c r="C2172" t="s">
        <v>5270</v>
      </c>
      <c r="D2172">
        <v>54099</v>
      </c>
      <c r="E2172" t="s">
        <v>36</v>
      </c>
      <c r="F2172" t="s">
        <v>5271</v>
      </c>
      <c r="G2172" s="1">
        <v>44998</v>
      </c>
    </row>
    <row r="2173" spans="1:7">
      <c r="A2173" t="s">
        <v>5272</v>
      </c>
      <c r="B2173">
        <v>29</v>
      </c>
      <c r="C2173" t="s">
        <v>5273</v>
      </c>
      <c r="D2173">
        <v>121128</v>
      </c>
      <c r="E2173" t="s">
        <v>12</v>
      </c>
      <c r="F2173">
        <v>6139905102</v>
      </c>
      <c r="G2173" s="1">
        <v>45240</v>
      </c>
    </row>
    <row r="2174" spans="1:7">
      <c r="A2174" t="s">
        <v>5274</v>
      </c>
      <c r="B2174">
        <v>20</v>
      </c>
      <c r="C2174" t="s">
        <v>5275</v>
      </c>
      <c r="E2174" t="s">
        <v>36</v>
      </c>
      <c r="F2174">
        <v>2524540068</v>
      </c>
      <c r="G2174" s="1">
        <v>45059</v>
      </c>
    </row>
    <row r="2175" spans="1:7">
      <c r="A2175" t="s">
        <v>5276</v>
      </c>
      <c r="B2175">
        <v>70</v>
      </c>
      <c r="D2175">
        <v>72818</v>
      </c>
      <c r="E2175" t="s">
        <v>12</v>
      </c>
      <c r="F2175" t="s">
        <v>5277</v>
      </c>
      <c r="G2175" s="1">
        <v>45265</v>
      </c>
    </row>
    <row r="2176" spans="1:7">
      <c r="A2176" t="s">
        <v>5278</v>
      </c>
      <c r="B2176">
        <v>64</v>
      </c>
      <c r="C2176" t="s">
        <v>5279</v>
      </c>
      <c r="D2176">
        <v>99300</v>
      </c>
      <c r="E2176" t="s">
        <v>12</v>
      </c>
      <c r="F2176" t="s">
        <v>5280</v>
      </c>
      <c r="G2176" s="1">
        <v>45286</v>
      </c>
    </row>
    <row r="2177" spans="1:7">
      <c r="A2177" t="s">
        <v>5281</v>
      </c>
      <c r="B2177">
        <v>45</v>
      </c>
      <c r="C2177" t="s">
        <v>5282</v>
      </c>
      <c r="D2177">
        <v>115657</v>
      </c>
      <c r="E2177" t="s">
        <v>36</v>
      </c>
      <c r="G2177" s="1">
        <v>45007</v>
      </c>
    </row>
    <row r="2178" spans="1:7">
      <c r="A2178" t="s">
        <v>5283</v>
      </c>
      <c r="B2178">
        <v>-100</v>
      </c>
      <c r="C2178" t="s">
        <v>5284</v>
      </c>
      <c r="D2178">
        <v>117178</v>
      </c>
      <c r="E2178" t="s">
        <v>27</v>
      </c>
      <c r="F2178">
        <f>1-252-687-1083</f>
        <v>-2021</v>
      </c>
      <c r="G2178" s="1">
        <v>45126</v>
      </c>
    </row>
    <row r="2179" spans="1:7">
      <c r="A2179" t="s">
        <v>5285</v>
      </c>
      <c r="B2179">
        <v>36</v>
      </c>
      <c r="C2179" t="s">
        <v>5286</v>
      </c>
      <c r="D2179">
        <v>185423</v>
      </c>
      <c r="E2179" t="s">
        <v>36</v>
      </c>
      <c r="F2179">
        <f>1-973-962-8675</f>
        <v>-10609</v>
      </c>
      <c r="G2179" s="1">
        <v>45088</v>
      </c>
    </row>
    <row r="2180" spans="1:7">
      <c r="A2180" t="s">
        <v>5287</v>
      </c>
      <c r="B2180">
        <v>31</v>
      </c>
      <c r="C2180" t="s">
        <v>5288</v>
      </c>
      <c r="D2180">
        <v>177032</v>
      </c>
      <c r="E2180" t="s">
        <v>12</v>
      </c>
      <c r="F2180" t="s">
        <v>5289</v>
      </c>
      <c r="G2180" s="1">
        <v>45244</v>
      </c>
    </row>
    <row r="2181" spans="1:7">
      <c r="A2181" t="s">
        <v>5290</v>
      </c>
      <c r="B2181">
        <v>67</v>
      </c>
      <c r="C2181" t="s">
        <v>5291</v>
      </c>
      <c r="D2181">
        <v>187699</v>
      </c>
      <c r="E2181" t="s">
        <v>27</v>
      </c>
      <c r="F2181" t="s">
        <v>5292</v>
      </c>
      <c r="G2181" s="1">
        <v>45014</v>
      </c>
    </row>
    <row r="2182" spans="1:7">
      <c r="A2182" t="s">
        <v>5293</v>
      </c>
      <c r="B2182">
        <v>56</v>
      </c>
      <c r="C2182" t="s">
        <v>5294</v>
      </c>
      <c r="E2182" t="s">
        <v>27</v>
      </c>
      <c r="F2182" t="s">
        <v>5295</v>
      </c>
      <c r="G2182" s="1">
        <v>45248</v>
      </c>
    </row>
    <row r="2183" spans="1:7">
      <c r="A2183" t="s">
        <v>5296</v>
      </c>
      <c r="C2183" t="s">
        <v>169</v>
      </c>
      <c r="E2183" t="s">
        <v>27</v>
      </c>
      <c r="F2183" t="s">
        <v>5297</v>
      </c>
      <c r="G2183" s="1">
        <v>45258</v>
      </c>
    </row>
    <row r="2184" spans="1:7">
      <c r="A2184" t="s">
        <v>5298</v>
      </c>
      <c r="B2184">
        <v>44</v>
      </c>
      <c r="C2184" t="s">
        <v>5299</v>
      </c>
      <c r="D2184">
        <v>76389</v>
      </c>
      <c r="E2184" t="s">
        <v>12</v>
      </c>
      <c r="F2184" t="s">
        <v>5300</v>
      </c>
      <c r="G2184" s="1">
        <v>45240</v>
      </c>
    </row>
    <row r="2185" spans="1:7">
      <c r="A2185" t="s">
        <v>5301</v>
      </c>
      <c r="B2185">
        <v>180</v>
      </c>
      <c r="C2185" t="s">
        <v>5302</v>
      </c>
      <c r="D2185">
        <v>31537</v>
      </c>
      <c r="E2185" t="s">
        <v>27</v>
      </c>
      <c r="F2185">
        <f>1-855-338-8214</f>
        <v>-9406</v>
      </c>
      <c r="G2185" s="1">
        <v>44927</v>
      </c>
    </row>
    <row r="2186" spans="1:7">
      <c r="A2186" t="s">
        <v>5303</v>
      </c>
      <c r="B2186">
        <v>51</v>
      </c>
      <c r="C2186" t="s">
        <v>5304</v>
      </c>
      <c r="D2186">
        <v>86022</v>
      </c>
      <c r="E2186" t="s">
        <v>36</v>
      </c>
      <c r="F2186">
        <v>9524331050</v>
      </c>
      <c r="G2186" s="1">
        <v>45051</v>
      </c>
    </row>
    <row r="2187" spans="1:7">
      <c r="A2187" t="s">
        <v>5305</v>
      </c>
      <c r="B2187">
        <v>53</v>
      </c>
      <c r="C2187" t="s">
        <v>5306</v>
      </c>
      <c r="D2187">
        <v>157101</v>
      </c>
      <c r="E2187" t="s">
        <v>36</v>
      </c>
      <c r="F2187">
        <f>1-231-411-2944</f>
        <v>-3585</v>
      </c>
      <c r="G2187" s="1">
        <v>44938</v>
      </c>
    </row>
    <row r="2188" spans="1:7">
      <c r="A2188" t="s">
        <v>5307</v>
      </c>
      <c r="B2188">
        <v>77</v>
      </c>
      <c r="C2188" t="s">
        <v>5308</v>
      </c>
      <c r="D2188">
        <v>35730</v>
      </c>
      <c r="E2188" t="s">
        <v>9</v>
      </c>
      <c r="F2188" t="s">
        <v>5309</v>
      </c>
      <c r="G2188" s="1">
        <v>44991</v>
      </c>
    </row>
    <row r="2189" spans="1:7">
      <c r="A2189" t="s">
        <v>5310</v>
      </c>
      <c r="B2189">
        <v>73</v>
      </c>
      <c r="D2189">
        <v>122172</v>
      </c>
      <c r="E2189" t="s">
        <v>27</v>
      </c>
      <c r="F2189" t="s">
        <v>5311</v>
      </c>
      <c r="G2189" s="1">
        <v>45037</v>
      </c>
    </row>
    <row r="2190" spans="1:7">
      <c r="A2190" t="s">
        <v>5312</v>
      </c>
      <c r="B2190">
        <v>47</v>
      </c>
      <c r="C2190" t="s">
        <v>5313</v>
      </c>
      <c r="D2190">
        <v>119312</v>
      </c>
      <c r="E2190" t="s">
        <v>9</v>
      </c>
      <c r="F2190" t="s">
        <v>5314</v>
      </c>
      <c r="G2190" s="1">
        <v>44930</v>
      </c>
    </row>
    <row r="2191" spans="1:7">
      <c r="A2191" t="s">
        <v>5315</v>
      </c>
      <c r="C2191" t="s">
        <v>5316</v>
      </c>
      <c r="E2191" t="s">
        <v>27</v>
      </c>
      <c r="F2191" t="s">
        <v>5317</v>
      </c>
      <c r="G2191" s="1">
        <v>45092</v>
      </c>
    </row>
    <row r="2192" spans="1:7">
      <c r="A2192" t="s">
        <v>5318</v>
      </c>
      <c r="B2192">
        <v>42</v>
      </c>
      <c r="C2192" t="s">
        <v>5319</v>
      </c>
      <c r="D2192">
        <v>86759</v>
      </c>
      <c r="E2192" t="s">
        <v>36</v>
      </c>
      <c r="F2192" t="s">
        <v>5320</v>
      </c>
      <c r="G2192" s="1">
        <v>44929</v>
      </c>
    </row>
    <row r="2193" spans="1:7">
      <c r="A2193" t="s">
        <v>5321</v>
      </c>
      <c r="B2193">
        <v>57</v>
      </c>
      <c r="C2193" t="s">
        <v>5322</v>
      </c>
      <c r="D2193">
        <v>171458</v>
      </c>
      <c r="E2193" t="s">
        <v>12</v>
      </c>
      <c r="F2193">
        <f>1-284-651-4797</f>
        <v>-5731</v>
      </c>
      <c r="G2193" s="1">
        <v>45181</v>
      </c>
    </row>
    <row r="2194" spans="1:7">
      <c r="A2194" t="s">
        <v>5323</v>
      </c>
      <c r="B2194">
        <v>57</v>
      </c>
      <c r="C2194" t="s">
        <v>5324</v>
      </c>
      <c r="D2194">
        <v>162233</v>
      </c>
      <c r="E2194" t="s">
        <v>27</v>
      </c>
      <c r="F2194" t="s">
        <v>5325</v>
      </c>
      <c r="G2194" s="1">
        <v>45243</v>
      </c>
    </row>
    <row r="2195" spans="1:7">
      <c r="A2195" t="s">
        <v>5326</v>
      </c>
      <c r="C2195" t="s">
        <v>5327</v>
      </c>
      <c r="D2195">
        <v>70863</v>
      </c>
      <c r="E2195" t="s">
        <v>36</v>
      </c>
      <c r="F2195" t="s">
        <v>5328</v>
      </c>
      <c r="G2195" s="1">
        <v>45165</v>
      </c>
    </row>
    <row r="2196" spans="1:7">
      <c r="A2196" t="s">
        <v>5329</v>
      </c>
      <c r="B2196">
        <v>20</v>
      </c>
      <c r="C2196" t="s">
        <v>5330</v>
      </c>
      <c r="D2196">
        <v>66833</v>
      </c>
      <c r="E2196" t="s">
        <v>9</v>
      </c>
      <c r="F2196">
        <f>1-471-515-9132</f>
        <v>-10117</v>
      </c>
      <c r="G2196" s="1">
        <v>44997</v>
      </c>
    </row>
    <row r="2197" spans="1:7">
      <c r="A2197" t="s">
        <v>5331</v>
      </c>
      <c r="B2197">
        <v>41</v>
      </c>
      <c r="C2197" t="s">
        <v>5332</v>
      </c>
      <c r="D2197">
        <v>142911</v>
      </c>
      <c r="E2197" t="s">
        <v>36</v>
      </c>
      <c r="F2197" t="s">
        <v>5333</v>
      </c>
      <c r="G2197" s="1">
        <v>45227</v>
      </c>
    </row>
    <row r="2198" spans="1:7">
      <c r="A2198" t="s">
        <v>5334</v>
      </c>
      <c r="B2198">
        <v>54</v>
      </c>
      <c r="C2198" t="s">
        <v>5335</v>
      </c>
      <c r="D2198">
        <v>73939</v>
      </c>
      <c r="E2198" t="s">
        <v>36</v>
      </c>
      <c r="F2198" t="s">
        <v>5336</v>
      </c>
      <c r="G2198" s="1">
        <v>44936</v>
      </c>
    </row>
    <row r="2199" spans="1:7">
      <c r="A2199" t="s">
        <v>5337</v>
      </c>
      <c r="B2199">
        <v>36</v>
      </c>
      <c r="D2199">
        <v>136080</v>
      </c>
      <c r="E2199" t="s">
        <v>27</v>
      </c>
      <c r="F2199" t="s">
        <v>5338</v>
      </c>
      <c r="G2199" s="1">
        <v>45226</v>
      </c>
    </row>
    <row r="2200" spans="1:7">
      <c r="A2200" t="s">
        <v>5339</v>
      </c>
      <c r="B2200">
        <v>27</v>
      </c>
      <c r="C2200" t="s">
        <v>5340</v>
      </c>
      <c r="D2200">
        <v>144879</v>
      </c>
      <c r="E2200" t="s">
        <v>12</v>
      </c>
      <c r="F2200" t="s">
        <v>5341</v>
      </c>
      <c r="G2200" s="1">
        <v>45129</v>
      </c>
    </row>
    <row r="2201" spans="1:7">
      <c r="A2201" t="s">
        <v>2235</v>
      </c>
      <c r="B2201">
        <v>28</v>
      </c>
      <c r="C2201" t="s">
        <v>5342</v>
      </c>
      <c r="D2201">
        <v>140130</v>
      </c>
      <c r="E2201" t="s">
        <v>12</v>
      </c>
      <c r="F2201">
        <f>1-158-464-6410</f>
        <v>-7031</v>
      </c>
      <c r="G2201" s="1">
        <v>45283</v>
      </c>
    </row>
    <row r="2202" spans="1:7">
      <c r="A2202" t="s">
        <v>5343</v>
      </c>
      <c r="B2202">
        <v>-1</v>
      </c>
      <c r="C2202" t="s">
        <v>5344</v>
      </c>
      <c r="D2202">
        <v>183263</v>
      </c>
      <c r="E2202" t="s">
        <v>12</v>
      </c>
      <c r="F2202">
        <f>1-350-895-7678</f>
        <v>-8922</v>
      </c>
      <c r="G2202" s="1">
        <v>45212</v>
      </c>
    </row>
    <row r="2203" spans="1:7">
      <c r="A2203" t="s">
        <v>5345</v>
      </c>
      <c r="B2203">
        <v>23</v>
      </c>
      <c r="C2203" t="s">
        <v>5346</v>
      </c>
      <c r="D2203">
        <v>102827</v>
      </c>
      <c r="E2203" t="s">
        <v>12</v>
      </c>
      <c r="F2203" t="s">
        <v>5347</v>
      </c>
      <c r="G2203" s="1">
        <v>45269</v>
      </c>
    </row>
    <row r="2204" spans="1:7">
      <c r="A2204" t="s">
        <v>5348</v>
      </c>
      <c r="B2204">
        <v>61</v>
      </c>
      <c r="C2204" t="s">
        <v>5349</v>
      </c>
      <c r="E2204" t="s">
        <v>27</v>
      </c>
      <c r="G2204" s="1">
        <v>45204</v>
      </c>
    </row>
    <row r="2205" spans="1:7">
      <c r="A2205" t="s">
        <v>5350</v>
      </c>
      <c r="B2205">
        <v>40</v>
      </c>
      <c r="C2205" t="s">
        <v>5351</v>
      </c>
      <c r="D2205">
        <v>43050</v>
      </c>
      <c r="E2205" t="s">
        <v>12</v>
      </c>
      <c r="F2205" t="s">
        <v>5352</v>
      </c>
      <c r="G2205" s="1">
        <v>45126</v>
      </c>
    </row>
    <row r="2206" spans="1:7">
      <c r="B2206">
        <v>74</v>
      </c>
      <c r="C2206" t="s">
        <v>5353</v>
      </c>
      <c r="D2206">
        <v>156083</v>
      </c>
      <c r="E2206" t="s">
        <v>12</v>
      </c>
      <c r="F2206" t="s">
        <v>5354</v>
      </c>
    </row>
    <row r="2207" spans="1:7">
      <c r="A2207" t="s">
        <v>5355</v>
      </c>
      <c r="B2207">
        <v>64</v>
      </c>
      <c r="C2207" t="s">
        <v>5356</v>
      </c>
      <c r="D2207">
        <v>132166</v>
      </c>
      <c r="E2207" t="s">
        <v>9</v>
      </c>
      <c r="F2207" t="s">
        <v>5357</v>
      </c>
      <c r="G2207" s="1">
        <v>44976</v>
      </c>
    </row>
    <row r="2208" spans="1:7">
      <c r="A2208" t="s">
        <v>5358</v>
      </c>
      <c r="B2208">
        <v>38</v>
      </c>
      <c r="D2208">
        <v>30159</v>
      </c>
      <c r="E2208" t="s">
        <v>9</v>
      </c>
      <c r="F2208" t="s">
        <v>5359</v>
      </c>
      <c r="G2208" s="1">
        <v>44996</v>
      </c>
    </row>
    <row r="2209" spans="1:7">
      <c r="A2209" t="s">
        <v>5360</v>
      </c>
      <c r="B2209">
        <v>19</v>
      </c>
      <c r="C2209" t="s">
        <v>445</v>
      </c>
      <c r="D2209">
        <v>137561</v>
      </c>
      <c r="E2209" t="s">
        <v>9</v>
      </c>
      <c r="F2209">
        <v>3196364598</v>
      </c>
      <c r="G2209" s="1">
        <v>45127</v>
      </c>
    </row>
    <row r="2210" spans="1:7">
      <c r="A2210" t="s">
        <v>2248</v>
      </c>
      <c r="B2210">
        <v>62</v>
      </c>
      <c r="C2210" t="s">
        <v>5361</v>
      </c>
      <c r="D2210">
        <v>100268</v>
      </c>
      <c r="E2210" t="s">
        <v>27</v>
      </c>
      <c r="F2210" t="s">
        <v>5362</v>
      </c>
      <c r="G2210" t="s">
        <v>371</v>
      </c>
    </row>
    <row r="2211" spans="1:7">
      <c r="A2211" t="s">
        <v>5363</v>
      </c>
      <c r="B2211">
        <v>24</v>
      </c>
      <c r="C2211" t="s">
        <v>5364</v>
      </c>
      <c r="D2211">
        <v>74757</v>
      </c>
      <c r="E2211" t="s">
        <v>9</v>
      </c>
      <c r="F2211" t="s">
        <v>5365</v>
      </c>
      <c r="G2211" s="1">
        <v>45012</v>
      </c>
    </row>
    <row r="2212" spans="1:7">
      <c r="A2212" t="s">
        <v>5366</v>
      </c>
      <c r="B2212">
        <v>27</v>
      </c>
      <c r="C2212" t="s">
        <v>5367</v>
      </c>
      <c r="D2212">
        <v>194404</v>
      </c>
      <c r="E2212" t="s">
        <v>12</v>
      </c>
      <c r="F2212" t="s">
        <v>5368</v>
      </c>
      <c r="G2212" s="1">
        <v>45125</v>
      </c>
    </row>
    <row r="2213" spans="1:7">
      <c r="A2213" t="s">
        <v>5369</v>
      </c>
      <c r="B2213">
        <v>51</v>
      </c>
      <c r="C2213" t="s">
        <v>5370</v>
      </c>
      <c r="D2213">
        <v>58202</v>
      </c>
      <c r="E2213" t="s">
        <v>9</v>
      </c>
      <c r="G2213" s="1">
        <v>45227</v>
      </c>
    </row>
    <row r="2214" spans="1:7">
      <c r="A2214" t="s">
        <v>5371</v>
      </c>
      <c r="B2214">
        <v>37</v>
      </c>
      <c r="C2214" t="s">
        <v>518</v>
      </c>
      <c r="D2214">
        <v>136616</v>
      </c>
      <c r="E2214" t="s">
        <v>27</v>
      </c>
      <c r="F2214" t="s">
        <v>5372</v>
      </c>
      <c r="G2214" s="1">
        <v>45223</v>
      </c>
    </row>
    <row r="2215" spans="1:7">
      <c r="A2215" t="s">
        <v>5373</v>
      </c>
      <c r="B2215">
        <v>58</v>
      </c>
      <c r="C2215" t="s">
        <v>5374</v>
      </c>
      <c r="D2215">
        <v>140986</v>
      </c>
      <c r="E2215" t="s">
        <v>27</v>
      </c>
      <c r="F2215">
        <v>2173609562</v>
      </c>
      <c r="G2215" s="1">
        <v>45022</v>
      </c>
    </row>
    <row r="2216" spans="1:7">
      <c r="A2216" t="s">
        <v>4998</v>
      </c>
      <c r="B2216">
        <v>67</v>
      </c>
      <c r="C2216" t="s">
        <v>5375</v>
      </c>
      <c r="D2216">
        <v>149875</v>
      </c>
      <c r="E2216" t="s">
        <v>9</v>
      </c>
      <c r="F2216" t="s">
        <v>5376</v>
      </c>
      <c r="G2216" s="1">
        <v>45255</v>
      </c>
    </row>
    <row r="2217" spans="1:7">
      <c r="A2217" t="s">
        <v>5377</v>
      </c>
      <c r="B2217">
        <v>28</v>
      </c>
      <c r="C2217" t="s">
        <v>5378</v>
      </c>
      <c r="D2217">
        <v>52092</v>
      </c>
      <c r="E2217" t="s">
        <v>36</v>
      </c>
      <c r="F2217">
        <f>1-262-917-9413</f>
        <v>-10591</v>
      </c>
      <c r="G2217" s="1">
        <v>45023</v>
      </c>
    </row>
    <row r="2218" spans="1:7">
      <c r="A2218" t="s">
        <v>5379</v>
      </c>
      <c r="B2218">
        <v>34</v>
      </c>
      <c r="C2218" t="s">
        <v>5380</v>
      </c>
      <c r="D2218">
        <v>182225</v>
      </c>
      <c r="E2218" t="s">
        <v>27</v>
      </c>
      <c r="F2218" t="s">
        <v>5381</v>
      </c>
      <c r="G2218" s="1">
        <v>45262</v>
      </c>
    </row>
    <row r="2219" spans="1:7">
      <c r="A2219" t="s">
        <v>177</v>
      </c>
      <c r="B2219">
        <v>74</v>
      </c>
      <c r="D2219">
        <v>84219</v>
      </c>
      <c r="E2219" t="s">
        <v>27</v>
      </c>
      <c r="F2219">
        <v>5830513583</v>
      </c>
      <c r="G2219" s="1">
        <v>45154</v>
      </c>
    </row>
    <row r="2220" spans="1:7">
      <c r="A2220" t="s">
        <v>5382</v>
      </c>
      <c r="B2220">
        <v>67</v>
      </c>
      <c r="D2220">
        <v>90410</v>
      </c>
      <c r="E2220" t="s">
        <v>12</v>
      </c>
      <c r="G2220" s="1">
        <v>45177</v>
      </c>
    </row>
    <row r="2221" spans="1:7">
      <c r="A2221" t="s">
        <v>5383</v>
      </c>
      <c r="B2221">
        <v>25</v>
      </c>
      <c r="C2221" t="s">
        <v>5384</v>
      </c>
      <c r="D2221">
        <v>73617</v>
      </c>
      <c r="E2221" t="s">
        <v>36</v>
      </c>
      <c r="F2221">
        <v>6422260735</v>
      </c>
      <c r="G2221" s="1">
        <v>44931</v>
      </c>
    </row>
    <row r="2222" spans="1:7">
      <c r="A2222" t="s">
        <v>5385</v>
      </c>
      <c r="B2222">
        <v>-100</v>
      </c>
      <c r="C2222" t="s">
        <v>5386</v>
      </c>
      <c r="D2222">
        <v>-20000</v>
      </c>
      <c r="E2222" t="s">
        <v>27</v>
      </c>
      <c r="F2222" t="s">
        <v>5387</v>
      </c>
      <c r="G2222" s="1">
        <v>45108</v>
      </c>
    </row>
    <row r="2223" spans="1:7">
      <c r="A2223" t="s">
        <v>2414</v>
      </c>
      <c r="B2223">
        <v>45</v>
      </c>
      <c r="C2223" t="s">
        <v>5388</v>
      </c>
      <c r="E2223" t="s">
        <v>36</v>
      </c>
      <c r="F2223" t="s">
        <v>5389</v>
      </c>
      <c r="G2223" s="1">
        <v>44962</v>
      </c>
    </row>
    <row r="2224" spans="1:7">
      <c r="A2224" t="s">
        <v>5390</v>
      </c>
      <c r="C2224" t="s">
        <v>170</v>
      </c>
      <c r="D2224">
        <v>0</v>
      </c>
      <c r="E2224" t="s">
        <v>12</v>
      </c>
      <c r="F2224">
        <v>5377523369</v>
      </c>
      <c r="G2224" s="1">
        <v>44945</v>
      </c>
    </row>
    <row r="2225" spans="1:7">
      <c r="A2225" t="s">
        <v>5391</v>
      </c>
      <c r="B2225">
        <v>53</v>
      </c>
      <c r="C2225" t="s">
        <v>5392</v>
      </c>
      <c r="D2225">
        <v>143499</v>
      </c>
      <c r="E2225" t="s">
        <v>36</v>
      </c>
      <c r="F2225" t="s">
        <v>5393</v>
      </c>
      <c r="G2225" s="1">
        <v>45183</v>
      </c>
    </row>
    <row r="2226" spans="1:7">
      <c r="A2226" t="s">
        <v>5394</v>
      </c>
      <c r="B2226">
        <v>64</v>
      </c>
      <c r="D2226">
        <v>76335</v>
      </c>
      <c r="E2226" t="s">
        <v>9</v>
      </c>
      <c r="F2226" t="s">
        <v>5395</v>
      </c>
      <c r="G2226" s="1">
        <v>45106</v>
      </c>
    </row>
    <row r="2227" spans="1:7">
      <c r="A2227" t="s">
        <v>5396</v>
      </c>
      <c r="B2227">
        <v>35</v>
      </c>
      <c r="C2227" t="s">
        <v>5397</v>
      </c>
      <c r="D2227">
        <v>120879</v>
      </c>
      <c r="E2227" t="s">
        <v>12</v>
      </c>
      <c r="F2227" t="s">
        <v>5398</v>
      </c>
      <c r="G2227" s="1">
        <v>44998</v>
      </c>
    </row>
    <row r="2228" spans="1:7">
      <c r="A2228" t="s">
        <v>5399</v>
      </c>
      <c r="B2228">
        <v>64</v>
      </c>
      <c r="C2228" t="s">
        <v>5400</v>
      </c>
      <c r="D2228">
        <v>178279</v>
      </c>
      <c r="E2228" t="s">
        <v>27</v>
      </c>
      <c r="F2228" t="s">
        <v>5401</v>
      </c>
      <c r="G2228" s="1">
        <v>45244</v>
      </c>
    </row>
    <row r="2229" spans="1:7">
      <c r="A2229" t="s">
        <v>5402</v>
      </c>
      <c r="B2229">
        <v>37</v>
      </c>
      <c r="C2229" t="s">
        <v>5403</v>
      </c>
      <c r="D2229">
        <v>88692</v>
      </c>
      <c r="E2229" t="s">
        <v>12</v>
      </c>
      <c r="F2229" t="s">
        <v>5404</v>
      </c>
      <c r="G2229" s="1">
        <v>45192</v>
      </c>
    </row>
    <row r="2230" spans="1:7">
      <c r="A2230" t="s">
        <v>1557</v>
      </c>
      <c r="B2230">
        <v>56</v>
      </c>
      <c r="C2230" t="s">
        <v>5405</v>
      </c>
      <c r="D2230">
        <v>146582</v>
      </c>
      <c r="E2230" t="s">
        <v>27</v>
      </c>
      <c r="F2230">
        <f>1-222-893-2163</f>
        <v>-3277</v>
      </c>
      <c r="G2230" s="1">
        <v>45248</v>
      </c>
    </row>
    <row r="2231" spans="1:7">
      <c r="A2231" t="s">
        <v>5406</v>
      </c>
      <c r="B2231">
        <v>44</v>
      </c>
      <c r="C2231" t="s">
        <v>5407</v>
      </c>
      <c r="D2231">
        <v>144589</v>
      </c>
      <c r="E2231" t="s">
        <v>9</v>
      </c>
      <c r="F2231">
        <v>3771686437</v>
      </c>
      <c r="G2231" s="1">
        <v>44992</v>
      </c>
    </row>
    <row r="2232" spans="1:7">
      <c r="A2232" t="s">
        <v>5408</v>
      </c>
      <c r="B2232">
        <v>74</v>
      </c>
      <c r="C2232" t="s">
        <v>5409</v>
      </c>
      <c r="D2232">
        <v>81134</v>
      </c>
      <c r="E2232" t="s">
        <v>27</v>
      </c>
      <c r="F2232" t="s">
        <v>5410</v>
      </c>
      <c r="G2232" t="s">
        <v>1459</v>
      </c>
    </row>
    <row r="2233" spans="1:7">
      <c r="A2233" t="s">
        <v>661</v>
      </c>
      <c r="B2233">
        <v>18</v>
      </c>
      <c r="C2233" t="s">
        <v>5411</v>
      </c>
      <c r="D2233">
        <v>97391</v>
      </c>
      <c r="E2233" t="s">
        <v>27</v>
      </c>
      <c r="F2233" t="s">
        <v>5412</v>
      </c>
      <c r="G2233" s="1">
        <v>45039</v>
      </c>
    </row>
    <row r="2234" spans="1:7">
      <c r="A2234" t="s">
        <v>5413</v>
      </c>
      <c r="C2234" t="s">
        <v>5414</v>
      </c>
      <c r="D2234">
        <v>114361</v>
      </c>
      <c r="E2234" t="s">
        <v>12</v>
      </c>
      <c r="F2234" t="s">
        <v>5415</v>
      </c>
      <c r="G2234" s="1">
        <v>44988</v>
      </c>
    </row>
    <row r="2235" spans="1:7">
      <c r="A2235" t="s">
        <v>5416</v>
      </c>
      <c r="B2235">
        <v>69</v>
      </c>
      <c r="C2235" t="s">
        <v>5417</v>
      </c>
      <c r="D2235">
        <v>149238</v>
      </c>
      <c r="E2235" t="s">
        <v>36</v>
      </c>
      <c r="F2235">
        <v>5051895109</v>
      </c>
      <c r="G2235" s="1">
        <v>44999</v>
      </c>
    </row>
    <row r="2236" spans="1:7">
      <c r="B2236">
        <v>130</v>
      </c>
      <c r="C2236" t="s">
        <v>5418</v>
      </c>
      <c r="D2236">
        <v>51602</v>
      </c>
      <c r="E2236" t="s">
        <v>9</v>
      </c>
      <c r="F2236" t="s">
        <v>5419</v>
      </c>
      <c r="G2236" s="1">
        <v>44968</v>
      </c>
    </row>
    <row r="2237" spans="1:7">
      <c r="A2237" t="s">
        <v>5420</v>
      </c>
      <c r="B2237">
        <v>38</v>
      </c>
      <c r="C2237" t="s">
        <v>5421</v>
      </c>
      <c r="D2237">
        <v>123474</v>
      </c>
      <c r="E2237" t="s">
        <v>27</v>
      </c>
      <c r="F2237" t="s">
        <v>5422</v>
      </c>
      <c r="G2237" s="1">
        <v>45027</v>
      </c>
    </row>
    <row r="2238" spans="1:7">
      <c r="A2238" t="s">
        <v>5423</v>
      </c>
      <c r="B2238">
        <v>51</v>
      </c>
      <c r="C2238" t="s">
        <v>5424</v>
      </c>
      <c r="D2238">
        <v>75833</v>
      </c>
      <c r="E2238" t="s">
        <v>27</v>
      </c>
      <c r="F2238">
        <f>1-716-490-2516</f>
        <v>-3721</v>
      </c>
      <c r="G2238" s="1">
        <v>45188</v>
      </c>
    </row>
    <row r="2239" spans="1:7">
      <c r="A2239" t="s">
        <v>2719</v>
      </c>
      <c r="B2239">
        <v>22</v>
      </c>
      <c r="C2239" t="s">
        <v>5425</v>
      </c>
      <c r="E2239" t="s">
        <v>27</v>
      </c>
      <c r="F2239" t="s">
        <v>5426</v>
      </c>
      <c r="G2239" s="1">
        <v>45064</v>
      </c>
    </row>
    <row r="2240" spans="1:7">
      <c r="A2240" t="s">
        <v>5427</v>
      </c>
      <c r="B2240">
        <v>40</v>
      </c>
      <c r="C2240" t="s">
        <v>5428</v>
      </c>
      <c r="D2240">
        <v>181723</v>
      </c>
      <c r="E2240" t="s">
        <v>36</v>
      </c>
      <c r="F2240" t="s">
        <v>5429</v>
      </c>
      <c r="G2240" s="1">
        <v>45245</v>
      </c>
    </row>
    <row r="2241" spans="1:7">
      <c r="A2241" t="s">
        <v>5430</v>
      </c>
      <c r="B2241">
        <v>64</v>
      </c>
      <c r="C2241" t="s">
        <v>5431</v>
      </c>
      <c r="D2241">
        <v>74755</v>
      </c>
      <c r="E2241" t="s">
        <v>36</v>
      </c>
      <c r="F2241">
        <f>1-242-935-4372</f>
        <v>-5548</v>
      </c>
      <c r="G2241" s="1">
        <v>45004</v>
      </c>
    </row>
    <row r="2242" spans="1:7">
      <c r="A2242" t="s">
        <v>5432</v>
      </c>
      <c r="B2242">
        <v>35</v>
      </c>
      <c r="C2242" t="s">
        <v>5433</v>
      </c>
      <c r="D2242">
        <v>0</v>
      </c>
      <c r="E2242" t="s">
        <v>9</v>
      </c>
      <c r="F2242" t="s">
        <v>5434</v>
      </c>
      <c r="G2242" s="1">
        <v>45037</v>
      </c>
    </row>
    <row r="2243" spans="1:7">
      <c r="A2243" t="s">
        <v>5435</v>
      </c>
      <c r="B2243">
        <v>51</v>
      </c>
      <c r="C2243" t="s">
        <v>5436</v>
      </c>
      <c r="D2243">
        <v>185917</v>
      </c>
      <c r="E2243" t="s">
        <v>9</v>
      </c>
      <c r="F2243">
        <f>1-187-406-7606</f>
        <v>-8198</v>
      </c>
      <c r="G2243" s="1">
        <v>44936</v>
      </c>
    </row>
    <row r="2244" spans="1:7">
      <c r="A2244" t="s">
        <v>5437</v>
      </c>
      <c r="B2244">
        <v>72</v>
      </c>
      <c r="C2244" t="s">
        <v>5438</v>
      </c>
      <c r="E2244" t="s">
        <v>18</v>
      </c>
      <c r="F2244" t="s">
        <v>5439</v>
      </c>
      <c r="G2244" s="1">
        <v>44968</v>
      </c>
    </row>
    <row r="2245" spans="1:7">
      <c r="A2245" t="s">
        <v>5440</v>
      </c>
      <c r="B2245">
        <v>63</v>
      </c>
      <c r="C2245" t="s">
        <v>5441</v>
      </c>
      <c r="E2245" t="s">
        <v>90</v>
      </c>
      <c r="F2245">
        <v>7438628899</v>
      </c>
      <c r="G2245" s="1">
        <v>45117</v>
      </c>
    </row>
    <row r="2246" spans="1:7">
      <c r="A2246" t="s">
        <v>5442</v>
      </c>
      <c r="B2246">
        <v>60</v>
      </c>
      <c r="C2246" t="s">
        <v>5443</v>
      </c>
      <c r="D2246">
        <v>136511</v>
      </c>
      <c r="E2246" t="s">
        <v>9</v>
      </c>
      <c r="F2246" t="s">
        <v>5444</v>
      </c>
      <c r="G2246" s="1">
        <v>45247</v>
      </c>
    </row>
    <row r="2247" spans="1:7">
      <c r="A2247" t="s">
        <v>5445</v>
      </c>
      <c r="B2247">
        <v>62</v>
      </c>
      <c r="D2247">
        <v>143012</v>
      </c>
      <c r="E2247" t="s">
        <v>36</v>
      </c>
      <c r="F2247">
        <v>8107453070</v>
      </c>
      <c r="G2247" s="1">
        <v>45122</v>
      </c>
    </row>
    <row r="2248" spans="1:7">
      <c r="A2248" t="s">
        <v>5446</v>
      </c>
      <c r="B2248">
        <v>40</v>
      </c>
      <c r="C2248" t="s">
        <v>5447</v>
      </c>
      <c r="D2248">
        <v>196991</v>
      </c>
      <c r="E2248" t="s">
        <v>27</v>
      </c>
      <c r="F2248" t="s">
        <v>5448</v>
      </c>
      <c r="G2248" s="1">
        <v>44953</v>
      </c>
    </row>
    <row r="2249" spans="1:7">
      <c r="A2249" t="s">
        <v>5449</v>
      </c>
      <c r="B2249">
        <v>-100</v>
      </c>
      <c r="C2249" t="s">
        <v>5450</v>
      </c>
      <c r="D2249">
        <v>98111</v>
      </c>
      <c r="E2249" t="s">
        <v>12</v>
      </c>
      <c r="F2249" t="s">
        <v>5451</v>
      </c>
      <c r="G2249" s="1">
        <v>45075</v>
      </c>
    </row>
    <row r="2250" spans="1:7">
      <c r="A2250" t="s">
        <v>5452</v>
      </c>
      <c r="B2250">
        <v>29</v>
      </c>
      <c r="C2250" t="s">
        <v>5453</v>
      </c>
      <c r="D2250">
        <v>186177</v>
      </c>
      <c r="E2250" t="s">
        <v>36</v>
      </c>
      <c r="F2250">
        <v>7170940238</v>
      </c>
      <c r="G2250" s="1">
        <v>45243</v>
      </c>
    </row>
    <row r="2251" spans="1:7">
      <c r="A2251" t="s">
        <v>5454</v>
      </c>
      <c r="B2251">
        <v>66</v>
      </c>
      <c r="C2251" t="s">
        <v>5455</v>
      </c>
      <c r="E2251" t="s">
        <v>9</v>
      </c>
      <c r="F2251" t="s">
        <v>5456</v>
      </c>
      <c r="G2251" s="1">
        <v>45205</v>
      </c>
    </row>
    <row r="2252" spans="1:7">
      <c r="A2252" t="s">
        <v>5457</v>
      </c>
      <c r="B2252">
        <v>31</v>
      </c>
      <c r="D2252">
        <v>169861</v>
      </c>
      <c r="E2252" t="s">
        <v>36</v>
      </c>
      <c r="F2252">
        <v>9947713046</v>
      </c>
      <c r="G2252" s="1">
        <v>45072</v>
      </c>
    </row>
    <row r="2253" spans="1:7">
      <c r="A2253" t="s">
        <v>5458</v>
      </c>
      <c r="B2253">
        <v>55</v>
      </c>
      <c r="C2253" t="s">
        <v>5459</v>
      </c>
      <c r="D2253">
        <v>195884</v>
      </c>
      <c r="E2253" t="s">
        <v>27</v>
      </c>
      <c r="F2253" t="s">
        <v>5460</v>
      </c>
      <c r="G2253" s="1">
        <v>45214</v>
      </c>
    </row>
    <row r="2254" spans="1:7">
      <c r="A2254" t="s">
        <v>5461</v>
      </c>
      <c r="B2254">
        <v>26</v>
      </c>
      <c r="C2254" t="s">
        <v>5462</v>
      </c>
      <c r="D2254">
        <v>39277</v>
      </c>
      <c r="E2254" t="s">
        <v>9</v>
      </c>
      <c r="F2254" t="s">
        <v>5463</v>
      </c>
      <c r="G2254" s="1">
        <v>45067</v>
      </c>
    </row>
    <row r="2255" spans="1:7">
      <c r="A2255" t="s">
        <v>5464</v>
      </c>
      <c r="B2255">
        <v>35</v>
      </c>
      <c r="D2255">
        <v>146088</v>
      </c>
      <c r="E2255" t="s">
        <v>12</v>
      </c>
      <c r="F2255" t="s">
        <v>5465</v>
      </c>
      <c r="G2255" s="1">
        <v>45209</v>
      </c>
    </row>
    <row r="2256" spans="1:7">
      <c r="A2256" t="s">
        <v>5466</v>
      </c>
      <c r="B2256">
        <v>53</v>
      </c>
      <c r="C2256" t="s">
        <v>5467</v>
      </c>
      <c r="D2256">
        <v>161461</v>
      </c>
      <c r="E2256" t="s">
        <v>9</v>
      </c>
      <c r="F2256">
        <v>3884494006</v>
      </c>
      <c r="G2256" s="1">
        <v>45153</v>
      </c>
    </row>
    <row r="2257" spans="1:7">
      <c r="A2257" t="s">
        <v>5468</v>
      </c>
      <c r="B2257">
        <v>31</v>
      </c>
      <c r="D2257">
        <v>146895</v>
      </c>
      <c r="E2257" t="s">
        <v>9</v>
      </c>
      <c r="F2257" t="s">
        <v>5469</v>
      </c>
      <c r="G2257" s="1">
        <v>45146</v>
      </c>
    </row>
    <row r="2258" spans="1:7">
      <c r="A2258" t="s">
        <v>5470</v>
      </c>
      <c r="B2258">
        <v>69</v>
      </c>
      <c r="C2258" t="s">
        <v>5471</v>
      </c>
      <c r="D2258">
        <v>33317</v>
      </c>
      <c r="E2258" t="s">
        <v>36</v>
      </c>
      <c r="F2258" t="s">
        <v>5472</v>
      </c>
      <c r="G2258" s="1">
        <v>44970</v>
      </c>
    </row>
    <row r="2259" spans="1:7">
      <c r="A2259" t="s">
        <v>5473</v>
      </c>
      <c r="B2259">
        <v>75</v>
      </c>
      <c r="C2259" t="s">
        <v>5474</v>
      </c>
      <c r="D2259">
        <v>126502</v>
      </c>
      <c r="E2259" t="s">
        <v>27</v>
      </c>
      <c r="F2259">
        <f>1-980-643-9602</f>
        <v>-11224</v>
      </c>
      <c r="G2259" t="s">
        <v>1459</v>
      </c>
    </row>
    <row r="2260" spans="1:7">
      <c r="A2260" t="s">
        <v>5475</v>
      </c>
      <c r="B2260">
        <v>26</v>
      </c>
      <c r="C2260" t="s">
        <v>5476</v>
      </c>
      <c r="D2260">
        <v>-50000</v>
      </c>
      <c r="E2260" t="s">
        <v>36</v>
      </c>
      <c r="F2260" t="s">
        <v>5477</v>
      </c>
      <c r="G2260" s="1">
        <v>44959</v>
      </c>
    </row>
    <row r="2261" spans="1:7">
      <c r="A2261" t="s">
        <v>2380</v>
      </c>
      <c r="B2261">
        <v>21</v>
      </c>
      <c r="C2261" t="s">
        <v>5478</v>
      </c>
      <c r="D2261">
        <v>115024</v>
      </c>
      <c r="E2261" t="s">
        <v>27</v>
      </c>
      <c r="F2261">
        <v>7859904332</v>
      </c>
      <c r="G2261" s="1">
        <v>45223</v>
      </c>
    </row>
    <row r="2262" spans="1:7">
      <c r="A2262" t="s">
        <v>5479</v>
      </c>
      <c r="B2262">
        <v>64</v>
      </c>
      <c r="C2262" t="s">
        <v>5480</v>
      </c>
      <c r="D2262">
        <v>136975</v>
      </c>
      <c r="E2262" t="s">
        <v>27</v>
      </c>
      <c r="F2262" t="s">
        <v>5481</v>
      </c>
      <c r="G2262" s="1">
        <v>45218</v>
      </c>
    </row>
    <row r="2263" spans="1:7">
      <c r="A2263" t="s">
        <v>5482</v>
      </c>
      <c r="B2263">
        <v>70</v>
      </c>
      <c r="C2263" t="s">
        <v>5483</v>
      </c>
      <c r="D2263">
        <v>71111</v>
      </c>
      <c r="E2263" t="s">
        <v>294</v>
      </c>
      <c r="F2263">
        <v>9164319224</v>
      </c>
      <c r="G2263" s="1">
        <v>45055</v>
      </c>
    </row>
    <row r="2264" spans="1:7">
      <c r="A2264" t="s">
        <v>5484</v>
      </c>
      <c r="B2264">
        <v>33</v>
      </c>
      <c r="C2264" t="s">
        <v>5485</v>
      </c>
      <c r="D2264">
        <v>133889</v>
      </c>
      <c r="E2264" t="s">
        <v>9</v>
      </c>
      <c r="F2264">
        <f>1-790-886-6351</f>
        <v>-8026</v>
      </c>
      <c r="G2264" s="1">
        <v>45166</v>
      </c>
    </row>
    <row r="2265" spans="1:7">
      <c r="A2265" t="s">
        <v>5486</v>
      </c>
      <c r="B2265">
        <v>71</v>
      </c>
      <c r="C2265" t="s">
        <v>169</v>
      </c>
      <c r="D2265">
        <v>184062</v>
      </c>
      <c r="E2265" t="s">
        <v>12</v>
      </c>
      <c r="F2265">
        <v>3270353915</v>
      </c>
      <c r="G2265" t="s">
        <v>493</v>
      </c>
    </row>
    <row r="2266" spans="1:7">
      <c r="A2266" t="s">
        <v>5487</v>
      </c>
      <c r="B2266">
        <v>48</v>
      </c>
      <c r="C2266" t="s">
        <v>5488</v>
      </c>
      <c r="D2266">
        <v>127462</v>
      </c>
      <c r="E2266" t="s">
        <v>36</v>
      </c>
      <c r="F2266" t="s">
        <v>5489</v>
      </c>
      <c r="G2266" s="1">
        <v>44967</v>
      </c>
    </row>
    <row r="2267" spans="1:7">
      <c r="A2267" t="s">
        <v>5490</v>
      </c>
      <c r="B2267">
        <v>75</v>
      </c>
      <c r="D2267">
        <v>157402</v>
      </c>
      <c r="E2267" t="s">
        <v>27</v>
      </c>
      <c r="F2267" t="s">
        <v>5491</v>
      </c>
      <c r="G2267" s="1">
        <v>44968</v>
      </c>
    </row>
    <row r="2268" spans="1:7">
      <c r="A2268" t="s">
        <v>5492</v>
      </c>
      <c r="B2268">
        <v>58</v>
      </c>
      <c r="C2268" t="s">
        <v>5493</v>
      </c>
      <c r="D2268">
        <v>46932</v>
      </c>
      <c r="E2268" t="s">
        <v>9</v>
      </c>
      <c r="F2268">
        <v>7865275431</v>
      </c>
      <c r="G2268" s="1">
        <v>45123</v>
      </c>
    </row>
    <row r="2269" spans="1:7">
      <c r="A2269" t="s">
        <v>5494</v>
      </c>
      <c r="B2269">
        <v>31</v>
      </c>
      <c r="C2269" t="s">
        <v>445</v>
      </c>
      <c r="D2269">
        <v>137441</v>
      </c>
      <c r="E2269" t="s">
        <v>27</v>
      </c>
      <c r="F2269" t="s">
        <v>5495</v>
      </c>
      <c r="G2269" s="1">
        <v>45171</v>
      </c>
    </row>
    <row r="2270" spans="1:7">
      <c r="A2270" t="s">
        <v>5496</v>
      </c>
      <c r="B2270">
        <v>41</v>
      </c>
      <c r="C2270" t="s">
        <v>5497</v>
      </c>
      <c r="E2270" t="s">
        <v>36</v>
      </c>
      <c r="F2270" t="s">
        <v>5498</v>
      </c>
      <c r="G2270" t="s">
        <v>493</v>
      </c>
    </row>
    <row r="2271" spans="1:7">
      <c r="A2271" t="s">
        <v>5499</v>
      </c>
      <c r="B2271">
        <v>62</v>
      </c>
      <c r="C2271" t="s">
        <v>5500</v>
      </c>
      <c r="D2271">
        <v>127406</v>
      </c>
      <c r="E2271" t="s">
        <v>9</v>
      </c>
      <c r="F2271" t="s">
        <v>5501</v>
      </c>
      <c r="G2271" s="1">
        <v>45081</v>
      </c>
    </row>
    <row r="2272" spans="1:7">
      <c r="A2272" t="s">
        <v>5502</v>
      </c>
      <c r="B2272">
        <v>-50</v>
      </c>
      <c r="C2272" t="s">
        <v>5503</v>
      </c>
      <c r="D2272">
        <v>146547</v>
      </c>
      <c r="E2272" t="s">
        <v>36</v>
      </c>
      <c r="F2272">
        <v>1244313440</v>
      </c>
      <c r="G2272" s="1">
        <v>45017</v>
      </c>
    </row>
    <row r="2273" spans="1:7">
      <c r="A2273" t="s">
        <v>5504</v>
      </c>
      <c r="B2273">
        <v>22</v>
      </c>
      <c r="C2273" t="s">
        <v>5505</v>
      </c>
      <c r="D2273">
        <v>138946</v>
      </c>
      <c r="E2273" t="s">
        <v>27</v>
      </c>
      <c r="F2273" t="s">
        <v>5506</v>
      </c>
      <c r="G2273" s="1">
        <v>45257</v>
      </c>
    </row>
    <row r="2274" spans="1:7">
      <c r="A2274" t="s">
        <v>29</v>
      </c>
      <c r="B2274">
        <v>130</v>
      </c>
      <c r="C2274" t="s">
        <v>5507</v>
      </c>
      <c r="D2274">
        <v>182545</v>
      </c>
      <c r="E2274" t="s">
        <v>27</v>
      </c>
      <c r="F2274">
        <f>1-410-162-4403</f>
        <v>-4974</v>
      </c>
      <c r="G2274" s="1">
        <v>45098</v>
      </c>
    </row>
    <row r="2275" spans="1:7">
      <c r="A2275" t="s">
        <v>5508</v>
      </c>
      <c r="B2275">
        <v>72</v>
      </c>
      <c r="C2275" t="s">
        <v>5509</v>
      </c>
      <c r="D2275">
        <v>88047</v>
      </c>
      <c r="E2275" t="s">
        <v>27</v>
      </c>
      <c r="F2275" t="s">
        <v>5510</v>
      </c>
      <c r="G2275" s="1">
        <v>45045</v>
      </c>
    </row>
    <row r="2276" spans="1:7">
      <c r="A2276" t="s">
        <v>5511</v>
      </c>
      <c r="B2276">
        <v>34</v>
      </c>
      <c r="C2276" t="s">
        <v>5512</v>
      </c>
      <c r="D2276">
        <v>185065</v>
      </c>
      <c r="E2276" t="s">
        <v>12</v>
      </c>
      <c r="F2276">
        <f>1-526-770-5724</f>
        <v>-7019</v>
      </c>
      <c r="G2276" s="1">
        <v>45242</v>
      </c>
    </row>
    <row r="2277" spans="1:7">
      <c r="A2277" t="s">
        <v>5513</v>
      </c>
      <c r="B2277">
        <v>52</v>
      </c>
      <c r="C2277" t="s">
        <v>5514</v>
      </c>
      <c r="D2277">
        <v>72598</v>
      </c>
      <c r="E2277" t="s">
        <v>36</v>
      </c>
      <c r="G2277" s="1">
        <v>44953</v>
      </c>
    </row>
    <row r="2278" spans="1:7">
      <c r="A2278" t="s">
        <v>5515</v>
      </c>
      <c r="B2278">
        <v>58</v>
      </c>
      <c r="C2278" t="s">
        <v>5516</v>
      </c>
      <c r="D2278">
        <v>158406</v>
      </c>
      <c r="E2278" t="s">
        <v>9</v>
      </c>
      <c r="F2278" t="s">
        <v>5517</v>
      </c>
      <c r="G2278" s="1">
        <v>44982</v>
      </c>
    </row>
    <row r="2279" spans="1:7">
      <c r="A2279" t="s">
        <v>480</v>
      </c>
      <c r="B2279">
        <v>50</v>
      </c>
      <c r="C2279" t="s">
        <v>5518</v>
      </c>
      <c r="D2279">
        <v>159631</v>
      </c>
      <c r="E2279" t="s">
        <v>36</v>
      </c>
      <c r="F2279" t="s">
        <v>5519</v>
      </c>
      <c r="G2279" s="1">
        <v>45031</v>
      </c>
    </row>
    <row r="2280" spans="1:7">
      <c r="A2280" t="s">
        <v>5520</v>
      </c>
      <c r="B2280">
        <v>65</v>
      </c>
      <c r="C2280" t="s">
        <v>5521</v>
      </c>
      <c r="D2280">
        <v>131894</v>
      </c>
      <c r="E2280" t="s">
        <v>12</v>
      </c>
      <c r="F2280" t="s">
        <v>5522</v>
      </c>
      <c r="G2280" s="1">
        <v>45159</v>
      </c>
    </row>
    <row r="2281" spans="1:7">
      <c r="A2281" t="s">
        <v>5523</v>
      </c>
      <c r="B2281">
        <v>47</v>
      </c>
      <c r="C2281" t="s">
        <v>5524</v>
      </c>
      <c r="D2281">
        <v>112315</v>
      </c>
      <c r="E2281" t="s">
        <v>9</v>
      </c>
      <c r="F2281" t="s">
        <v>5525</v>
      </c>
      <c r="G2281" s="1">
        <v>44986</v>
      </c>
    </row>
    <row r="2282" spans="1:7">
      <c r="A2282" t="s">
        <v>5526</v>
      </c>
      <c r="B2282">
        <v>29</v>
      </c>
      <c r="C2282" t="s">
        <v>5527</v>
      </c>
      <c r="D2282">
        <v>87804</v>
      </c>
      <c r="E2282" t="s">
        <v>27</v>
      </c>
      <c r="F2282">
        <v>6536866413</v>
      </c>
      <c r="G2282" s="1">
        <v>45165</v>
      </c>
    </row>
    <row r="2283" spans="1:7">
      <c r="A2283" t="s">
        <v>5528</v>
      </c>
      <c r="B2283">
        <v>47</v>
      </c>
      <c r="C2283" t="s">
        <v>5529</v>
      </c>
      <c r="D2283">
        <v>95421</v>
      </c>
      <c r="E2283" t="s">
        <v>36</v>
      </c>
      <c r="F2283" t="s">
        <v>5530</v>
      </c>
      <c r="G2283" s="1">
        <v>45263</v>
      </c>
    </row>
    <row r="2284" spans="1:7">
      <c r="A2284" t="s">
        <v>5531</v>
      </c>
      <c r="B2284">
        <v>78</v>
      </c>
      <c r="C2284" t="s">
        <v>5532</v>
      </c>
      <c r="D2284">
        <v>199303</v>
      </c>
      <c r="E2284" t="s">
        <v>12</v>
      </c>
      <c r="F2284">
        <v>2673367915</v>
      </c>
      <c r="G2284" s="1">
        <v>45057</v>
      </c>
    </row>
    <row r="2285" spans="1:7">
      <c r="A2285" t="s">
        <v>5533</v>
      </c>
      <c r="B2285">
        <v>55</v>
      </c>
      <c r="C2285" t="s">
        <v>5534</v>
      </c>
      <c r="D2285">
        <v>134301</v>
      </c>
      <c r="E2285" t="s">
        <v>27</v>
      </c>
      <c r="F2285">
        <f>1-993-165-3947</f>
        <v>-5104</v>
      </c>
      <c r="G2285" s="1">
        <v>45129</v>
      </c>
    </row>
    <row r="2286" spans="1:7">
      <c r="A2286" t="s">
        <v>2502</v>
      </c>
      <c r="B2286">
        <v>66</v>
      </c>
      <c r="C2286" t="s">
        <v>5535</v>
      </c>
      <c r="D2286">
        <v>166285</v>
      </c>
      <c r="E2286" t="s">
        <v>9</v>
      </c>
      <c r="F2286">
        <f>1-427-416-9230</f>
        <v>-10072</v>
      </c>
      <c r="G2286" s="1">
        <v>44962</v>
      </c>
    </row>
    <row r="2287" spans="1:7">
      <c r="B2287">
        <v>49</v>
      </c>
      <c r="C2287" t="s">
        <v>5536</v>
      </c>
      <c r="D2287">
        <v>199957</v>
      </c>
      <c r="E2287" t="s">
        <v>27</v>
      </c>
      <c r="F2287" t="s">
        <v>5537</v>
      </c>
      <c r="G2287" t="s">
        <v>87</v>
      </c>
    </row>
    <row r="2288" spans="1:7">
      <c r="A2288" t="s">
        <v>5538</v>
      </c>
      <c r="B2288">
        <v>39</v>
      </c>
      <c r="C2288" t="s">
        <v>5539</v>
      </c>
      <c r="D2288">
        <v>178620</v>
      </c>
      <c r="E2288" t="s">
        <v>36</v>
      </c>
      <c r="F2288" t="s">
        <v>5540</v>
      </c>
      <c r="G2288" s="1">
        <v>45175</v>
      </c>
    </row>
    <row r="2289" spans="1:7">
      <c r="A2289" t="s">
        <v>2911</v>
      </c>
      <c r="B2289">
        <v>0</v>
      </c>
      <c r="E2289" t="s">
        <v>90</v>
      </c>
      <c r="F2289" t="s">
        <v>5541</v>
      </c>
      <c r="G2289" s="1">
        <v>45106</v>
      </c>
    </row>
    <row r="2290" spans="1:7">
      <c r="A2290" t="s">
        <v>5542</v>
      </c>
      <c r="B2290">
        <v>-1</v>
      </c>
      <c r="C2290" t="s">
        <v>5543</v>
      </c>
      <c r="D2290">
        <v>178344</v>
      </c>
      <c r="E2290" t="s">
        <v>27</v>
      </c>
      <c r="F2290" t="s">
        <v>5544</v>
      </c>
      <c r="G2290" s="1">
        <v>45073</v>
      </c>
    </row>
    <row r="2291" spans="1:7">
      <c r="A2291" t="s">
        <v>5545</v>
      </c>
      <c r="B2291">
        <v>42</v>
      </c>
      <c r="C2291" t="s">
        <v>5546</v>
      </c>
      <c r="D2291">
        <v>142660</v>
      </c>
      <c r="E2291" t="s">
        <v>27</v>
      </c>
      <c r="F2291" t="s">
        <v>5547</v>
      </c>
      <c r="G2291" s="1">
        <v>45248</v>
      </c>
    </row>
    <row r="2292" spans="1:7">
      <c r="A2292" t="s">
        <v>5548</v>
      </c>
      <c r="B2292">
        <v>20</v>
      </c>
      <c r="C2292" t="s">
        <v>5549</v>
      </c>
      <c r="D2292">
        <v>53525</v>
      </c>
      <c r="E2292" t="s">
        <v>9</v>
      </c>
      <c r="F2292">
        <f>1-199-539-6208</f>
        <v>-6945</v>
      </c>
      <c r="G2292" s="1">
        <v>45218</v>
      </c>
    </row>
    <row r="2293" spans="1:7">
      <c r="A2293" t="s">
        <v>5550</v>
      </c>
      <c r="B2293">
        <v>46</v>
      </c>
      <c r="C2293" t="s">
        <v>5551</v>
      </c>
      <c r="D2293">
        <v>43255</v>
      </c>
      <c r="E2293" t="s">
        <v>9</v>
      </c>
      <c r="F2293" t="s">
        <v>5552</v>
      </c>
      <c r="G2293" s="1">
        <v>45019</v>
      </c>
    </row>
    <row r="2294" spans="1:7">
      <c r="A2294" t="s">
        <v>5553</v>
      </c>
      <c r="B2294">
        <v>56</v>
      </c>
      <c r="C2294" t="s">
        <v>5554</v>
      </c>
      <c r="D2294">
        <v>189988</v>
      </c>
      <c r="E2294" t="s">
        <v>12</v>
      </c>
      <c r="F2294" t="s">
        <v>5555</v>
      </c>
      <c r="G2294" s="1">
        <v>45290</v>
      </c>
    </row>
    <row r="2295" spans="1:7">
      <c r="A2295" t="s">
        <v>5556</v>
      </c>
      <c r="B2295">
        <v>46</v>
      </c>
      <c r="D2295">
        <v>38531</v>
      </c>
      <c r="E2295" t="s">
        <v>36</v>
      </c>
      <c r="F2295" t="s">
        <v>5557</v>
      </c>
      <c r="G2295" s="1">
        <v>44939</v>
      </c>
    </row>
    <row r="2296" spans="1:7">
      <c r="A2296" t="s">
        <v>5558</v>
      </c>
      <c r="B2296">
        <v>54</v>
      </c>
      <c r="C2296" t="s">
        <v>5559</v>
      </c>
      <c r="D2296">
        <v>193535</v>
      </c>
      <c r="E2296" t="s">
        <v>36</v>
      </c>
      <c r="F2296" t="s">
        <v>5560</v>
      </c>
      <c r="G2296" s="1">
        <v>45228</v>
      </c>
    </row>
    <row r="2297" spans="1:7">
      <c r="A2297" t="s">
        <v>5561</v>
      </c>
      <c r="B2297">
        <v>62</v>
      </c>
      <c r="C2297" t="s">
        <v>5562</v>
      </c>
      <c r="D2297">
        <v>77893</v>
      </c>
      <c r="E2297" t="s">
        <v>36</v>
      </c>
      <c r="F2297" t="s">
        <v>5563</v>
      </c>
      <c r="G2297" s="1">
        <v>45063</v>
      </c>
    </row>
    <row r="2298" spans="1:7">
      <c r="A2298" t="s">
        <v>5564</v>
      </c>
      <c r="B2298">
        <v>29</v>
      </c>
      <c r="C2298" t="s">
        <v>5565</v>
      </c>
      <c r="D2298">
        <v>184841</v>
      </c>
      <c r="E2298" t="s">
        <v>12</v>
      </c>
      <c r="F2298" t="s">
        <v>5566</v>
      </c>
      <c r="G2298" s="1">
        <v>45231</v>
      </c>
    </row>
    <row r="2299" spans="1:7">
      <c r="A2299" t="s">
        <v>5567</v>
      </c>
      <c r="B2299">
        <v>26</v>
      </c>
      <c r="C2299" t="s">
        <v>5568</v>
      </c>
      <c r="D2299">
        <v>137216</v>
      </c>
      <c r="E2299" t="s">
        <v>36</v>
      </c>
      <c r="F2299">
        <v>2949597857</v>
      </c>
      <c r="G2299" s="1">
        <v>45000</v>
      </c>
    </row>
    <row r="2300" spans="1:7">
      <c r="A2300" t="s">
        <v>5569</v>
      </c>
      <c r="B2300">
        <v>79</v>
      </c>
      <c r="C2300" t="s">
        <v>5570</v>
      </c>
      <c r="D2300">
        <v>110632</v>
      </c>
      <c r="E2300" t="s">
        <v>36</v>
      </c>
      <c r="F2300" t="s">
        <v>5571</v>
      </c>
      <c r="G2300" s="1">
        <v>45166</v>
      </c>
    </row>
    <row r="2301" spans="1:7">
      <c r="A2301" t="s">
        <v>5572</v>
      </c>
      <c r="B2301">
        <v>57</v>
      </c>
      <c r="C2301" t="s">
        <v>5573</v>
      </c>
      <c r="D2301">
        <v>76220</v>
      </c>
      <c r="E2301" t="s">
        <v>12</v>
      </c>
      <c r="G2301" t="s">
        <v>301</v>
      </c>
    </row>
    <row r="2302" spans="1:7">
      <c r="A2302" t="s">
        <v>5574</v>
      </c>
      <c r="B2302">
        <v>62</v>
      </c>
      <c r="C2302" t="s">
        <v>5575</v>
      </c>
      <c r="D2302">
        <v>107240</v>
      </c>
      <c r="E2302" t="s">
        <v>36</v>
      </c>
      <c r="F2302" t="s">
        <v>5576</v>
      </c>
      <c r="G2302" s="1">
        <v>45202</v>
      </c>
    </row>
    <row r="2303" spans="1:7">
      <c r="A2303" t="s">
        <v>1210</v>
      </c>
      <c r="B2303">
        <v>40</v>
      </c>
      <c r="C2303" t="s">
        <v>5577</v>
      </c>
      <c r="D2303">
        <v>54042</v>
      </c>
      <c r="E2303" t="s">
        <v>9</v>
      </c>
      <c r="F2303">
        <v>8542826729</v>
      </c>
      <c r="G2303" s="1">
        <v>45277</v>
      </c>
    </row>
    <row r="2304" spans="1:7">
      <c r="A2304" t="s">
        <v>5578</v>
      </c>
      <c r="B2304">
        <v>39</v>
      </c>
      <c r="C2304" t="s">
        <v>445</v>
      </c>
      <c r="E2304" t="s">
        <v>12</v>
      </c>
      <c r="F2304" t="s">
        <v>5579</v>
      </c>
      <c r="G2304" s="1">
        <v>44989</v>
      </c>
    </row>
    <row r="2305" spans="1:7">
      <c r="A2305" t="s">
        <v>5580</v>
      </c>
      <c r="C2305" t="s">
        <v>5581</v>
      </c>
      <c r="D2305">
        <v>72056</v>
      </c>
      <c r="E2305" t="s">
        <v>27</v>
      </c>
      <c r="F2305" t="s">
        <v>5582</v>
      </c>
      <c r="G2305" s="1">
        <v>45270</v>
      </c>
    </row>
    <row r="2306" spans="1:7">
      <c r="A2306" t="s">
        <v>5583</v>
      </c>
      <c r="B2306">
        <v>68</v>
      </c>
      <c r="C2306" t="s">
        <v>5584</v>
      </c>
      <c r="D2306">
        <v>158133</v>
      </c>
      <c r="E2306" t="s">
        <v>27</v>
      </c>
      <c r="F2306">
        <v>8786023064</v>
      </c>
      <c r="G2306" s="1">
        <v>44978</v>
      </c>
    </row>
    <row r="2307" spans="1:7">
      <c r="A2307" t="s">
        <v>5585</v>
      </c>
      <c r="B2307">
        <v>30</v>
      </c>
      <c r="C2307" t="s">
        <v>5586</v>
      </c>
      <c r="D2307">
        <v>82344</v>
      </c>
      <c r="E2307" t="s">
        <v>36</v>
      </c>
      <c r="F2307" t="s">
        <v>5587</v>
      </c>
      <c r="G2307" s="1">
        <v>45198</v>
      </c>
    </row>
    <row r="2308" spans="1:7">
      <c r="A2308" t="s">
        <v>5588</v>
      </c>
      <c r="B2308">
        <v>68</v>
      </c>
      <c r="D2308">
        <v>56270</v>
      </c>
      <c r="E2308" t="s">
        <v>12</v>
      </c>
      <c r="F2308" t="s">
        <v>5589</v>
      </c>
      <c r="G2308" s="1">
        <v>44986</v>
      </c>
    </row>
    <row r="2309" spans="1:7">
      <c r="A2309" t="s">
        <v>2254</v>
      </c>
      <c r="B2309">
        <v>40</v>
      </c>
      <c r="C2309" t="s">
        <v>5590</v>
      </c>
      <c r="D2309">
        <v>59336</v>
      </c>
      <c r="E2309" t="s">
        <v>9</v>
      </c>
      <c r="F2309">
        <f>1-753-224-2965</f>
        <v>-3941</v>
      </c>
      <c r="G2309" t="s">
        <v>493</v>
      </c>
    </row>
    <row r="2310" spans="1:7">
      <c r="A2310" t="s">
        <v>5591</v>
      </c>
      <c r="B2310">
        <v>35</v>
      </c>
      <c r="C2310" t="s">
        <v>5592</v>
      </c>
      <c r="D2310">
        <v>142272</v>
      </c>
      <c r="E2310" t="s">
        <v>27</v>
      </c>
      <c r="F2310">
        <f>1-868-489-1377</f>
        <v>-2733</v>
      </c>
      <c r="G2310" s="1">
        <v>44927</v>
      </c>
    </row>
    <row r="2311" spans="1:7">
      <c r="A2311" t="s">
        <v>5593</v>
      </c>
      <c r="B2311">
        <v>53</v>
      </c>
      <c r="C2311" t="s">
        <v>5594</v>
      </c>
      <c r="D2311">
        <v>-20000</v>
      </c>
      <c r="E2311" t="s">
        <v>12</v>
      </c>
      <c r="F2311">
        <f>1-502-571-7456</f>
        <v>-8528</v>
      </c>
      <c r="G2311" s="1">
        <v>44979</v>
      </c>
    </row>
    <row r="2312" spans="1:7">
      <c r="A2312" t="s">
        <v>5595</v>
      </c>
      <c r="B2312">
        <v>22</v>
      </c>
      <c r="C2312" t="s">
        <v>5596</v>
      </c>
      <c r="D2312">
        <v>78928</v>
      </c>
      <c r="E2312" t="s">
        <v>27</v>
      </c>
      <c r="F2312" t="s">
        <v>5597</v>
      </c>
      <c r="G2312" s="1">
        <v>45202</v>
      </c>
    </row>
    <row r="2313" spans="1:7">
      <c r="A2313" t="s">
        <v>5598</v>
      </c>
      <c r="B2313">
        <v>62</v>
      </c>
      <c r="C2313" t="s">
        <v>5599</v>
      </c>
      <c r="D2313">
        <v>120265</v>
      </c>
      <c r="E2313" t="s">
        <v>36</v>
      </c>
      <c r="F2313">
        <v>6153407834</v>
      </c>
      <c r="G2313" s="1">
        <v>44996</v>
      </c>
    </row>
    <row r="2314" spans="1:7">
      <c r="A2314" t="s">
        <v>5600</v>
      </c>
      <c r="B2314">
        <v>55</v>
      </c>
      <c r="C2314" t="s">
        <v>5601</v>
      </c>
      <c r="E2314" t="s">
        <v>12</v>
      </c>
      <c r="G2314" s="1">
        <v>45098</v>
      </c>
    </row>
    <row r="2315" spans="1:7">
      <c r="A2315" t="s">
        <v>5602</v>
      </c>
      <c r="B2315">
        <v>40</v>
      </c>
      <c r="C2315" t="s">
        <v>445</v>
      </c>
      <c r="E2315" t="s">
        <v>36</v>
      </c>
      <c r="F2315" t="s">
        <v>5603</v>
      </c>
      <c r="G2315" t="s">
        <v>301</v>
      </c>
    </row>
    <row r="2316" spans="1:7">
      <c r="A2316" t="s">
        <v>2520</v>
      </c>
      <c r="B2316">
        <v>42</v>
      </c>
      <c r="C2316" t="s">
        <v>5604</v>
      </c>
      <c r="E2316" t="s">
        <v>36</v>
      </c>
      <c r="F2316" t="s">
        <v>5605</v>
      </c>
      <c r="G2316" s="1">
        <v>44977</v>
      </c>
    </row>
    <row r="2317" spans="1:7">
      <c r="A2317" t="s">
        <v>5606</v>
      </c>
      <c r="B2317">
        <v>21</v>
      </c>
      <c r="C2317" t="s">
        <v>5607</v>
      </c>
      <c r="D2317">
        <v>85934</v>
      </c>
      <c r="E2317" t="s">
        <v>12</v>
      </c>
      <c r="F2317" t="s">
        <v>5608</v>
      </c>
      <c r="G2317" s="1">
        <v>45076</v>
      </c>
    </row>
    <row r="2318" spans="1:7">
      <c r="A2318" t="s">
        <v>5609</v>
      </c>
      <c r="B2318">
        <v>45</v>
      </c>
      <c r="C2318" t="s">
        <v>5610</v>
      </c>
      <c r="E2318" t="s">
        <v>27</v>
      </c>
      <c r="F2318" t="s">
        <v>5611</v>
      </c>
      <c r="G2318" s="1">
        <v>45128</v>
      </c>
    </row>
    <row r="2319" spans="1:7">
      <c r="A2319" t="s">
        <v>5612</v>
      </c>
      <c r="B2319">
        <v>31</v>
      </c>
      <c r="C2319" t="s">
        <v>5613</v>
      </c>
      <c r="D2319">
        <v>115617</v>
      </c>
      <c r="E2319" t="s">
        <v>9</v>
      </c>
      <c r="F2319">
        <f>1-709-466-8275</f>
        <v>-9449</v>
      </c>
      <c r="G2319" s="1">
        <v>45288</v>
      </c>
    </row>
    <row r="2320" spans="1:7">
      <c r="A2320" t="s">
        <v>5614</v>
      </c>
      <c r="B2320">
        <v>70</v>
      </c>
      <c r="C2320" t="s">
        <v>5615</v>
      </c>
      <c r="D2320">
        <v>186497</v>
      </c>
      <c r="E2320" t="s">
        <v>9</v>
      </c>
      <c r="F2320">
        <f>1-925-750-8475</f>
        <v>-10149</v>
      </c>
      <c r="G2320" s="1">
        <v>45158</v>
      </c>
    </row>
    <row r="2321" spans="1:7">
      <c r="A2321" t="s">
        <v>5616</v>
      </c>
      <c r="B2321">
        <v>18</v>
      </c>
      <c r="C2321" t="s">
        <v>5617</v>
      </c>
      <c r="E2321" t="s">
        <v>12</v>
      </c>
      <c r="G2321" t="s">
        <v>180</v>
      </c>
    </row>
    <row r="2322" spans="1:7">
      <c r="A2322" t="s">
        <v>5618</v>
      </c>
      <c r="B2322">
        <v>59</v>
      </c>
      <c r="C2322" t="s">
        <v>5619</v>
      </c>
      <c r="D2322">
        <v>152961</v>
      </c>
      <c r="E2322" t="s">
        <v>36</v>
      </c>
      <c r="F2322" t="s">
        <v>5620</v>
      </c>
      <c r="G2322" s="1">
        <v>45166</v>
      </c>
    </row>
    <row r="2323" spans="1:7">
      <c r="A2323" t="s">
        <v>5621</v>
      </c>
      <c r="B2323">
        <v>67</v>
      </c>
      <c r="C2323" t="s">
        <v>5622</v>
      </c>
      <c r="D2323">
        <v>138835</v>
      </c>
      <c r="E2323" t="s">
        <v>36</v>
      </c>
      <c r="F2323">
        <v>8824192025</v>
      </c>
      <c r="G2323" s="1">
        <v>44980</v>
      </c>
    </row>
    <row r="2324" spans="1:7">
      <c r="A2324" t="s">
        <v>5623</v>
      </c>
      <c r="B2324">
        <v>28</v>
      </c>
      <c r="C2324" t="s">
        <v>5624</v>
      </c>
      <c r="D2324">
        <v>113829</v>
      </c>
      <c r="E2324" t="s">
        <v>27</v>
      </c>
      <c r="F2324">
        <v>1267698902</v>
      </c>
      <c r="G2324" s="1">
        <v>44933</v>
      </c>
    </row>
    <row r="2325" spans="1:7">
      <c r="A2325" t="s">
        <v>5625</v>
      </c>
      <c r="B2325">
        <v>-5</v>
      </c>
      <c r="C2325" t="s">
        <v>5626</v>
      </c>
      <c r="D2325">
        <v>81707</v>
      </c>
      <c r="E2325" t="s">
        <v>12</v>
      </c>
      <c r="F2325">
        <v>5751654002</v>
      </c>
      <c r="G2325" s="1">
        <v>44976</v>
      </c>
    </row>
    <row r="2326" spans="1:7">
      <c r="A2326" t="s">
        <v>5627</v>
      </c>
      <c r="B2326">
        <v>30</v>
      </c>
      <c r="C2326" t="s">
        <v>5628</v>
      </c>
      <c r="D2326">
        <v>111685</v>
      </c>
      <c r="E2326" t="s">
        <v>36</v>
      </c>
      <c r="F2326">
        <v>2067378614</v>
      </c>
      <c r="G2326" s="1">
        <v>45098</v>
      </c>
    </row>
    <row r="2327" spans="1:7">
      <c r="A2327" t="s">
        <v>5629</v>
      </c>
      <c r="B2327">
        <v>45</v>
      </c>
      <c r="C2327" t="s">
        <v>5630</v>
      </c>
      <c r="D2327">
        <v>124767</v>
      </c>
      <c r="E2327" t="s">
        <v>9</v>
      </c>
      <c r="F2327">
        <v>8764588206</v>
      </c>
      <c r="G2327" s="1">
        <v>45070</v>
      </c>
    </row>
    <row r="2328" spans="1:7">
      <c r="A2328" t="s">
        <v>5631</v>
      </c>
      <c r="B2328">
        <v>31</v>
      </c>
      <c r="C2328" t="s">
        <v>5632</v>
      </c>
      <c r="D2328">
        <v>140310</v>
      </c>
      <c r="G2328" s="1">
        <v>45160</v>
      </c>
    </row>
    <row r="2329" spans="1:7">
      <c r="A2329" t="s">
        <v>5633</v>
      </c>
      <c r="B2329">
        <v>75</v>
      </c>
      <c r="C2329" t="s">
        <v>5634</v>
      </c>
      <c r="D2329">
        <v>133262</v>
      </c>
      <c r="E2329" t="s">
        <v>27</v>
      </c>
      <c r="F2329" t="s">
        <v>5635</v>
      </c>
      <c r="G2329" s="1">
        <v>45247</v>
      </c>
    </row>
    <row r="2330" spans="1:7">
      <c r="A2330" t="s">
        <v>5636</v>
      </c>
      <c r="B2330">
        <v>76</v>
      </c>
      <c r="D2330">
        <v>85739</v>
      </c>
      <c r="E2330" t="s">
        <v>36</v>
      </c>
      <c r="F2330" t="s">
        <v>5637</v>
      </c>
      <c r="G2330" s="1">
        <v>45142</v>
      </c>
    </row>
    <row r="2331" spans="1:7">
      <c r="A2331" t="s">
        <v>5638</v>
      </c>
      <c r="B2331">
        <v>73</v>
      </c>
      <c r="C2331" t="s">
        <v>5639</v>
      </c>
      <c r="D2331">
        <v>168202</v>
      </c>
      <c r="E2331" t="s">
        <v>9</v>
      </c>
      <c r="F2331" t="s">
        <v>5640</v>
      </c>
      <c r="G2331" s="1">
        <v>45215</v>
      </c>
    </row>
    <row r="2332" spans="1:7">
      <c r="A2332" t="s">
        <v>5641</v>
      </c>
      <c r="B2332">
        <v>25</v>
      </c>
      <c r="C2332" t="s">
        <v>5642</v>
      </c>
      <c r="D2332">
        <v>135219</v>
      </c>
      <c r="E2332" t="s">
        <v>27</v>
      </c>
      <c r="F2332" t="s">
        <v>5643</v>
      </c>
      <c r="G2332" s="1">
        <v>45029</v>
      </c>
    </row>
    <row r="2333" spans="1:7">
      <c r="A2333" t="s">
        <v>5644</v>
      </c>
      <c r="B2333">
        <v>49</v>
      </c>
      <c r="C2333" t="s">
        <v>5645</v>
      </c>
      <c r="D2333">
        <v>175213</v>
      </c>
      <c r="E2333" t="s">
        <v>36</v>
      </c>
      <c r="F2333" t="s">
        <v>5646</v>
      </c>
      <c r="G2333" s="1">
        <v>45176</v>
      </c>
    </row>
    <row r="2334" spans="1:7">
      <c r="A2334" t="s">
        <v>5647</v>
      </c>
      <c r="B2334">
        <v>74</v>
      </c>
      <c r="C2334" t="s">
        <v>5648</v>
      </c>
      <c r="D2334">
        <v>133619</v>
      </c>
      <c r="E2334" t="s">
        <v>27</v>
      </c>
      <c r="F2334">
        <f>1-941-148-9313</f>
        <v>-10401</v>
      </c>
      <c r="G2334" s="1">
        <v>45056</v>
      </c>
    </row>
    <row r="2335" spans="1:7">
      <c r="A2335" t="s">
        <v>5649</v>
      </c>
      <c r="C2335" t="s">
        <v>5650</v>
      </c>
      <c r="D2335">
        <v>149774</v>
      </c>
      <c r="E2335" t="s">
        <v>36</v>
      </c>
      <c r="F2335" t="s">
        <v>5651</v>
      </c>
      <c r="G2335" s="1">
        <v>45147</v>
      </c>
    </row>
    <row r="2336" spans="1:7">
      <c r="A2336" t="s">
        <v>5652</v>
      </c>
      <c r="B2336">
        <v>74</v>
      </c>
      <c r="C2336" t="s">
        <v>5653</v>
      </c>
      <c r="D2336">
        <v>34994</v>
      </c>
      <c r="E2336" t="s">
        <v>12</v>
      </c>
      <c r="F2336" t="s">
        <v>5654</v>
      </c>
      <c r="G2336" s="1">
        <v>45137</v>
      </c>
    </row>
    <row r="2337" spans="1:7">
      <c r="A2337" t="s">
        <v>5655</v>
      </c>
      <c r="B2337">
        <v>-1</v>
      </c>
      <c r="C2337" t="s">
        <v>5656</v>
      </c>
      <c r="D2337">
        <v>178338</v>
      </c>
      <c r="E2337" t="s">
        <v>12</v>
      </c>
      <c r="F2337">
        <f>1-802-520-6233</f>
        <v>-7554</v>
      </c>
      <c r="G2337" s="1">
        <v>45045</v>
      </c>
    </row>
    <row r="2338" spans="1:7">
      <c r="A2338" t="s">
        <v>5657</v>
      </c>
      <c r="B2338">
        <v>59</v>
      </c>
      <c r="C2338" t="s">
        <v>5658</v>
      </c>
      <c r="D2338">
        <v>36523</v>
      </c>
      <c r="E2338" t="s">
        <v>18</v>
      </c>
      <c r="F2338" t="s">
        <v>5659</v>
      </c>
      <c r="G2338" s="1">
        <v>45209</v>
      </c>
    </row>
    <row r="2339" spans="1:7">
      <c r="A2339" t="s">
        <v>5660</v>
      </c>
      <c r="B2339">
        <v>18</v>
      </c>
      <c r="C2339" t="s">
        <v>5661</v>
      </c>
      <c r="D2339">
        <v>120071</v>
      </c>
      <c r="E2339" t="s">
        <v>9</v>
      </c>
      <c r="F2339" t="s">
        <v>5662</v>
      </c>
      <c r="G2339" s="1">
        <v>45238</v>
      </c>
    </row>
    <row r="2340" spans="1:7">
      <c r="A2340" t="s">
        <v>5663</v>
      </c>
      <c r="B2340">
        <v>51</v>
      </c>
      <c r="C2340" t="s">
        <v>5664</v>
      </c>
      <c r="D2340">
        <v>136244</v>
      </c>
      <c r="E2340" t="s">
        <v>27</v>
      </c>
      <c r="F2340">
        <f>1-725-313-3918</f>
        <v>-4955</v>
      </c>
      <c r="G2340" s="1">
        <v>45117</v>
      </c>
    </row>
    <row r="2341" spans="1:7">
      <c r="A2341" t="s">
        <v>5665</v>
      </c>
      <c r="B2341">
        <v>130</v>
      </c>
      <c r="D2341">
        <v>117902</v>
      </c>
      <c r="E2341" t="s">
        <v>9</v>
      </c>
      <c r="F2341" t="s">
        <v>5666</v>
      </c>
      <c r="G2341" s="1">
        <v>45169</v>
      </c>
    </row>
    <row r="2342" spans="1:7">
      <c r="A2342" t="s">
        <v>5667</v>
      </c>
      <c r="B2342">
        <v>60</v>
      </c>
      <c r="C2342" t="s">
        <v>5668</v>
      </c>
      <c r="D2342">
        <v>83865</v>
      </c>
      <c r="E2342" t="s">
        <v>9</v>
      </c>
      <c r="F2342">
        <v>1329869970</v>
      </c>
      <c r="G2342" s="1">
        <v>45199</v>
      </c>
    </row>
    <row r="2343" spans="1:7">
      <c r="A2343" t="s">
        <v>5669</v>
      </c>
      <c r="B2343">
        <v>68</v>
      </c>
      <c r="C2343" t="s">
        <v>5670</v>
      </c>
      <c r="D2343">
        <v>176158</v>
      </c>
      <c r="E2343" t="s">
        <v>9</v>
      </c>
      <c r="F2343" t="s">
        <v>5671</v>
      </c>
      <c r="G2343" s="1">
        <v>45291</v>
      </c>
    </row>
    <row r="2344" spans="1:7">
      <c r="A2344" t="s">
        <v>5672</v>
      </c>
      <c r="B2344">
        <v>56</v>
      </c>
      <c r="C2344" t="s">
        <v>5673</v>
      </c>
      <c r="D2344">
        <v>165604</v>
      </c>
      <c r="E2344" t="s">
        <v>9</v>
      </c>
      <c r="F2344" t="s">
        <v>5674</v>
      </c>
      <c r="G2344" s="1">
        <v>45014</v>
      </c>
    </row>
    <row r="2345" spans="1:7">
      <c r="A2345" t="s">
        <v>5675</v>
      </c>
      <c r="B2345">
        <v>53</v>
      </c>
      <c r="C2345" t="s">
        <v>5676</v>
      </c>
      <c r="D2345">
        <v>54161</v>
      </c>
      <c r="E2345" t="s">
        <v>27</v>
      </c>
      <c r="F2345" t="s">
        <v>5677</v>
      </c>
      <c r="G2345" s="1">
        <v>45038</v>
      </c>
    </row>
    <row r="2346" spans="1:7">
      <c r="A2346" t="s">
        <v>5678</v>
      </c>
      <c r="B2346">
        <v>63</v>
      </c>
      <c r="C2346" t="s">
        <v>5679</v>
      </c>
      <c r="D2346">
        <v>167900</v>
      </c>
      <c r="E2346" t="s">
        <v>27</v>
      </c>
      <c r="F2346">
        <f>1-913-600-9938</f>
        <v>-11450</v>
      </c>
      <c r="G2346" s="1">
        <v>45082</v>
      </c>
    </row>
    <row r="2347" spans="1:7">
      <c r="A2347" t="s">
        <v>5680</v>
      </c>
      <c r="B2347">
        <v>62</v>
      </c>
      <c r="C2347" t="s">
        <v>5681</v>
      </c>
      <c r="D2347">
        <v>80390</v>
      </c>
      <c r="E2347" t="s">
        <v>36</v>
      </c>
      <c r="F2347" t="s">
        <v>5682</v>
      </c>
      <c r="G2347" s="1">
        <v>45043</v>
      </c>
    </row>
    <row r="2348" spans="1:7">
      <c r="A2348" t="s">
        <v>5683</v>
      </c>
      <c r="B2348">
        <v>61</v>
      </c>
      <c r="C2348" t="s">
        <v>5684</v>
      </c>
      <c r="D2348">
        <v>129301</v>
      </c>
      <c r="E2348" t="s">
        <v>12</v>
      </c>
      <c r="F2348" t="s">
        <v>5685</v>
      </c>
      <c r="G2348" s="1">
        <v>45006</v>
      </c>
    </row>
    <row r="2349" spans="1:7">
      <c r="A2349" t="s">
        <v>1485</v>
      </c>
      <c r="B2349">
        <v>75</v>
      </c>
      <c r="C2349" t="s">
        <v>5686</v>
      </c>
      <c r="D2349">
        <v>186080</v>
      </c>
      <c r="E2349" t="s">
        <v>36</v>
      </c>
      <c r="F2349" t="s">
        <v>5687</v>
      </c>
      <c r="G2349" s="1">
        <v>45206</v>
      </c>
    </row>
    <row r="2350" spans="1:7">
      <c r="A2350" t="s">
        <v>5688</v>
      </c>
      <c r="B2350">
        <v>70</v>
      </c>
      <c r="C2350" t="s">
        <v>5689</v>
      </c>
      <c r="D2350">
        <v>188957</v>
      </c>
      <c r="E2350" t="s">
        <v>27</v>
      </c>
      <c r="F2350">
        <v>5169624957</v>
      </c>
      <c r="G2350" s="1">
        <v>44983</v>
      </c>
    </row>
    <row r="2351" spans="1:7">
      <c r="A2351" t="s">
        <v>5690</v>
      </c>
      <c r="B2351">
        <v>63</v>
      </c>
      <c r="C2351" t="s">
        <v>5691</v>
      </c>
      <c r="D2351">
        <v>153364</v>
      </c>
      <c r="E2351" t="s">
        <v>27</v>
      </c>
      <c r="F2351" t="s">
        <v>5692</v>
      </c>
      <c r="G2351" s="1">
        <v>45094</v>
      </c>
    </row>
    <row r="2352" spans="1:7">
      <c r="A2352" t="s">
        <v>5693</v>
      </c>
      <c r="B2352">
        <v>40</v>
      </c>
      <c r="C2352" t="s">
        <v>5694</v>
      </c>
      <c r="D2352">
        <v>92120</v>
      </c>
      <c r="E2352" t="s">
        <v>873</v>
      </c>
      <c r="F2352" t="s">
        <v>5695</v>
      </c>
      <c r="G2352" s="1">
        <v>44956</v>
      </c>
    </row>
    <row r="2353" spans="1:7">
      <c r="A2353" t="s">
        <v>5696</v>
      </c>
      <c r="B2353">
        <v>0</v>
      </c>
      <c r="C2353" t="s">
        <v>5697</v>
      </c>
      <c r="D2353">
        <v>176612</v>
      </c>
      <c r="E2353" t="s">
        <v>36</v>
      </c>
      <c r="F2353" t="s">
        <v>5698</v>
      </c>
      <c r="G2353" s="1">
        <v>44958</v>
      </c>
    </row>
    <row r="2354" spans="1:7">
      <c r="A2354" t="s">
        <v>5699</v>
      </c>
      <c r="B2354">
        <v>27</v>
      </c>
      <c r="C2354" t="s">
        <v>5700</v>
      </c>
      <c r="D2354">
        <v>34042</v>
      </c>
      <c r="E2354" t="s">
        <v>12</v>
      </c>
      <c r="F2354" t="s">
        <v>5701</v>
      </c>
      <c r="G2354" s="1">
        <v>45031</v>
      </c>
    </row>
    <row r="2355" spans="1:7">
      <c r="A2355" t="s">
        <v>5702</v>
      </c>
      <c r="B2355">
        <v>39</v>
      </c>
      <c r="C2355" t="s">
        <v>5703</v>
      </c>
      <c r="D2355">
        <v>135468</v>
      </c>
      <c r="E2355" t="s">
        <v>27</v>
      </c>
      <c r="F2355">
        <f>1-468-589-5182</f>
        <v>-6238</v>
      </c>
      <c r="G2355" s="1">
        <v>45199</v>
      </c>
    </row>
    <row r="2356" spans="1:7">
      <c r="A2356" t="s">
        <v>5704</v>
      </c>
      <c r="B2356">
        <v>76</v>
      </c>
      <c r="C2356" t="s">
        <v>5705</v>
      </c>
      <c r="D2356">
        <v>162596</v>
      </c>
      <c r="E2356" t="s">
        <v>27</v>
      </c>
      <c r="F2356" t="s">
        <v>5706</v>
      </c>
      <c r="G2356" s="1">
        <v>45074</v>
      </c>
    </row>
    <row r="2357" spans="1:7">
      <c r="A2357" t="s">
        <v>5707</v>
      </c>
      <c r="B2357">
        <v>27</v>
      </c>
      <c r="C2357" t="s">
        <v>5708</v>
      </c>
      <c r="D2357">
        <v>124881</v>
      </c>
      <c r="E2357" t="s">
        <v>9</v>
      </c>
      <c r="F2357" t="s">
        <v>5709</v>
      </c>
      <c r="G2357" s="1">
        <v>45260</v>
      </c>
    </row>
    <row r="2358" spans="1:7">
      <c r="A2358" t="s">
        <v>5710</v>
      </c>
      <c r="B2358">
        <v>74</v>
      </c>
      <c r="C2358" t="s">
        <v>5711</v>
      </c>
      <c r="D2358">
        <v>199578</v>
      </c>
      <c r="E2358" t="s">
        <v>36</v>
      </c>
      <c r="F2358">
        <v>5578252120</v>
      </c>
      <c r="G2358" s="1">
        <v>45124</v>
      </c>
    </row>
    <row r="2359" spans="1:7">
      <c r="A2359" t="s">
        <v>5712</v>
      </c>
      <c r="B2359">
        <v>31</v>
      </c>
      <c r="C2359" t="s">
        <v>5713</v>
      </c>
      <c r="D2359">
        <v>72879</v>
      </c>
      <c r="F2359" t="s">
        <v>5714</v>
      </c>
      <c r="G2359" s="1">
        <v>45232</v>
      </c>
    </row>
    <row r="2360" spans="1:7">
      <c r="A2360" t="s">
        <v>5715</v>
      </c>
      <c r="B2360">
        <v>74</v>
      </c>
      <c r="C2360" t="s">
        <v>5716</v>
      </c>
      <c r="E2360" t="s">
        <v>36</v>
      </c>
      <c r="F2360" t="s">
        <v>5717</v>
      </c>
      <c r="G2360" s="1">
        <v>45173</v>
      </c>
    </row>
    <row r="2361" spans="1:7">
      <c r="A2361" t="s">
        <v>5718</v>
      </c>
      <c r="B2361">
        <v>34</v>
      </c>
      <c r="C2361" t="s">
        <v>5719</v>
      </c>
      <c r="D2361">
        <v>127537</v>
      </c>
      <c r="E2361" t="s">
        <v>27</v>
      </c>
      <c r="F2361" t="s">
        <v>5720</v>
      </c>
      <c r="G2361" s="1">
        <v>45220</v>
      </c>
    </row>
    <row r="2362" spans="1:7">
      <c r="A2362" t="s">
        <v>5721</v>
      </c>
      <c r="B2362">
        <v>27</v>
      </c>
      <c r="C2362" t="s">
        <v>5722</v>
      </c>
      <c r="D2362">
        <v>126758</v>
      </c>
      <c r="E2362" t="s">
        <v>12</v>
      </c>
      <c r="F2362" t="s">
        <v>5723</v>
      </c>
      <c r="G2362" s="1">
        <v>45028</v>
      </c>
    </row>
    <row r="2363" spans="1:7">
      <c r="A2363" t="s">
        <v>5724</v>
      </c>
      <c r="C2363" t="s">
        <v>5725</v>
      </c>
      <c r="D2363">
        <v>193384</v>
      </c>
      <c r="E2363" t="s">
        <v>9</v>
      </c>
      <c r="F2363">
        <v>7387885748</v>
      </c>
      <c r="G2363" s="1">
        <v>45092</v>
      </c>
    </row>
    <row r="2364" spans="1:7">
      <c r="A2364" t="s">
        <v>5726</v>
      </c>
      <c r="B2364">
        <v>23</v>
      </c>
      <c r="C2364" t="s">
        <v>5727</v>
      </c>
      <c r="D2364">
        <v>-10000</v>
      </c>
      <c r="F2364" t="s">
        <v>5728</v>
      </c>
      <c r="G2364" s="1">
        <v>44934</v>
      </c>
    </row>
    <row r="2365" spans="1:7">
      <c r="A2365" t="s">
        <v>5729</v>
      </c>
      <c r="B2365">
        <v>54</v>
      </c>
      <c r="C2365" t="s">
        <v>5730</v>
      </c>
      <c r="D2365">
        <v>152689</v>
      </c>
      <c r="E2365" t="s">
        <v>9</v>
      </c>
      <c r="F2365">
        <v>5734127482</v>
      </c>
      <c r="G2365" s="1">
        <v>44928</v>
      </c>
    </row>
    <row r="2366" spans="1:7">
      <c r="A2366" t="s">
        <v>5731</v>
      </c>
      <c r="B2366">
        <v>34</v>
      </c>
      <c r="C2366" t="s">
        <v>5732</v>
      </c>
      <c r="E2366" t="s">
        <v>27</v>
      </c>
      <c r="F2366">
        <f>1-396-637-6495</f>
        <v>-7527</v>
      </c>
      <c r="G2366" s="1">
        <v>45029</v>
      </c>
    </row>
    <row r="2367" spans="1:7">
      <c r="A2367" t="s">
        <v>5733</v>
      </c>
      <c r="B2367">
        <v>70</v>
      </c>
      <c r="C2367" t="s">
        <v>5734</v>
      </c>
      <c r="D2367">
        <v>173277</v>
      </c>
      <c r="E2367" t="s">
        <v>9</v>
      </c>
      <c r="G2367" s="1">
        <v>44970</v>
      </c>
    </row>
    <row r="2368" spans="1:7">
      <c r="A2368" t="s">
        <v>5735</v>
      </c>
      <c r="B2368">
        <v>73</v>
      </c>
      <c r="C2368" t="s">
        <v>5736</v>
      </c>
      <c r="D2368">
        <v>91991</v>
      </c>
      <c r="E2368" t="s">
        <v>36</v>
      </c>
      <c r="F2368" t="s">
        <v>5737</v>
      </c>
      <c r="G2368" s="1">
        <v>45026</v>
      </c>
    </row>
    <row r="2369" spans="1:7">
      <c r="A2369" t="s">
        <v>5738</v>
      </c>
      <c r="B2369">
        <v>34</v>
      </c>
      <c r="C2369" t="s">
        <v>5739</v>
      </c>
      <c r="D2369">
        <v>192527</v>
      </c>
      <c r="E2369" t="s">
        <v>12</v>
      </c>
      <c r="F2369" t="s">
        <v>5740</v>
      </c>
      <c r="G2369" s="1">
        <v>44983</v>
      </c>
    </row>
    <row r="2370" spans="1:7">
      <c r="A2370" t="s">
        <v>5741</v>
      </c>
      <c r="B2370">
        <v>35</v>
      </c>
      <c r="D2370">
        <v>119044</v>
      </c>
      <c r="E2370" t="s">
        <v>27</v>
      </c>
      <c r="F2370" t="s">
        <v>5742</v>
      </c>
      <c r="G2370" s="1">
        <v>45030</v>
      </c>
    </row>
    <row r="2371" spans="1:7">
      <c r="A2371" t="s">
        <v>5743</v>
      </c>
      <c r="B2371">
        <v>68</v>
      </c>
      <c r="C2371" t="s">
        <v>5744</v>
      </c>
      <c r="D2371">
        <v>150951</v>
      </c>
      <c r="E2371" t="s">
        <v>36</v>
      </c>
      <c r="F2371" t="s">
        <v>5745</v>
      </c>
      <c r="G2371" s="1">
        <v>45116</v>
      </c>
    </row>
    <row r="2372" spans="1:7">
      <c r="A2372" t="s">
        <v>5746</v>
      </c>
      <c r="B2372">
        <v>70</v>
      </c>
      <c r="C2372" t="s">
        <v>5747</v>
      </c>
      <c r="D2372">
        <v>156374</v>
      </c>
      <c r="E2372" t="s">
        <v>12</v>
      </c>
      <c r="F2372" t="s">
        <v>5748</v>
      </c>
      <c r="G2372" s="1">
        <v>44966</v>
      </c>
    </row>
    <row r="2373" spans="1:7">
      <c r="A2373" t="s">
        <v>5749</v>
      </c>
      <c r="B2373">
        <v>32</v>
      </c>
      <c r="C2373" t="s">
        <v>5750</v>
      </c>
      <c r="D2373">
        <v>71950</v>
      </c>
      <c r="E2373" t="s">
        <v>9</v>
      </c>
      <c r="F2373" t="s">
        <v>5751</v>
      </c>
      <c r="G2373" s="1">
        <v>45070</v>
      </c>
    </row>
    <row r="2374" spans="1:7">
      <c r="A2374" t="s">
        <v>5752</v>
      </c>
      <c r="B2374">
        <v>62</v>
      </c>
      <c r="C2374" t="s">
        <v>5753</v>
      </c>
      <c r="E2374" t="s">
        <v>36</v>
      </c>
      <c r="F2374" t="s">
        <v>5754</v>
      </c>
      <c r="G2374" s="1">
        <v>45013</v>
      </c>
    </row>
    <row r="2375" spans="1:7">
      <c r="A2375" t="s">
        <v>5755</v>
      </c>
      <c r="B2375">
        <v>39</v>
      </c>
      <c r="D2375">
        <v>184422</v>
      </c>
      <c r="E2375" t="s">
        <v>36</v>
      </c>
      <c r="F2375" t="s">
        <v>5756</v>
      </c>
      <c r="G2375" s="1">
        <v>45004</v>
      </c>
    </row>
    <row r="2376" spans="1:7">
      <c r="A2376" t="s">
        <v>5757</v>
      </c>
      <c r="B2376">
        <v>36</v>
      </c>
      <c r="C2376" t="s">
        <v>5758</v>
      </c>
      <c r="D2376">
        <v>174347</v>
      </c>
      <c r="E2376" t="s">
        <v>9</v>
      </c>
      <c r="F2376" t="s">
        <v>5759</v>
      </c>
      <c r="G2376" s="1">
        <v>44941</v>
      </c>
    </row>
    <row r="2377" spans="1:7">
      <c r="A2377" t="s">
        <v>5760</v>
      </c>
      <c r="B2377">
        <v>56</v>
      </c>
      <c r="C2377" t="s">
        <v>5761</v>
      </c>
      <c r="D2377">
        <v>175677</v>
      </c>
      <c r="E2377" t="s">
        <v>12</v>
      </c>
      <c r="F2377" t="s">
        <v>5762</v>
      </c>
      <c r="G2377" s="1">
        <v>45117</v>
      </c>
    </row>
    <row r="2378" spans="1:7">
      <c r="A2378" t="s">
        <v>5763</v>
      </c>
      <c r="B2378">
        <v>79</v>
      </c>
      <c r="C2378" t="s">
        <v>5764</v>
      </c>
      <c r="D2378">
        <v>77922</v>
      </c>
      <c r="E2378" t="s">
        <v>12</v>
      </c>
      <c r="F2378">
        <v>6953059839</v>
      </c>
      <c r="G2378" s="1">
        <v>44936</v>
      </c>
    </row>
    <row r="2379" spans="1:7">
      <c r="A2379" t="s">
        <v>542</v>
      </c>
      <c r="B2379">
        <v>61</v>
      </c>
      <c r="D2379">
        <v>0</v>
      </c>
      <c r="E2379" t="s">
        <v>27</v>
      </c>
      <c r="F2379">
        <f>1-124-417-1202</f>
        <v>-1742</v>
      </c>
      <c r="G2379" s="1">
        <v>45015</v>
      </c>
    </row>
    <row r="2380" spans="1:7">
      <c r="A2380" t="s">
        <v>5765</v>
      </c>
      <c r="B2380">
        <v>41</v>
      </c>
      <c r="C2380" t="s">
        <v>5766</v>
      </c>
      <c r="D2380">
        <v>133751</v>
      </c>
      <c r="E2380" t="s">
        <v>9</v>
      </c>
      <c r="F2380">
        <v>6880283365</v>
      </c>
      <c r="G2380" s="1">
        <v>45098</v>
      </c>
    </row>
    <row r="2381" spans="1:7">
      <c r="A2381" t="s">
        <v>5767</v>
      </c>
      <c r="B2381">
        <v>0</v>
      </c>
      <c r="C2381" t="s">
        <v>5768</v>
      </c>
      <c r="D2381">
        <v>122708</v>
      </c>
      <c r="E2381" t="s">
        <v>36</v>
      </c>
      <c r="F2381" t="s">
        <v>5769</v>
      </c>
      <c r="G2381" s="1">
        <v>45040</v>
      </c>
    </row>
    <row r="2382" spans="1:7">
      <c r="A2382" t="s">
        <v>5770</v>
      </c>
      <c r="B2382">
        <v>73</v>
      </c>
      <c r="C2382" t="s">
        <v>5771</v>
      </c>
      <c r="E2382" t="s">
        <v>27</v>
      </c>
      <c r="F2382">
        <v>1616963987</v>
      </c>
      <c r="G2382" s="1">
        <v>45058</v>
      </c>
    </row>
    <row r="2383" spans="1:7">
      <c r="A2383" t="s">
        <v>5772</v>
      </c>
      <c r="B2383">
        <v>28</v>
      </c>
      <c r="C2383" t="s">
        <v>5773</v>
      </c>
      <c r="D2383">
        <v>40304</v>
      </c>
      <c r="E2383" t="s">
        <v>9</v>
      </c>
      <c r="F2383" t="s">
        <v>5774</v>
      </c>
      <c r="G2383" s="1">
        <v>45121</v>
      </c>
    </row>
    <row r="2384" spans="1:7">
      <c r="A2384" t="s">
        <v>5775</v>
      </c>
      <c r="B2384">
        <v>61</v>
      </c>
      <c r="C2384" t="s">
        <v>5776</v>
      </c>
      <c r="D2384">
        <v>191121</v>
      </c>
      <c r="E2384" t="s">
        <v>36</v>
      </c>
      <c r="F2384" t="s">
        <v>5777</v>
      </c>
      <c r="G2384" s="1">
        <v>44928</v>
      </c>
    </row>
    <row r="2385" spans="1:7">
      <c r="A2385" t="s">
        <v>5778</v>
      </c>
      <c r="B2385">
        <v>57</v>
      </c>
      <c r="C2385" t="s">
        <v>5779</v>
      </c>
      <c r="D2385">
        <v>93185</v>
      </c>
      <c r="E2385" t="s">
        <v>27</v>
      </c>
      <c r="F2385">
        <f>1-299-829-3345</f>
        <v>-4472</v>
      </c>
      <c r="G2385" s="1">
        <v>44937</v>
      </c>
    </row>
    <row r="2386" spans="1:7">
      <c r="A2386" t="s">
        <v>5780</v>
      </c>
      <c r="B2386">
        <v>49</v>
      </c>
      <c r="C2386" t="s">
        <v>5781</v>
      </c>
      <c r="D2386">
        <v>153683</v>
      </c>
      <c r="E2386" t="s">
        <v>36</v>
      </c>
      <c r="F2386" t="s">
        <v>5782</v>
      </c>
      <c r="G2386" s="1">
        <v>45266</v>
      </c>
    </row>
    <row r="2387" spans="1:7">
      <c r="A2387" t="s">
        <v>5783</v>
      </c>
      <c r="B2387">
        <v>0</v>
      </c>
      <c r="C2387" t="s">
        <v>5784</v>
      </c>
      <c r="D2387">
        <v>93909</v>
      </c>
      <c r="E2387" t="s">
        <v>36</v>
      </c>
      <c r="F2387">
        <f>1-203-541-4028</f>
        <v>-4771</v>
      </c>
      <c r="G2387" s="1">
        <v>44955</v>
      </c>
    </row>
    <row r="2388" spans="1:7">
      <c r="A2388" t="s">
        <v>5785</v>
      </c>
      <c r="B2388">
        <v>51</v>
      </c>
      <c r="C2388" t="s">
        <v>5786</v>
      </c>
      <c r="D2388">
        <v>155355</v>
      </c>
      <c r="E2388" t="s">
        <v>12</v>
      </c>
      <c r="F2388">
        <v>9813697315</v>
      </c>
      <c r="G2388" s="1">
        <v>45072</v>
      </c>
    </row>
    <row r="2389" spans="1:7">
      <c r="A2389" t="s">
        <v>5787</v>
      </c>
      <c r="B2389">
        <v>32</v>
      </c>
      <c r="C2389" t="s">
        <v>5788</v>
      </c>
      <c r="E2389" t="s">
        <v>27</v>
      </c>
      <c r="F2389">
        <v>1381708520</v>
      </c>
      <c r="G2389" s="1">
        <v>45105</v>
      </c>
    </row>
    <row r="2390" spans="1:7">
      <c r="A2390" t="s">
        <v>5789</v>
      </c>
      <c r="B2390">
        <v>72</v>
      </c>
      <c r="C2390" t="s">
        <v>5790</v>
      </c>
      <c r="D2390">
        <v>125989</v>
      </c>
      <c r="E2390" t="s">
        <v>36</v>
      </c>
      <c r="F2390" t="s">
        <v>5791</v>
      </c>
      <c r="G2390" s="1">
        <v>45197</v>
      </c>
    </row>
    <row r="2391" spans="1:7">
      <c r="A2391" t="s">
        <v>5792</v>
      </c>
      <c r="C2391" t="s">
        <v>445</v>
      </c>
      <c r="D2391">
        <v>199635</v>
      </c>
      <c r="E2391" t="s">
        <v>27</v>
      </c>
      <c r="F2391" t="s">
        <v>5793</v>
      </c>
      <c r="G2391" s="1">
        <v>45281</v>
      </c>
    </row>
    <row r="2392" spans="1:7">
      <c r="A2392" t="s">
        <v>5794</v>
      </c>
      <c r="B2392">
        <v>51</v>
      </c>
      <c r="C2392" t="s">
        <v>5795</v>
      </c>
      <c r="D2392">
        <v>0</v>
      </c>
      <c r="E2392" t="s">
        <v>36</v>
      </c>
      <c r="F2392" t="s">
        <v>5796</v>
      </c>
      <c r="G2392" s="1">
        <v>44995</v>
      </c>
    </row>
    <row r="2393" spans="1:7">
      <c r="A2393" t="s">
        <v>4405</v>
      </c>
      <c r="B2393">
        <v>19</v>
      </c>
      <c r="C2393" t="s">
        <v>169</v>
      </c>
      <c r="E2393" t="s">
        <v>9</v>
      </c>
      <c r="F2393">
        <f>1-926-921-8377</f>
        <v>-10223</v>
      </c>
      <c r="G2393" t="s">
        <v>483</v>
      </c>
    </row>
    <row r="2394" spans="1:7">
      <c r="A2394" t="s">
        <v>5797</v>
      </c>
      <c r="B2394">
        <v>37</v>
      </c>
      <c r="C2394" t="s">
        <v>5798</v>
      </c>
      <c r="D2394">
        <v>39583</v>
      </c>
      <c r="E2394" t="s">
        <v>27</v>
      </c>
      <c r="F2394">
        <v>3254069197</v>
      </c>
      <c r="G2394" s="1">
        <v>45130</v>
      </c>
    </row>
    <row r="2395" spans="1:7">
      <c r="A2395" t="s">
        <v>5799</v>
      </c>
      <c r="B2395">
        <v>26</v>
      </c>
      <c r="D2395">
        <v>124230</v>
      </c>
      <c r="E2395" t="s">
        <v>36</v>
      </c>
      <c r="F2395" t="s">
        <v>5800</v>
      </c>
      <c r="G2395" s="1">
        <v>44989</v>
      </c>
    </row>
    <row r="2396" spans="1:7">
      <c r="A2396" t="s">
        <v>5801</v>
      </c>
      <c r="B2396">
        <v>59</v>
      </c>
      <c r="C2396" t="s">
        <v>5802</v>
      </c>
      <c r="D2396">
        <v>97300</v>
      </c>
      <c r="E2396" t="s">
        <v>12</v>
      </c>
      <c r="F2396" t="s">
        <v>5803</v>
      </c>
      <c r="G2396" s="1">
        <v>45132</v>
      </c>
    </row>
    <row r="2397" spans="1:7">
      <c r="A2397" t="s">
        <v>5804</v>
      </c>
      <c r="B2397">
        <v>48</v>
      </c>
      <c r="C2397" t="s">
        <v>5805</v>
      </c>
      <c r="D2397">
        <v>132171</v>
      </c>
      <c r="E2397" t="s">
        <v>12</v>
      </c>
      <c r="F2397" t="s">
        <v>5806</v>
      </c>
      <c r="G2397" s="1">
        <v>45191</v>
      </c>
    </row>
    <row r="2398" spans="1:7">
      <c r="A2398" t="s">
        <v>5807</v>
      </c>
      <c r="B2398">
        <v>50</v>
      </c>
      <c r="C2398" t="s">
        <v>5808</v>
      </c>
      <c r="D2398">
        <v>47118</v>
      </c>
      <c r="E2398" t="s">
        <v>27</v>
      </c>
      <c r="G2398" s="1">
        <v>45042</v>
      </c>
    </row>
    <row r="2399" spans="1:7">
      <c r="A2399" t="s">
        <v>5809</v>
      </c>
      <c r="B2399">
        <v>19</v>
      </c>
      <c r="C2399" t="s">
        <v>5810</v>
      </c>
      <c r="D2399">
        <v>88008</v>
      </c>
      <c r="E2399" t="s">
        <v>9</v>
      </c>
      <c r="F2399" t="s">
        <v>5811</v>
      </c>
      <c r="G2399" s="1">
        <v>45013</v>
      </c>
    </row>
    <row r="2400" spans="1:7">
      <c r="A2400" t="s">
        <v>5812</v>
      </c>
      <c r="B2400">
        <v>19</v>
      </c>
      <c r="C2400" t="s">
        <v>5813</v>
      </c>
      <c r="D2400">
        <v>104842</v>
      </c>
      <c r="F2400" t="s">
        <v>5814</v>
      </c>
      <c r="G2400" t="s">
        <v>715</v>
      </c>
    </row>
    <row r="2401" spans="1:7">
      <c r="A2401" t="s">
        <v>5815</v>
      </c>
      <c r="B2401">
        <v>71</v>
      </c>
      <c r="C2401" t="s">
        <v>5816</v>
      </c>
      <c r="D2401">
        <v>72919</v>
      </c>
      <c r="E2401" t="s">
        <v>9</v>
      </c>
      <c r="F2401" t="s">
        <v>5817</v>
      </c>
      <c r="G2401" s="1">
        <v>45025</v>
      </c>
    </row>
    <row r="2402" spans="1:7">
      <c r="A2402" t="s">
        <v>5818</v>
      </c>
      <c r="B2402">
        <v>39</v>
      </c>
      <c r="C2402" t="s">
        <v>61</v>
      </c>
      <c r="D2402">
        <v>31996</v>
      </c>
      <c r="E2402" t="s">
        <v>12</v>
      </c>
      <c r="F2402" t="s">
        <v>5819</v>
      </c>
      <c r="G2402" s="1">
        <v>45041</v>
      </c>
    </row>
    <row r="2403" spans="1:7">
      <c r="A2403" t="s">
        <v>5820</v>
      </c>
      <c r="B2403">
        <v>75</v>
      </c>
      <c r="C2403" t="s">
        <v>5821</v>
      </c>
      <c r="D2403">
        <v>162450</v>
      </c>
      <c r="E2403" t="s">
        <v>36</v>
      </c>
      <c r="F2403" t="s">
        <v>5822</v>
      </c>
      <c r="G2403" s="1">
        <v>45220</v>
      </c>
    </row>
    <row r="2404" spans="1:7">
      <c r="A2404" t="s">
        <v>5823</v>
      </c>
      <c r="B2404">
        <v>49</v>
      </c>
      <c r="C2404" t="s">
        <v>5824</v>
      </c>
      <c r="D2404">
        <v>106848</v>
      </c>
      <c r="E2404" t="s">
        <v>12</v>
      </c>
      <c r="F2404" t="s">
        <v>5825</v>
      </c>
      <c r="G2404" s="1">
        <v>45137</v>
      </c>
    </row>
    <row r="2405" spans="1:7">
      <c r="A2405" t="s">
        <v>5826</v>
      </c>
      <c r="B2405">
        <v>68</v>
      </c>
      <c r="C2405" t="s">
        <v>5827</v>
      </c>
      <c r="D2405">
        <v>44908</v>
      </c>
      <c r="E2405" t="s">
        <v>36</v>
      </c>
      <c r="F2405" t="s">
        <v>5828</v>
      </c>
      <c r="G2405" s="1">
        <v>45011</v>
      </c>
    </row>
    <row r="2406" spans="1:7">
      <c r="A2406" t="s">
        <v>5829</v>
      </c>
      <c r="B2406">
        <v>32</v>
      </c>
      <c r="C2406" t="s">
        <v>5830</v>
      </c>
      <c r="D2406">
        <v>82428</v>
      </c>
      <c r="E2406" t="s">
        <v>527</v>
      </c>
      <c r="F2406">
        <f>1-648-467-6463</f>
        <v>-7577</v>
      </c>
      <c r="G2406" s="1">
        <v>45095</v>
      </c>
    </row>
    <row r="2407" spans="1:7">
      <c r="A2407" t="s">
        <v>5831</v>
      </c>
      <c r="B2407">
        <v>47</v>
      </c>
      <c r="C2407" t="s">
        <v>5832</v>
      </c>
      <c r="D2407">
        <v>147769</v>
      </c>
      <c r="E2407" t="s">
        <v>9</v>
      </c>
      <c r="F2407" t="s">
        <v>5833</v>
      </c>
      <c r="G2407" s="1">
        <v>45088</v>
      </c>
    </row>
    <row r="2408" spans="1:7">
      <c r="A2408" t="s">
        <v>5834</v>
      </c>
      <c r="B2408">
        <v>21</v>
      </c>
      <c r="C2408" t="s">
        <v>5835</v>
      </c>
      <c r="D2408">
        <v>164066</v>
      </c>
      <c r="E2408" t="s">
        <v>12</v>
      </c>
      <c r="F2408" t="s">
        <v>5836</v>
      </c>
      <c r="G2408" s="1">
        <v>45291</v>
      </c>
    </row>
    <row r="2409" spans="1:7">
      <c r="A2409" t="s">
        <v>5837</v>
      </c>
      <c r="B2409">
        <v>27</v>
      </c>
      <c r="C2409" t="s">
        <v>5838</v>
      </c>
      <c r="D2409">
        <v>103984</v>
      </c>
      <c r="E2409" t="s">
        <v>36</v>
      </c>
      <c r="F2409" t="s">
        <v>5839</v>
      </c>
      <c r="G2409" s="1">
        <v>45117</v>
      </c>
    </row>
    <row r="2410" spans="1:7">
      <c r="A2410" t="s">
        <v>5840</v>
      </c>
      <c r="B2410">
        <v>47</v>
      </c>
      <c r="C2410" t="s">
        <v>5841</v>
      </c>
      <c r="D2410">
        <v>166606</v>
      </c>
      <c r="E2410" t="s">
        <v>9</v>
      </c>
      <c r="F2410" t="s">
        <v>5842</v>
      </c>
      <c r="G2410" s="1">
        <v>45200</v>
      </c>
    </row>
    <row r="2411" spans="1:7">
      <c r="A2411" t="s">
        <v>5843</v>
      </c>
      <c r="B2411">
        <v>79</v>
      </c>
      <c r="C2411" t="s">
        <v>5844</v>
      </c>
      <c r="D2411">
        <v>186328</v>
      </c>
      <c r="E2411" t="s">
        <v>27</v>
      </c>
      <c r="F2411" t="s">
        <v>5845</v>
      </c>
      <c r="G2411" s="1">
        <v>45030</v>
      </c>
    </row>
    <row r="2412" spans="1:7">
      <c r="A2412" t="s">
        <v>5846</v>
      </c>
      <c r="B2412">
        <v>27</v>
      </c>
      <c r="C2412" t="s">
        <v>5847</v>
      </c>
      <c r="D2412">
        <v>123922</v>
      </c>
      <c r="E2412" t="s">
        <v>9</v>
      </c>
      <c r="F2412">
        <f>1-630-271-2633</f>
        <v>-3533</v>
      </c>
      <c r="G2412" s="1">
        <v>45228</v>
      </c>
    </row>
    <row r="2413" spans="1:7">
      <c r="A2413" t="s">
        <v>5848</v>
      </c>
      <c r="B2413">
        <v>32</v>
      </c>
      <c r="C2413" t="s">
        <v>5849</v>
      </c>
      <c r="D2413">
        <v>82224</v>
      </c>
      <c r="E2413" t="s">
        <v>9</v>
      </c>
      <c r="F2413" t="s">
        <v>5850</v>
      </c>
      <c r="G2413" s="1">
        <v>45282</v>
      </c>
    </row>
    <row r="2414" spans="1:7">
      <c r="A2414" t="s">
        <v>5851</v>
      </c>
      <c r="B2414">
        <v>69</v>
      </c>
      <c r="C2414" t="s">
        <v>5852</v>
      </c>
      <c r="E2414" t="s">
        <v>36</v>
      </c>
      <c r="F2414">
        <f>1-951-813-2008</f>
        <v>-3771</v>
      </c>
      <c r="G2414" s="1">
        <v>45277</v>
      </c>
    </row>
    <row r="2415" spans="1:7">
      <c r="A2415" t="s">
        <v>5853</v>
      </c>
      <c r="B2415">
        <v>61</v>
      </c>
      <c r="C2415" t="s">
        <v>5854</v>
      </c>
      <c r="D2415">
        <v>46241</v>
      </c>
      <c r="E2415" t="s">
        <v>27</v>
      </c>
      <c r="F2415">
        <v>9104238818</v>
      </c>
      <c r="G2415" t="s">
        <v>301</v>
      </c>
    </row>
    <row r="2416" spans="1:7">
      <c r="A2416" t="s">
        <v>5855</v>
      </c>
      <c r="B2416">
        <v>26</v>
      </c>
      <c r="C2416" t="s">
        <v>5856</v>
      </c>
      <c r="D2416">
        <v>199400</v>
      </c>
      <c r="E2416" t="s">
        <v>36</v>
      </c>
      <c r="F2416">
        <v>7041433982</v>
      </c>
      <c r="G2416" s="1">
        <v>44973</v>
      </c>
    </row>
    <row r="2417" spans="1:7">
      <c r="A2417" t="s">
        <v>5857</v>
      </c>
      <c r="B2417">
        <v>72</v>
      </c>
      <c r="C2417" t="s">
        <v>115</v>
      </c>
      <c r="D2417">
        <v>70130</v>
      </c>
      <c r="E2417" t="s">
        <v>12</v>
      </c>
      <c r="F2417" t="s">
        <v>5858</v>
      </c>
      <c r="G2417" s="1">
        <v>45005</v>
      </c>
    </row>
    <row r="2418" spans="1:7">
      <c r="A2418" t="s">
        <v>5859</v>
      </c>
      <c r="B2418">
        <v>24</v>
      </c>
      <c r="D2418">
        <v>199439</v>
      </c>
      <c r="E2418" t="s">
        <v>49</v>
      </c>
      <c r="F2418" t="s">
        <v>5860</v>
      </c>
      <c r="G2418" s="1">
        <v>45246</v>
      </c>
    </row>
    <row r="2419" spans="1:7">
      <c r="A2419" t="s">
        <v>5861</v>
      </c>
      <c r="B2419">
        <v>50</v>
      </c>
      <c r="C2419" t="s">
        <v>5862</v>
      </c>
      <c r="D2419">
        <v>117580</v>
      </c>
      <c r="E2419" t="s">
        <v>12</v>
      </c>
      <c r="F2419" t="s">
        <v>5863</v>
      </c>
      <c r="G2419" s="1">
        <v>44980</v>
      </c>
    </row>
    <row r="2420" spans="1:7">
      <c r="A2420" t="s">
        <v>5864</v>
      </c>
      <c r="B2420">
        <v>77</v>
      </c>
      <c r="C2420" t="s">
        <v>5865</v>
      </c>
      <c r="D2420">
        <v>61027</v>
      </c>
      <c r="E2420" t="s">
        <v>36</v>
      </c>
      <c r="F2420" t="s">
        <v>5866</v>
      </c>
      <c r="G2420" s="1">
        <v>45005</v>
      </c>
    </row>
    <row r="2421" spans="1:7">
      <c r="A2421" t="s">
        <v>5867</v>
      </c>
      <c r="B2421">
        <v>28</v>
      </c>
      <c r="C2421" t="s">
        <v>5868</v>
      </c>
      <c r="D2421">
        <v>162018</v>
      </c>
      <c r="E2421" t="s">
        <v>36</v>
      </c>
      <c r="F2421" t="s">
        <v>5869</v>
      </c>
      <c r="G2421" s="1">
        <v>45108</v>
      </c>
    </row>
    <row r="2422" spans="1:7">
      <c r="A2422" t="s">
        <v>5870</v>
      </c>
      <c r="B2422">
        <v>54</v>
      </c>
      <c r="C2422" t="s">
        <v>5871</v>
      </c>
      <c r="D2422">
        <v>125667</v>
      </c>
      <c r="E2422" t="s">
        <v>12</v>
      </c>
      <c r="F2422" t="s">
        <v>5872</v>
      </c>
      <c r="G2422" s="1">
        <v>45133</v>
      </c>
    </row>
    <row r="2423" spans="1:7">
      <c r="A2423" t="s">
        <v>5873</v>
      </c>
      <c r="B2423">
        <v>60</v>
      </c>
      <c r="C2423" t="s">
        <v>5874</v>
      </c>
      <c r="D2423">
        <v>152564</v>
      </c>
      <c r="E2423" t="s">
        <v>27</v>
      </c>
      <c r="F2423">
        <v>9118141883</v>
      </c>
      <c r="G2423" s="1">
        <v>45075</v>
      </c>
    </row>
    <row r="2424" spans="1:7">
      <c r="A2424" t="s">
        <v>5875</v>
      </c>
      <c r="B2424">
        <v>67</v>
      </c>
      <c r="C2424" t="s">
        <v>17</v>
      </c>
      <c r="D2424">
        <v>149547</v>
      </c>
      <c r="E2424" t="s">
        <v>9</v>
      </c>
      <c r="F2424" t="s">
        <v>5876</v>
      </c>
      <c r="G2424" s="1">
        <v>45263</v>
      </c>
    </row>
    <row r="2425" spans="1:7">
      <c r="A2425" t="s">
        <v>5877</v>
      </c>
      <c r="B2425">
        <v>-5</v>
      </c>
      <c r="C2425" t="s">
        <v>5878</v>
      </c>
      <c r="D2425">
        <v>168009</v>
      </c>
      <c r="E2425" t="s">
        <v>36</v>
      </c>
      <c r="F2425" t="s">
        <v>5879</v>
      </c>
      <c r="G2425" s="1">
        <v>45012</v>
      </c>
    </row>
    <row r="2426" spans="1:7">
      <c r="A2426" t="s">
        <v>2524</v>
      </c>
      <c r="B2426">
        <v>76</v>
      </c>
      <c r="C2426" t="s">
        <v>5880</v>
      </c>
      <c r="D2426">
        <v>69169</v>
      </c>
      <c r="E2426" t="s">
        <v>27</v>
      </c>
      <c r="F2426" t="s">
        <v>5881</v>
      </c>
      <c r="G2426" s="1">
        <v>45106</v>
      </c>
    </row>
    <row r="2427" spans="1:7">
      <c r="A2427" t="s">
        <v>5882</v>
      </c>
      <c r="B2427">
        <v>78</v>
      </c>
      <c r="C2427" t="s">
        <v>5883</v>
      </c>
      <c r="D2427">
        <v>161049</v>
      </c>
      <c r="E2427" t="s">
        <v>36</v>
      </c>
      <c r="F2427">
        <f>1-580-142-9565</f>
        <v>-10286</v>
      </c>
      <c r="G2427" s="1">
        <v>44989</v>
      </c>
    </row>
    <row r="2428" spans="1:7">
      <c r="A2428" t="s">
        <v>5884</v>
      </c>
      <c r="B2428">
        <v>63</v>
      </c>
      <c r="C2428" t="s">
        <v>5885</v>
      </c>
      <c r="D2428">
        <v>0</v>
      </c>
      <c r="E2428" t="s">
        <v>36</v>
      </c>
      <c r="G2428" s="1">
        <v>45280</v>
      </c>
    </row>
    <row r="2429" spans="1:7">
      <c r="A2429" t="s">
        <v>5886</v>
      </c>
      <c r="B2429">
        <v>67</v>
      </c>
      <c r="C2429" t="s">
        <v>5887</v>
      </c>
      <c r="D2429">
        <v>110986</v>
      </c>
      <c r="E2429" t="s">
        <v>36</v>
      </c>
      <c r="F2429" t="s">
        <v>5888</v>
      </c>
      <c r="G2429" s="1">
        <v>45119</v>
      </c>
    </row>
    <row r="2430" spans="1:7">
      <c r="A2430" t="s">
        <v>5889</v>
      </c>
      <c r="B2430">
        <v>35</v>
      </c>
      <c r="C2430" t="s">
        <v>5890</v>
      </c>
      <c r="D2430">
        <v>37211</v>
      </c>
      <c r="E2430" t="s">
        <v>27</v>
      </c>
      <c r="F2430" t="s">
        <v>5891</v>
      </c>
      <c r="G2430" s="1">
        <v>44992</v>
      </c>
    </row>
    <row r="2431" spans="1:7">
      <c r="A2431" t="s">
        <v>5892</v>
      </c>
      <c r="B2431">
        <v>51</v>
      </c>
      <c r="C2431" t="s">
        <v>5893</v>
      </c>
      <c r="D2431">
        <v>114289</v>
      </c>
      <c r="E2431" t="s">
        <v>9</v>
      </c>
      <c r="G2431" s="1">
        <v>45201</v>
      </c>
    </row>
    <row r="2432" spans="1:7">
      <c r="A2432" t="s">
        <v>3685</v>
      </c>
      <c r="B2432">
        <v>36</v>
      </c>
      <c r="C2432" t="s">
        <v>5894</v>
      </c>
      <c r="D2432">
        <v>165028</v>
      </c>
      <c r="E2432" t="s">
        <v>36</v>
      </c>
      <c r="F2432" t="s">
        <v>5895</v>
      </c>
      <c r="G2432" s="1">
        <v>45011</v>
      </c>
    </row>
    <row r="2433" spans="1:7">
      <c r="B2433">
        <v>42</v>
      </c>
      <c r="C2433" t="s">
        <v>5896</v>
      </c>
      <c r="D2433">
        <v>59963</v>
      </c>
      <c r="E2433" t="s">
        <v>27</v>
      </c>
      <c r="F2433" t="s">
        <v>5897</v>
      </c>
      <c r="G2433" s="1">
        <v>45024</v>
      </c>
    </row>
    <row r="2434" spans="1:7">
      <c r="A2434" t="s">
        <v>5898</v>
      </c>
      <c r="B2434">
        <v>26</v>
      </c>
      <c r="C2434" t="s">
        <v>5899</v>
      </c>
      <c r="D2434">
        <v>155814</v>
      </c>
      <c r="E2434" t="s">
        <v>527</v>
      </c>
      <c r="F2434">
        <v>8285619035</v>
      </c>
      <c r="G2434" s="1">
        <v>45099</v>
      </c>
    </row>
    <row r="2435" spans="1:7">
      <c r="A2435" t="s">
        <v>5900</v>
      </c>
      <c r="B2435">
        <v>54</v>
      </c>
      <c r="C2435" t="s">
        <v>5901</v>
      </c>
      <c r="D2435">
        <v>165705</v>
      </c>
      <c r="E2435" t="s">
        <v>12</v>
      </c>
      <c r="F2435" t="s">
        <v>5902</v>
      </c>
      <c r="G2435" s="1">
        <v>44982</v>
      </c>
    </row>
    <row r="2436" spans="1:7">
      <c r="A2436" t="s">
        <v>5903</v>
      </c>
      <c r="B2436">
        <v>73</v>
      </c>
      <c r="C2436" t="s">
        <v>17</v>
      </c>
      <c r="D2436">
        <v>52763</v>
      </c>
      <c r="E2436" t="s">
        <v>9</v>
      </c>
      <c r="F2436">
        <f>1-846-102-7565</f>
        <v>-8512</v>
      </c>
      <c r="G2436" s="1">
        <v>44973</v>
      </c>
    </row>
    <row r="2437" spans="1:7">
      <c r="A2437" t="s">
        <v>5904</v>
      </c>
      <c r="B2437">
        <v>19</v>
      </c>
      <c r="C2437" t="s">
        <v>5905</v>
      </c>
      <c r="D2437">
        <v>193052</v>
      </c>
      <c r="E2437" t="s">
        <v>9</v>
      </c>
      <c r="F2437" t="s">
        <v>5906</v>
      </c>
      <c r="G2437" s="1">
        <v>45132</v>
      </c>
    </row>
    <row r="2438" spans="1:7">
      <c r="A2438" t="s">
        <v>5907</v>
      </c>
      <c r="B2438">
        <v>20</v>
      </c>
      <c r="C2438" t="s">
        <v>5908</v>
      </c>
      <c r="D2438">
        <v>69041</v>
      </c>
      <c r="E2438" t="s">
        <v>27</v>
      </c>
      <c r="F2438" t="s">
        <v>5909</v>
      </c>
      <c r="G2438" s="1">
        <v>45275</v>
      </c>
    </row>
    <row r="2439" spans="1:7">
      <c r="A2439" t="s">
        <v>5910</v>
      </c>
      <c r="C2439" t="s">
        <v>5911</v>
      </c>
      <c r="E2439" t="s">
        <v>36</v>
      </c>
      <c r="F2439">
        <f>1-115-210-8775</f>
        <v>-9099</v>
      </c>
      <c r="G2439" s="1">
        <v>45287</v>
      </c>
    </row>
    <row r="2440" spans="1:7">
      <c r="A2440" t="s">
        <v>5912</v>
      </c>
      <c r="B2440">
        <v>48</v>
      </c>
      <c r="C2440" t="s">
        <v>5913</v>
      </c>
      <c r="E2440" t="s">
        <v>9</v>
      </c>
      <c r="F2440">
        <f>1-402-248-9769</f>
        <v>-10418</v>
      </c>
      <c r="G2440" s="1">
        <v>45247</v>
      </c>
    </row>
    <row r="2441" spans="1:7">
      <c r="A2441" t="s">
        <v>5914</v>
      </c>
      <c r="B2441">
        <v>64</v>
      </c>
      <c r="C2441" t="s">
        <v>5915</v>
      </c>
      <c r="D2441">
        <v>59545</v>
      </c>
      <c r="E2441" t="s">
        <v>36</v>
      </c>
      <c r="F2441" t="s">
        <v>5916</v>
      </c>
      <c r="G2441" t="s">
        <v>493</v>
      </c>
    </row>
    <row r="2442" spans="1:7">
      <c r="A2442" t="s">
        <v>5917</v>
      </c>
      <c r="B2442">
        <v>77</v>
      </c>
      <c r="C2442" t="s">
        <v>5918</v>
      </c>
      <c r="D2442">
        <v>118074</v>
      </c>
      <c r="E2442" t="s">
        <v>12</v>
      </c>
      <c r="F2442" t="s">
        <v>5919</v>
      </c>
      <c r="G2442" t="s">
        <v>81</v>
      </c>
    </row>
    <row r="2443" spans="1:7">
      <c r="A2443" t="s">
        <v>5920</v>
      </c>
      <c r="B2443">
        <v>70</v>
      </c>
      <c r="C2443" t="s">
        <v>5921</v>
      </c>
      <c r="D2443">
        <v>156150</v>
      </c>
      <c r="E2443" t="s">
        <v>9</v>
      </c>
      <c r="F2443" t="s">
        <v>5922</v>
      </c>
      <c r="G2443" s="1">
        <v>45251</v>
      </c>
    </row>
    <row r="2444" spans="1:7">
      <c r="A2444" t="s">
        <v>461</v>
      </c>
      <c r="B2444">
        <v>53</v>
      </c>
      <c r="C2444" t="s">
        <v>5923</v>
      </c>
      <c r="D2444">
        <v>187249</v>
      </c>
      <c r="E2444" t="s">
        <v>9</v>
      </c>
      <c r="F2444" t="s">
        <v>5924</v>
      </c>
      <c r="G2444" s="1">
        <v>45044</v>
      </c>
    </row>
    <row r="2445" spans="1:7">
      <c r="A2445" t="s">
        <v>5925</v>
      </c>
      <c r="B2445">
        <v>76</v>
      </c>
      <c r="C2445" t="s">
        <v>5926</v>
      </c>
      <c r="D2445">
        <v>-5000</v>
      </c>
      <c r="E2445" t="s">
        <v>36</v>
      </c>
      <c r="F2445" t="s">
        <v>5927</v>
      </c>
      <c r="G2445" s="1">
        <v>45248</v>
      </c>
    </row>
    <row r="2446" spans="1:7">
      <c r="A2446" t="s">
        <v>5928</v>
      </c>
      <c r="B2446">
        <v>45</v>
      </c>
      <c r="C2446" t="s">
        <v>5929</v>
      </c>
      <c r="E2446" t="s">
        <v>12</v>
      </c>
      <c r="F2446">
        <f>1-367-655-6629</f>
        <v>-7650</v>
      </c>
      <c r="G2446" s="1">
        <v>45026</v>
      </c>
    </row>
    <row r="2447" spans="1:7">
      <c r="A2447" t="s">
        <v>5930</v>
      </c>
      <c r="B2447">
        <v>50</v>
      </c>
      <c r="C2447" t="s">
        <v>5931</v>
      </c>
      <c r="D2447">
        <v>178082</v>
      </c>
      <c r="E2447" t="s">
        <v>36</v>
      </c>
      <c r="F2447" t="s">
        <v>5932</v>
      </c>
      <c r="G2447" s="1">
        <v>45273</v>
      </c>
    </row>
    <row r="2448" spans="1:7">
      <c r="A2448" t="s">
        <v>5933</v>
      </c>
      <c r="B2448">
        <v>20</v>
      </c>
      <c r="C2448" t="s">
        <v>5934</v>
      </c>
      <c r="D2448">
        <v>192735</v>
      </c>
      <c r="E2448" t="s">
        <v>9</v>
      </c>
      <c r="F2448" t="s">
        <v>5935</v>
      </c>
      <c r="G2448" s="1">
        <v>45009</v>
      </c>
    </row>
    <row r="2449" spans="1:7">
      <c r="A2449" t="s">
        <v>5936</v>
      </c>
      <c r="B2449">
        <v>18</v>
      </c>
      <c r="C2449" t="s">
        <v>5937</v>
      </c>
      <c r="D2449">
        <v>36895</v>
      </c>
      <c r="E2449" t="s">
        <v>27</v>
      </c>
      <c r="F2449">
        <f>1-588-433-1324</f>
        <v>-2344</v>
      </c>
      <c r="G2449" s="1">
        <v>44979</v>
      </c>
    </row>
    <row r="2450" spans="1:7">
      <c r="A2450" t="s">
        <v>5938</v>
      </c>
      <c r="B2450">
        <v>-5</v>
      </c>
      <c r="C2450" t="s">
        <v>5939</v>
      </c>
      <c r="D2450">
        <v>133215</v>
      </c>
      <c r="E2450" t="s">
        <v>36</v>
      </c>
      <c r="F2450">
        <v>5848100876</v>
      </c>
      <c r="G2450" s="1">
        <v>45204</v>
      </c>
    </row>
    <row r="2451" spans="1:7">
      <c r="A2451" t="s">
        <v>5940</v>
      </c>
      <c r="B2451">
        <v>74</v>
      </c>
      <c r="C2451" t="s">
        <v>5941</v>
      </c>
      <c r="D2451">
        <v>0</v>
      </c>
      <c r="E2451" t="s">
        <v>36</v>
      </c>
      <c r="F2451" t="s">
        <v>5942</v>
      </c>
      <c r="G2451" s="1">
        <v>44972</v>
      </c>
    </row>
    <row r="2452" spans="1:7">
      <c r="A2452" t="s">
        <v>5943</v>
      </c>
      <c r="B2452">
        <v>77</v>
      </c>
      <c r="C2452" t="s">
        <v>5944</v>
      </c>
      <c r="E2452" t="s">
        <v>12</v>
      </c>
      <c r="F2452" t="s">
        <v>5945</v>
      </c>
      <c r="G2452" s="1">
        <v>45027</v>
      </c>
    </row>
    <row r="2453" spans="1:7">
      <c r="A2453" t="s">
        <v>5946</v>
      </c>
      <c r="B2453">
        <v>48</v>
      </c>
      <c r="C2453" t="s">
        <v>5947</v>
      </c>
      <c r="D2453">
        <v>82691</v>
      </c>
      <c r="E2453" t="s">
        <v>12</v>
      </c>
      <c r="F2453" t="s">
        <v>5948</v>
      </c>
      <c r="G2453" s="1">
        <v>44965</v>
      </c>
    </row>
    <row r="2454" spans="1:7">
      <c r="A2454" t="s">
        <v>5949</v>
      </c>
      <c r="B2454">
        <v>37</v>
      </c>
      <c r="C2454" t="s">
        <v>5950</v>
      </c>
      <c r="D2454">
        <v>93745</v>
      </c>
      <c r="E2454" t="s">
        <v>9</v>
      </c>
      <c r="G2454" s="1">
        <v>45110</v>
      </c>
    </row>
    <row r="2455" spans="1:7">
      <c r="A2455" t="s">
        <v>5951</v>
      </c>
      <c r="B2455">
        <v>42</v>
      </c>
      <c r="C2455" t="s">
        <v>5952</v>
      </c>
      <c r="D2455">
        <v>137286</v>
      </c>
      <c r="E2455" t="s">
        <v>36</v>
      </c>
      <c r="F2455" t="s">
        <v>5953</v>
      </c>
      <c r="G2455" s="1">
        <v>45236</v>
      </c>
    </row>
    <row r="2456" spans="1:7">
      <c r="A2456" t="s">
        <v>5954</v>
      </c>
      <c r="B2456">
        <v>44</v>
      </c>
      <c r="C2456" t="s">
        <v>5955</v>
      </c>
      <c r="D2456">
        <v>96630</v>
      </c>
      <c r="E2456" t="s">
        <v>36</v>
      </c>
      <c r="F2456" t="s">
        <v>5956</v>
      </c>
      <c r="G2456" s="1">
        <v>45129</v>
      </c>
    </row>
    <row r="2457" spans="1:7">
      <c r="A2457" t="s">
        <v>5957</v>
      </c>
      <c r="B2457">
        <v>43</v>
      </c>
      <c r="D2457">
        <v>180331</v>
      </c>
      <c r="E2457" t="s">
        <v>36</v>
      </c>
      <c r="F2457" t="s">
        <v>5958</v>
      </c>
      <c r="G2457" s="1">
        <v>45003</v>
      </c>
    </row>
    <row r="2458" spans="1:7">
      <c r="A2458" t="s">
        <v>5959</v>
      </c>
      <c r="B2458">
        <v>19</v>
      </c>
      <c r="C2458" t="s">
        <v>5960</v>
      </c>
      <c r="D2458">
        <v>176721</v>
      </c>
      <c r="E2458" t="s">
        <v>294</v>
      </c>
      <c r="G2458" s="1">
        <v>45049</v>
      </c>
    </row>
    <row r="2459" spans="1:7">
      <c r="A2459" t="s">
        <v>5961</v>
      </c>
      <c r="B2459">
        <v>31</v>
      </c>
      <c r="C2459" t="s">
        <v>170</v>
      </c>
      <c r="D2459">
        <v>79052</v>
      </c>
      <c r="E2459" t="s">
        <v>27</v>
      </c>
      <c r="F2459" t="s">
        <v>5962</v>
      </c>
      <c r="G2459" s="1">
        <v>45025</v>
      </c>
    </row>
    <row r="2460" spans="1:7">
      <c r="A2460" t="s">
        <v>5963</v>
      </c>
      <c r="B2460">
        <v>47</v>
      </c>
      <c r="C2460" t="s">
        <v>5964</v>
      </c>
      <c r="D2460">
        <v>76999</v>
      </c>
      <c r="E2460" t="s">
        <v>36</v>
      </c>
      <c r="F2460">
        <v>6587745053</v>
      </c>
      <c r="G2460" t="s">
        <v>301</v>
      </c>
    </row>
    <row r="2461" spans="1:7">
      <c r="A2461" t="s">
        <v>5965</v>
      </c>
      <c r="B2461">
        <v>54</v>
      </c>
      <c r="C2461" t="s">
        <v>5966</v>
      </c>
      <c r="E2461" t="s">
        <v>9</v>
      </c>
      <c r="F2461" t="s">
        <v>5967</v>
      </c>
      <c r="G2461" s="1">
        <v>45020</v>
      </c>
    </row>
    <row r="2462" spans="1:7">
      <c r="A2462" t="s">
        <v>5968</v>
      </c>
      <c r="B2462">
        <v>60</v>
      </c>
      <c r="C2462" t="s">
        <v>5969</v>
      </c>
      <c r="D2462">
        <v>104205</v>
      </c>
      <c r="E2462" t="s">
        <v>27</v>
      </c>
      <c r="F2462" t="s">
        <v>5970</v>
      </c>
      <c r="G2462" s="1">
        <v>45172</v>
      </c>
    </row>
    <row r="2463" spans="1:7">
      <c r="A2463" t="s">
        <v>5971</v>
      </c>
      <c r="B2463">
        <v>61</v>
      </c>
      <c r="C2463" t="s">
        <v>5972</v>
      </c>
      <c r="D2463">
        <v>131505</v>
      </c>
      <c r="E2463" t="s">
        <v>9</v>
      </c>
      <c r="F2463" t="s">
        <v>5973</v>
      </c>
      <c r="G2463" s="1">
        <v>45244</v>
      </c>
    </row>
    <row r="2464" spans="1:7">
      <c r="A2464" t="s">
        <v>5974</v>
      </c>
      <c r="B2464">
        <v>25</v>
      </c>
      <c r="C2464" t="s">
        <v>5975</v>
      </c>
      <c r="D2464">
        <v>177631</v>
      </c>
      <c r="E2464" t="s">
        <v>36</v>
      </c>
      <c r="F2464" t="s">
        <v>5976</v>
      </c>
      <c r="G2464" s="1">
        <v>45132</v>
      </c>
    </row>
    <row r="2465" spans="1:7">
      <c r="A2465" t="s">
        <v>5977</v>
      </c>
      <c r="B2465">
        <v>24</v>
      </c>
      <c r="C2465" t="s">
        <v>5978</v>
      </c>
      <c r="D2465">
        <v>0</v>
      </c>
      <c r="E2465" t="s">
        <v>27</v>
      </c>
      <c r="F2465" t="s">
        <v>5979</v>
      </c>
      <c r="G2465" s="1">
        <v>45285</v>
      </c>
    </row>
    <row r="2466" spans="1:7">
      <c r="A2466" t="s">
        <v>5980</v>
      </c>
      <c r="B2466">
        <v>61</v>
      </c>
      <c r="C2466" t="s">
        <v>5981</v>
      </c>
      <c r="E2466" t="s">
        <v>9</v>
      </c>
      <c r="F2466">
        <f>1-486-731-6779</f>
        <v>-7995</v>
      </c>
      <c r="G2466" s="1">
        <v>45197</v>
      </c>
    </row>
    <row r="2467" spans="1:7">
      <c r="A2467" t="s">
        <v>5982</v>
      </c>
      <c r="B2467">
        <v>47</v>
      </c>
      <c r="C2467" t="s">
        <v>5983</v>
      </c>
      <c r="D2467">
        <v>132476</v>
      </c>
      <c r="E2467" t="s">
        <v>27</v>
      </c>
      <c r="F2467">
        <v>6159978032</v>
      </c>
      <c r="G2467" s="1">
        <v>44990</v>
      </c>
    </row>
    <row r="2468" spans="1:7">
      <c r="A2468" t="s">
        <v>5984</v>
      </c>
      <c r="B2468">
        <v>21</v>
      </c>
      <c r="C2468" t="s">
        <v>5985</v>
      </c>
      <c r="D2468">
        <v>153106</v>
      </c>
      <c r="E2468" t="s">
        <v>27</v>
      </c>
      <c r="F2468" t="s">
        <v>5986</v>
      </c>
      <c r="G2468" s="1">
        <v>45015</v>
      </c>
    </row>
    <row r="2469" spans="1:7">
      <c r="A2469" t="s">
        <v>5987</v>
      </c>
      <c r="B2469">
        <v>50</v>
      </c>
      <c r="C2469" t="s">
        <v>5988</v>
      </c>
      <c r="D2469">
        <v>134135</v>
      </c>
      <c r="E2469" t="s">
        <v>12</v>
      </c>
      <c r="F2469">
        <f>1-912-751-6463</f>
        <v>-8125</v>
      </c>
      <c r="G2469" s="1">
        <v>45282</v>
      </c>
    </row>
    <row r="2470" spans="1:7">
      <c r="A2470" t="s">
        <v>5989</v>
      </c>
      <c r="B2470">
        <v>73</v>
      </c>
      <c r="C2470" t="s">
        <v>5990</v>
      </c>
      <c r="D2470">
        <v>41221</v>
      </c>
      <c r="E2470" t="s">
        <v>27</v>
      </c>
      <c r="F2470" t="s">
        <v>5991</v>
      </c>
      <c r="G2470" s="1">
        <v>45138</v>
      </c>
    </row>
    <row r="2471" spans="1:7">
      <c r="A2471" t="s">
        <v>815</v>
      </c>
      <c r="B2471">
        <v>76</v>
      </c>
      <c r="C2471" t="s">
        <v>5992</v>
      </c>
      <c r="D2471">
        <v>185892</v>
      </c>
      <c r="E2471" t="s">
        <v>27</v>
      </c>
      <c r="F2471">
        <v>5435473617</v>
      </c>
      <c r="G2471" t="s">
        <v>301</v>
      </c>
    </row>
    <row r="2472" spans="1:7">
      <c r="A2472" t="s">
        <v>5993</v>
      </c>
      <c r="B2472">
        <v>47</v>
      </c>
      <c r="C2472" t="s">
        <v>5994</v>
      </c>
      <c r="D2472">
        <v>172228</v>
      </c>
      <c r="E2472" t="s">
        <v>36</v>
      </c>
      <c r="F2472">
        <f>1-146-231-7003</f>
        <v>-7379</v>
      </c>
      <c r="G2472" s="1">
        <v>45060</v>
      </c>
    </row>
    <row r="2473" spans="1:7">
      <c r="A2473" t="s">
        <v>5995</v>
      </c>
      <c r="B2473">
        <v>76</v>
      </c>
      <c r="C2473" t="s">
        <v>5996</v>
      </c>
      <c r="D2473">
        <v>37006</v>
      </c>
      <c r="E2473" t="s">
        <v>36</v>
      </c>
      <c r="F2473" t="s">
        <v>5997</v>
      </c>
      <c r="G2473" s="1">
        <v>45166</v>
      </c>
    </row>
    <row r="2474" spans="1:7">
      <c r="A2474" t="s">
        <v>5998</v>
      </c>
      <c r="B2474">
        <v>75</v>
      </c>
      <c r="C2474" t="s">
        <v>389</v>
      </c>
      <c r="D2474">
        <v>0</v>
      </c>
      <c r="E2474" t="s">
        <v>27</v>
      </c>
      <c r="F2474" t="s">
        <v>5999</v>
      </c>
      <c r="G2474" s="1">
        <v>45174</v>
      </c>
    </row>
    <row r="2475" spans="1:7">
      <c r="A2475" t="s">
        <v>6000</v>
      </c>
      <c r="B2475">
        <v>26</v>
      </c>
      <c r="C2475" t="s">
        <v>6001</v>
      </c>
      <c r="D2475">
        <v>75536</v>
      </c>
      <c r="E2475" t="s">
        <v>36</v>
      </c>
      <c r="F2475" t="s">
        <v>6002</v>
      </c>
      <c r="G2475" s="1">
        <v>44927</v>
      </c>
    </row>
    <row r="2476" spans="1:7">
      <c r="A2476" t="s">
        <v>6003</v>
      </c>
      <c r="B2476">
        <v>42</v>
      </c>
      <c r="C2476" t="s">
        <v>6004</v>
      </c>
      <c r="D2476">
        <v>182697</v>
      </c>
      <c r="E2476" t="s">
        <v>9</v>
      </c>
      <c r="F2476" t="s">
        <v>6005</v>
      </c>
      <c r="G2476" t="s">
        <v>180</v>
      </c>
    </row>
    <row r="2477" spans="1:7">
      <c r="A2477" t="s">
        <v>6006</v>
      </c>
      <c r="B2477">
        <v>67</v>
      </c>
      <c r="D2477">
        <v>131025</v>
      </c>
      <c r="E2477" t="s">
        <v>9</v>
      </c>
      <c r="F2477" t="s">
        <v>6007</v>
      </c>
      <c r="G2477" s="1">
        <v>45251</v>
      </c>
    </row>
    <row r="2478" spans="1:7">
      <c r="A2478" t="s">
        <v>6008</v>
      </c>
      <c r="B2478">
        <v>54</v>
      </c>
      <c r="C2478" t="s">
        <v>6009</v>
      </c>
      <c r="D2478">
        <v>177973</v>
      </c>
      <c r="E2478" t="s">
        <v>36</v>
      </c>
      <c r="F2478">
        <v>3515465308</v>
      </c>
      <c r="G2478" s="1">
        <v>44931</v>
      </c>
    </row>
    <row r="2479" spans="1:7">
      <c r="A2479" t="s">
        <v>6010</v>
      </c>
      <c r="B2479">
        <v>62</v>
      </c>
      <c r="C2479" t="s">
        <v>6011</v>
      </c>
      <c r="D2479">
        <v>160364</v>
      </c>
      <c r="E2479" t="s">
        <v>27</v>
      </c>
      <c r="F2479" t="s">
        <v>6012</v>
      </c>
      <c r="G2479" s="1">
        <v>45213</v>
      </c>
    </row>
    <row r="2480" spans="1:7">
      <c r="A2480" t="s">
        <v>6013</v>
      </c>
      <c r="B2480">
        <v>-999</v>
      </c>
      <c r="C2480" t="s">
        <v>531</v>
      </c>
      <c r="D2480">
        <v>-1</v>
      </c>
      <c r="E2480" t="s">
        <v>532</v>
      </c>
      <c r="G2480" t="s">
        <v>493</v>
      </c>
    </row>
    <row r="2481" spans="1:7">
      <c r="A2481" t="s">
        <v>6014</v>
      </c>
      <c r="B2481">
        <v>68</v>
      </c>
      <c r="C2481" t="s">
        <v>6015</v>
      </c>
      <c r="D2481">
        <v>58930</v>
      </c>
      <c r="E2481" t="s">
        <v>27</v>
      </c>
      <c r="F2481" t="s">
        <v>6016</v>
      </c>
      <c r="G2481" s="1">
        <v>45222</v>
      </c>
    </row>
    <row r="2482" spans="1:7">
      <c r="A2482" t="s">
        <v>6017</v>
      </c>
      <c r="B2482">
        <v>24</v>
      </c>
      <c r="D2482">
        <v>120385</v>
      </c>
      <c r="E2482" t="s">
        <v>36</v>
      </c>
      <c r="F2482" t="s">
        <v>6018</v>
      </c>
      <c r="G2482" s="1">
        <v>44961</v>
      </c>
    </row>
    <row r="2483" spans="1:7">
      <c r="B2483">
        <v>22</v>
      </c>
      <c r="C2483" t="s">
        <v>6019</v>
      </c>
      <c r="D2483">
        <v>31920</v>
      </c>
      <c r="E2483" t="s">
        <v>12</v>
      </c>
      <c r="G2483" s="1">
        <v>45164</v>
      </c>
    </row>
    <row r="2484" spans="1:7">
      <c r="A2484" t="s">
        <v>6020</v>
      </c>
      <c r="B2484">
        <v>44</v>
      </c>
      <c r="D2484">
        <v>196490</v>
      </c>
      <c r="E2484" t="s">
        <v>36</v>
      </c>
      <c r="F2484" t="s">
        <v>6021</v>
      </c>
      <c r="G2484" s="1">
        <v>45040</v>
      </c>
    </row>
    <row r="2485" spans="1:7">
      <c r="B2485">
        <v>58</v>
      </c>
      <c r="C2485" t="s">
        <v>6022</v>
      </c>
      <c r="D2485">
        <v>88502</v>
      </c>
      <c r="F2485" t="s">
        <v>6023</v>
      </c>
      <c r="G2485" s="1">
        <v>45064</v>
      </c>
    </row>
    <row r="2486" spans="1:7">
      <c r="A2486" t="s">
        <v>6024</v>
      </c>
      <c r="B2486">
        <v>30</v>
      </c>
      <c r="C2486" t="s">
        <v>6025</v>
      </c>
      <c r="E2486" t="s">
        <v>36</v>
      </c>
      <c r="F2486" t="s">
        <v>6026</v>
      </c>
      <c r="G2486" s="1">
        <v>45245</v>
      </c>
    </row>
    <row r="2487" spans="1:7">
      <c r="A2487" t="s">
        <v>6027</v>
      </c>
      <c r="B2487">
        <v>19</v>
      </c>
      <c r="C2487" t="s">
        <v>6028</v>
      </c>
      <c r="D2487">
        <v>-20000</v>
      </c>
      <c r="E2487" t="s">
        <v>36</v>
      </c>
      <c r="F2487" t="s">
        <v>6029</v>
      </c>
      <c r="G2487" s="1">
        <v>44949</v>
      </c>
    </row>
    <row r="2488" spans="1:7">
      <c r="A2488" t="s">
        <v>6030</v>
      </c>
      <c r="B2488">
        <v>23</v>
      </c>
      <c r="C2488" t="s">
        <v>6031</v>
      </c>
      <c r="D2488">
        <v>191679</v>
      </c>
      <c r="E2488" t="s">
        <v>36</v>
      </c>
      <c r="F2488" t="s">
        <v>6032</v>
      </c>
      <c r="G2488" s="1">
        <v>44971</v>
      </c>
    </row>
    <row r="2489" spans="1:7">
      <c r="A2489" t="s">
        <v>6033</v>
      </c>
      <c r="B2489">
        <v>50</v>
      </c>
      <c r="C2489" t="s">
        <v>6034</v>
      </c>
      <c r="D2489">
        <v>157536</v>
      </c>
      <c r="E2489" t="s">
        <v>9</v>
      </c>
      <c r="F2489" t="s">
        <v>6035</v>
      </c>
      <c r="G2489" s="1">
        <v>45141</v>
      </c>
    </row>
    <row r="2490" spans="1:7">
      <c r="A2490" t="s">
        <v>6036</v>
      </c>
      <c r="B2490">
        <v>36</v>
      </c>
      <c r="C2490" t="s">
        <v>6037</v>
      </c>
      <c r="D2490">
        <v>130336</v>
      </c>
      <c r="E2490" t="s">
        <v>9</v>
      </c>
      <c r="F2490" t="s">
        <v>6038</v>
      </c>
      <c r="G2490" s="1">
        <v>45064</v>
      </c>
    </row>
    <row r="2491" spans="1:7">
      <c r="A2491" t="s">
        <v>6039</v>
      </c>
      <c r="B2491">
        <v>28</v>
      </c>
      <c r="C2491" t="s">
        <v>6040</v>
      </c>
      <c r="E2491" t="s">
        <v>49</v>
      </c>
      <c r="F2491" t="s">
        <v>6041</v>
      </c>
      <c r="G2491" s="1">
        <v>45142</v>
      </c>
    </row>
    <row r="2492" spans="1:7">
      <c r="A2492" t="s">
        <v>6042</v>
      </c>
      <c r="B2492">
        <v>58</v>
      </c>
      <c r="C2492" t="s">
        <v>6043</v>
      </c>
      <c r="D2492">
        <v>110730</v>
      </c>
      <c r="E2492" t="s">
        <v>27</v>
      </c>
      <c r="F2492" t="s">
        <v>6044</v>
      </c>
      <c r="G2492" s="1">
        <v>45233</v>
      </c>
    </row>
    <row r="2493" spans="1:7">
      <c r="A2493" t="s">
        <v>6045</v>
      </c>
      <c r="B2493">
        <v>48</v>
      </c>
      <c r="C2493" t="s">
        <v>6046</v>
      </c>
      <c r="D2493">
        <v>51341</v>
      </c>
      <c r="E2493" t="s">
        <v>12</v>
      </c>
      <c r="F2493">
        <f>1-319-515-8046</f>
        <v>-8879</v>
      </c>
      <c r="G2493" s="1">
        <v>45052</v>
      </c>
    </row>
    <row r="2494" spans="1:7">
      <c r="A2494" t="s">
        <v>6047</v>
      </c>
      <c r="B2494">
        <v>31</v>
      </c>
      <c r="C2494" t="s">
        <v>6048</v>
      </c>
      <c r="D2494">
        <v>198001</v>
      </c>
      <c r="E2494" t="s">
        <v>27</v>
      </c>
      <c r="F2494" t="s">
        <v>6049</v>
      </c>
      <c r="G2494" t="s">
        <v>493</v>
      </c>
    </row>
    <row r="2495" spans="1:7">
      <c r="A2495" t="s">
        <v>6050</v>
      </c>
      <c r="B2495">
        <v>52</v>
      </c>
      <c r="C2495" t="s">
        <v>6051</v>
      </c>
      <c r="D2495">
        <v>82021</v>
      </c>
      <c r="E2495" t="s">
        <v>36</v>
      </c>
      <c r="F2495" t="s">
        <v>6052</v>
      </c>
      <c r="G2495" s="1">
        <v>45040</v>
      </c>
    </row>
    <row r="2496" spans="1:7">
      <c r="A2496" t="s">
        <v>6053</v>
      </c>
      <c r="B2496">
        <v>-1</v>
      </c>
      <c r="C2496" t="s">
        <v>6054</v>
      </c>
      <c r="D2496">
        <v>74816</v>
      </c>
      <c r="E2496" t="s">
        <v>36</v>
      </c>
      <c r="F2496" t="s">
        <v>6055</v>
      </c>
      <c r="G2496" s="1">
        <v>44976</v>
      </c>
    </row>
    <row r="2497" spans="1:7">
      <c r="A2497" t="s">
        <v>6056</v>
      </c>
      <c r="B2497">
        <v>22</v>
      </c>
      <c r="C2497" t="s">
        <v>6057</v>
      </c>
      <c r="D2497">
        <v>169471</v>
      </c>
      <c r="E2497" t="s">
        <v>9</v>
      </c>
      <c r="F2497" t="s">
        <v>6058</v>
      </c>
      <c r="G2497" s="1">
        <v>45141</v>
      </c>
    </row>
    <row r="2498" spans="1:7">
      <c r="A2498" t="s">
        <v>6059</v>
      </c>
      <c r="B2498">
        <v>21</v>
      </c>
      <c r="D2498">
        <v>121009</v>
      </c>
      <c r="E2498" t="s">
        <v>36</v>
      </c>
      <c r="F2498">
        <v>6888264673</v>
      </c>
      <c r="G2498" s="1">
        <v>45087</v>
      </c>
    </row>
    <row r="2499" spans="1:7">
      <c r="A2499" t="s">
        <v>6060</v>
      </c>
      <c r="B2499">
        <v>67</v>
      </c>
      <c r="C2499" t="s">
        <v>6061</v>
      </c>
      <c r="D2499">
        <v>52821</v>
      </c>
      <c r="E2499" t="s">
        <v>27</v>
      </c>
      <c r="F2499">
        <v>3882025167</v>
      </c>
      <c r="G2499" s="1">
        <v>45160</v>
      </c>
    </row>
    <row r="2500" spans="1:7">
      <c r="A2500" t="s">
        <v>6062</v>
      </c>
      <c r="B2500">
        <v>51</v>
      </c>
      <c r="C2500" t="s">
        <v>6063</v>
      </c>
      <c r="D2500">
        <v>108543</v>
      </c>
      <c r="E2500" t="s">
        <v>27</v>
      </c>
      <c r="F2500" t="s">
        <v>6064</v>
      </c>
      <c r="G2500" s="1">
        <v>45026</v>
      </c>
    </row>
    <row r="2501" spans="1:7">
      <c r="A2501" t="s">
        <v>6065</v>
      </c>
      <c r="B2501">
        <v>0</v>
      </c>
      <c r="C2501" t="s">
        <v>6066</v>
      </c>
      <c r="D2501">
        <v>0</v>
      </c>
      <c r="E2501" t="s">
        <v>12</v>
      </c>
      <c r="F2501" t="s">
        <v>6067</v>
      </c>
      <c r="G2501" s="1">
        <v>45059</v>
      </c>
    </row>
    <row r="2502" spans="1:7">
      <c r="A2502" t="s">
        <v>6068</v>
      </c>
      <c r="B2502">
        <v>60</v>
      </c>
      <c r="C2502" t="s">
        <v>6069</v>
      </c>
      <c r="D2502">
        <v>65733</v>
      </c>
      <c r="E2502" t="s">
        <v>36</v>
      </c>
      <c r="F2502" t="s">
        <v>6070</v>
      </c>
      <c r="G2502" s="1">
        <v>45271</v>
      </c>
    </row>
    <row r="2503" spans="1:7">
      <c r="A2503" t="s">
        <v>6071</v>
      </c>
      <c r="B2503">
        <v>-25</v>
      </c>
      <c r="C2503" t="s">
        <v>6072</v>
      </c>
      <c r="D2503">
        <v>51644</v>
      </c>
      <c r="E2503" t="s">
        <v>27</v>
      </c>
      <c r="F2503">
        <f>1-923-407-8092</f>
        <v>-9421</v>
      </c>
      <c r="G2503" s="1">
        <v>45069</v>
      </c>
    </row>
    <row r="2504" spans="1:7">
      <c r="A2504" t="s">
        <v>6073</v>
      </c>
      <c r="B2504">
        <v>45</v>
      </c>
      <c r="C2504" t="s">
        <v>6074</v>
      </c>
      <c r="D2504">
        <v>105209</v>
      </c>
      <c r="E2504" t="s">
        <v>12</v>
      </c>
      <c r="F2504">
        <v>3784783625</v>
      </c>
      <c r="G2504" s="1">
        <v>45069</v>
      </c>
    </row>
    <row r="2505" spans="1:7">
      <c r="A2505" t="s">
        <v>6075</v>
      </c>
      <c r="B2505">
        <v>60</v>
      </c>
      <c r="C2505" t="s">
        <v>6076</v>
      </c>
      <c r="D2505">
        <v>192051</v>
      </c>
      <c r="E2505" t="s">
        <v>9</v>
      </c>
      <c r="F2505" t="s">
        <v>6077</v>
      </c>
      <c r="G2505" s="1">
        <v>45170</v>
      </c>
    </row>
    <row r="2506" spans="1:7">
      <c r="A2506" t="s">
        <v>6078</v>
      </c>
      <c r="B2506">
        <v>69</v>
      </c>
      <c r="C2506" t="s">
        <v>6079</v>
      </c>
      <c r="D2506">
        <v>118992</v>
      </c>
      <c r="E2506" t="s">
        <v>36</v>
      </c>
      <c r="G2506" s="1">
        <v>45090</v>
      </c>
    </row>
    <row r="2507" spans="1:7">
      <c r="A2507" t="s">
        <v>6080</v>
      </c>
      <c r="B2507">
        <v>76</v>
      </c>
      <c r="C2507" t="s">
        <v>6081</v>
      </c>
      <c r="D2507">
        <v>107606</v>
      </c>
      <c r="E2507" t="s">
        <v>27</v>
      </c>
      <c r="F2507" t="s">
        <v>6082</v>
      </c>
      <c r="G2507" s="1">
        <v>45164</v>
      </c>
    </row>
    <row r="2508" spans="1:7">
      <c r="A2508" t="s">
        <v>6083</v>
      </c>
      <c r="B2508">
        <v>29</v>
      </c>
      <c r="C2508" t="s">
        <v>6084</v>
      </c>
      <c r="D2508">
        <v>179524</v>
      </c>
      <c r="E2508" t="s">
        <v>27</v>
      </c>
      <c r="F2508">
        <v>1726670039</v>
      </c>
      <c r="G2508" s="1">
        <v>45147</v>
      </c>
    </row>
    <row r="2509" spans="1:7">
      <c r="A2509" t="s">
        <v>6085</v>
      </c>
      <c r="B2509">
        <v>42</v>
      </c>
      <c r="C2509" t="s">
        <v>6086</v>
      </c>
      <c r="D2509">
        <v>100533</v>
      </c>
      <c r="E2509" t="s">
        <v>36</v>
      </c>
      <c r="F2509" t="s">
        <v>6087</v>
      </c>
      <c r="G2509" s="1">
        <v>45185</v>
      </c>
    </row>
    <row r="2510" spans="1:7">
      <c r="A2510" t="s">
        <v>6088</v>
      </c>
      <c r="B2510">
        <v>41</v>
      </c>
      <c r="C2510" t="s">
        <v>6089</v>
      </c>
      <c r="D2510">
        <v>133591</v>
      </c>
      <c r="E2510" t="s">
        <v>27</v>
      </c>
      <c r="F2510" t="s">
        <v>6090</v>
      </c>
      <c r="G2510" s="1">
        <v>45159</v>
      </c>
    </row>
    <row r="2511" spans="1:7">
      <c r="A2511" t="s">
        <v>6091</v>
      </c>
      <c r="B2511">
        <v>55</v>
      </c>
      <c r="C2511" t="s">
        <v>169</v>
      </c>
      <c r="D2511">
        <v>132072</v>
      </c>
      <c r="E2511" t="s">
        <v>9</v>
      </c>
      <c r="F2511">
        <f>1-216-123-3105</f>
        <v>-3443</v>
      </c>
      <c r="G2511" s="1">
        <v>45199</v>
      </c>
    </row>
    <row r="2512" spans="1:7">
      <c r="A2512" t="s">
        <v>6092</v>
      </c>
      <c r="B2512">
        <v>23</v>
      </c>
      <c r="C2512" t="s">
        <v>389</v>
      </c>
      <c r="D2512">
        <v>106000</v>
      </c>
      <c r="E2512" t="s">
        <v>27</v>
      </c>
      <c r="F2512">
        <v>7504017397</v>
      </c>
      <c r="G2512" s="1">
        <v>45117</v>
      </c>
    </row>
    <row r="2513" spans="1:7">
      <c r="A2513" t="s">
        <v>1460</v>
      </c>
      <c r="B2513">
        <v>25</v>
      </c>
      <c r="C2513" t="s">
        <v>6093</v>
      </c>
      <c r="D2513">
        <v>134215</v>
      </c>
      <c r="E2513" t="s">
        <v>12</v>
      </c>
      <c r="F2513" t="s">
        <v>6094</v>
      </c>
    </row>
    <row r="2514" spans="1:7">
      <c r="A2514" t="s">
        <v>6095</v>
      </c>
      <c r="B2514">
        <v>68</v>
      </c>
      <c r="C2514" t="s">
        <v>6096</v>
      </c>
      <c r="D2514">
        <v>178099</v>
      </c>
      <c r="E2514" t="s">
        <v>36</v>
      </c>
      <c r="G2514" s="1">
        <v>45284</v>
      </c>
    </row>
    <row r="2515" spans="1:7">
      <c r="A2515" t="s">
        <v>6097</v>
      </c>
      <c r="B2515">
        <v>75</v>
      </c>
      <c r="C2515" t="s">
        <v>518</v>
      </c>
      <c r="E2515" t="s">
        <v>18</v>
      </c>
      <c r="F2515" t="s">
        <v>6098</v>
      </c>
      <c r="G2515" s="1">
        <v>45014</v>
      </c>
    </row>
    <row r="2516" spans="1:7">
      <c r="A2516" t="s">
        <v>6099</v>
      </c>
      <c r="B2516">
        <v>76</v>
      </c>
      <c r="C2516" t="s">
        <v>6100</v>
      </c>
      <c r="D2516">
        <v>113732</v>
      </c>
      <c r="E2516" t="s">
        <v>12</v>
      </c>
      <c r="F2516" t="s">
        <v>6101</v>
      </c>
      <c r="G2516" s="1">
        <v>45138</v>
      </c>
    </row>
    <row r="2517" spans="1:7">
      <c r="A2517" t="s">
        <v>6102</v>
      </c>
      <c r="B2517">
        <v>-1</v>
      </c>
      <c r="C2517" t="s">
        <v>6103</v>
      </c>
      <c r="D2517">
        <v>146712</v>
      </c>
      <c r="E2517" t="s">
        <v>9</v>
      </c>
      <c r="F2517">
        <v>9042104415</v>
      </c>
      <c r="G2517" s="1">
        <v>45228</v>
      </c>
    </row>
    <row r="2518" spans="1:7">
      <c r="A2518" t="s">
        <v>6104</v>
      </c>
      <c r="B2518">
        <v>58</v>
      </c>
      <c r="C2518" t="s">
        <v>6105</v>
      </c>
      <c r="E2518" t="s">
        <v>12</v>
      </c>
      <c r="G2518" s="1">
        <v>45101</v>
      </c>
    </row>
    <row r="2519" spans="1:7">
      <c r="A2519" t="s">
        <v>6106</v>
      </c>
      <c r="B2519">
        <v>22</v>
      </c>
      <c r="C2519" t="s">
        <v>6107</v>
      </c>
      <c r="D2519">
        <v>141576</v>
      </c>
      <c r="E2519" t="s">
        <v>27</v>
      </c>
      <c r="F2519">
        <v>1034114705</v>
      </c>
      <c r="G2519" s="1">
        <v>44989</v>
      </c>
    </row>
    <row r="2520" spans="1:7">
      <c r="A2520" t="s">
        <v>6108</v>
      </c>
      <c r="B2520">
        <v>-10</v>
      </c>
      <c r="D2520">
        <v>74331</v>
      </c>
      <c r="E2520" t="s">
        <v>12</v>
      </c>
      <c r="F2520" t="s">
        <v>6109</v>
      </c>
      <c r="G2520" s="1">
        <v>45216</v>
      </c>
    </row>
    <row r="2521" spans="1:7">
      <c r="A2521" t="s">
        <v>6110</v>
      </c>
      <c r="B2521">
        <v>38</v>
      </c>
      <c r="C2521" t="s">
        <v>6111</v>
      </c>
      <c r="D2521">
        <v>164066</v>
      </c>
      <c r="E2521" t="s">
        <v>9</v>
      </c>
      <c r="F2521" t="s">
        <v>6112</v>
      </c>
      <c r="G2521" s="1">
        <v>44978</v>
      </c>
    </row>
    <row r="2522" spans="1:7">
      <c r="A2522" t="s">
        <v>6113</v>
      </c>
      <c r="B2522">
        <v>43</v>
      </c>
      <c r="C2522" t="s">
        <v>6114</v>
      </c>
      <c r="D2522">
        <v>73066</v>
      </c>
      <c r="E2522" t="s">
        <v>12</v>
      </c>
      <c r="F2522">
        <v>7517616549</v>
      </c>
      <c r="G2522" s="1">
        <v>45189</v>
      </c>
    </row>
    <row r="2523" spans="1:7">
      <c r="A2523" t="s">
        <v>6115</v>
      </c>
      <c r="B2523">
        <v>51</v>
      </c>
      <c r="C2523" t="s">
        <v>6116</v>
      </c>
      <c r="D2523">
        <v>167450</v>
      </c>
      <c r="E2523" t="s">
        <v>9</v>
      </c>
      <c r="F2523" t="s">
        <v>6117</v>
      </c>
      <c r="G2523" s="1">
        <v>45168</v>
      </c>
    </row>
    <row r="2524" spans="1:7">
      <c r="A2524" t="s">
        <v>6118</v>
      </c>
      <c r="B2524">
        <v>29</v>
      </c>
      <c r="C2524" t="s">
        <v>6119</v>
      </c>
      <c r="D2524">
        <v>0</v>
      </c>
      <c r="E2524" t="s">
        <v>12</v>
      </c>
      <c r="F2524">
        <v>4514489277</v>
      </c>
      <c r="G2524" s="1">
        <v>45080</v>
      </c>
    </row>
    <row r="2525" spans="1:7">
      <c r="A2525" t="s">
        <v>6120</v>
      </c>
      <c r="B2525">
        <v>71</v>
      </c>
      <c r="C2525" t="s">
        <v>6121</v>
      </c>
      <c r="D2525">
        <v>55022</v>
      </c>
      <c r="E2525" t="s">
        <v>9</v>
      </c>
      <c r="F2525">
        <f>1-928-928-8014</f>
        <v>-9869</v>
      </c>
      <c r="G2525" s="1">
        <v>45209</v>
      </c>
    </row>
    <row r="2526" spans="1:7">
      <c r="A2526" t="s">
        <v>6122</v>
      </c>
      <c r="B2526">
        <v>64</v>
      </c>
      <c r="C2526" t="s">
        <v>6123</v>
      </c>
      <c r="D2526">
        <v>84336</v>
      </c>
      <c r="E2526" t="s">
        <v>27</v>
      </c>
      <c r="F2526" t="s">
        <v>6124</v>
      </c>
      <c r="G2526" s="1">
        <v>45030</v>
      </c>
    </row>
    <row r="2527" spans="1:7">
      <c r="A2527" t="s">
        <v>6125</v>
      </c>
      <c r="B2527">
        <v>79</v>
      </c>
      <c r="C2527" t="s">
        <v>170</v>
      </c>
      <c r="D2527">
        <v>59475</v>
      </c>
      <c r="E2527" t="s">
        <v>36</v>
      </c>
      <c r="F2527" t="s">
        <v>6126</v>
      </c>
      <c r="G2527" s="1">
        <v>44967</v>
      </c>
    </row>
    <row r="2528" spans="1:7">
      <c r="A2528" t="s">
        <v>6127</v>
      </c>
      <c r="B2528">
        <v>22</v>
      </c>
      <c r="C2528" t="s">
        <v>594</v>
      </c>
      <c r="D2528">
        <v>146528</v>
      </c>
      <c r="E2528" t="s">
        <v>36</v>
      </c>
      <c r="F2528" t="s">
        <v>6128</v>
      </c>
      <c r="G2528" s="1">
        <v>45089</v>
      </c>
    </row>
    <row r="2529" spans="1:7">
      <c r="A2529" t="s">
        <v>6129</v>
      </c>
      <c r="B2529">
        <v>62</v>
      </c>
      <c r="C2529" t="s">
        <v>169</v>
      </c>
      <c r="D2529">
        <v>99922</v>
      </c>
      <c r="E2529" t="s">
        <v>27</v>
      </c>
      <c r="F2529" t="s">
        <v>6130</v>
      </c>
      <c r="G2529" s="1">
        <v>45246</v>
      </c>
    </row>
    <row r="2530" spans="1:7">
      <c r="A2530" t="s">
        <v>6131</v>
      </c>
      <c r="B2530">
        <v>35</v>
      </c>
      <c r="C2530" t="s">
        <v>6132</v>
      </c>
      <c r="D2530">
        <v>199744</v>
      </c>
      <c r="E2530" t="s">
        <v>9</v>
      </c>
      <c r="F2530" t="s">
        <v>6133</v>
      </c>
      <c r="G2530" s="1">
        <v>45110</v>
      </c>
    </row>
    <row r="2531" spans="1:7">
      <c r="A2531" t="s">
        <v>6134</v>
      </c>
      <c r="B2531">
        <v>41</v>
      </c>
      <c r="C2531" t="s">
        <v>6135</v>
      </c>
      <c r="D2531">
        <v>39460</v>
      </c>
      <c r="E2531" t="s">
        <v>12</v>
      </c>
      <c r="F2531" t="s">
        <v>6136</v>
      </c>
      <c r="G2531" s="1">
        <v>44927</v>
      </c>
    </row>
    <row r="2532" spans="1:7">
      <c r="A2532" t="s">
        <v>6137</v>
      </c>
      <c r="B2532">
        <v>18</v>
      </c>
      <c r="C2532" t="s">
        <v>6138</v>
      </c>
      <c r="D2532">
        <v>138775</v>
      </c>
      <c r="E2532" t="s">
        <v>49</v>
      </c>
      <c r="G2532" s="1">
        <v>45025</v>
      </c>
    </row>
    <row r="2533" spans="1:7">
      <c r="A2533" t="s">
        <v>6139</v>
      </c>
      <c r="B2533">
        <v>44</v>
      </c>
      <c r="C2533" t="s">
        <v>6140</v>
      </c>
      <c r="D2533">
        <v>94925</v>
      </c>
      <c r="E2533" t="s">
        <v>12</v>
      </c>
      <c r="F2533" t="s">
        <v>6141</v>
      </c>
      <c r="G2533" s="1">
        <v>44986</v>
      </c>
    </row>
    <row r="2534" spans="1:7">
      <c r="A2534" t="s">
        <v>6142</v>
      </c>
      <c r="B2534">
        <v>72</v>
      </c>
      <c r="C2534" t="s">
        <v>6143</v>
      </c>
      <c r="D2534">
        <v>93212</v>
      </c>
      <c r="E2534" t="s">
        <v>27</v>
      </c>
      <c r="F2534">
        <v>8133735342</v>
      </c>
      <c r="G2534" s="1">
        <v>45266</v>
      </c>
    </row>
    <row r="2535" spans="1:7">
      <c r="A2535" t="s">
        <v>6144</v>
      </c>
      <c r="B2535">
        <v>45</v>
      </c>
      <c r="C2535" t="s">
        <v>6145</v>
      </c>
      <c r="D2535">
        <v>128943</v>
      </c>
      <c r="E2535" t="s">
        <v>27</v>
      </c>
      <c r="G2535" s="1">
        <v>45127</v>
      </c>
    </row>
    <row r="2536" spans="1:7">
      <c r="A2536" t="s">
        <v>6146</v>
      </c>
      <c r="B2536">
        <v>42</v>
      </c>
      <c r="C2536" t="s">
        <v>6147</v>
      </c>
      <c r="D2536">
        <v>82116</v>
      </c>
      <c r="E2536" t="s">
        <v>12</v>
      </c>
      <c r="F2536" t="s">
        <v>6148</v>
      </c>
      <c r="G2536" s="1">
        <v>45182</v>
      </c>
    </row>
    <row r="2537" spans="1:7">
      <c r="A2537" t="s">
        <v>6149</v>
      </c>
      <c r="B2537">
        <v>150</v>
      </c>
      <c r="C2537" t="s">
        <v>6150</v>
      </c>
      <c r="D2537">
        <v>99351</v>
      </c>
      <c r="E2537" t="s">
        <v>12</v>
      </c>
      <c r="F2537" t="s">
        <v>6151</v>
      </c>
      <c r="G2537" s="1">
        <v>44970</v>
      </c>
    </row>
    <row r="2538" spans="1:7">
      <c r="A2538" t="s">
        <v>6152</v>
      </c>
      <c r="B2538">
        <v>52</v>
      </c>
      <c r="C2538" t="s">
        <v>6153</v>
      </c>
      <c r="D2538">
        <v>98367</v>
      </c>
      <c r="E2538" t="s">
        <v>12</v>
      </c>
      <c r="F2538" t="s">
        <v>6154</v>
      </c>
      <c r="G2538" s="1">
        <v>45006</v>
      </c>
    </row>
    <row r="2539" spans="1:7">
      <c r="A2539" t="s">
        <v>6155</v>
      </c>
      <c r="B2539">
        <v>70</v>
      </c>
      <c r="C2539" t="s">
        <v>6156</v>
      </c>
      <c r="D2539">
        <v>170262</v>
      </c>
      <c r="E2539" t="s">
        <v>27</v>
      </c>
      <c r="F2539" t="s">
        <v>6157</v>
      </c>
      <c r="G2539" s="1">
        <v>45166</v>
      </c>
    </row>
    <row r="2540" spans="1:7">
      <c r="A2540" t="s">
        <v>6158</v>
      </c>
      <c r="B2540">
        <v>18</v>
      </c>
      <c r="C2540" t="s">
        <v>6159</v>
      </c>
      <c r="D2540">
        <v>160912</v>
      </c>
      <c r="E2540" t="s">
        <v>9</v>
      </c>
      <c r="G2540" s="1">
        <v>45043</v>
      </c>
    </row>
    <row r="2541" spans="1:7">
      <c r="A2541" t="s">
        <v>6160</v>
      </c>
      <c r="B2541">
        <v>76</v>
      </c>
      <c r="C2541" t="s">
        <v>6161</v>
      </c>
      <c r="D2541">
        <v>170562</v>
      </c>
      <c r="E2541" t="s">
        <v>9</v>
      </c>
      <c r="F2541" t="s">
        <v>6162</v>
      </c>
      <c r="G2541" s="1">
        <v>45201</v>
      </c>
    </row>
    <row r="2542" spans="1:7">
      <c r="A2542" t="s">
        <v>6163</v>
      </c>
      <c r="B2542">
        <v>55</v>
      </c>
      <c r="C2542" t="s">
        <v>6164</v>
      </c>
      <c r="D2542">
        <v>102255</v>
      </c>
      <c r="E2542" t="s">
        <v>12</v>
      </c>
      <c r="F2542">
        <v>6903559511</v>
      </c>
      <c r="G2542" s="1">
        <v>45287</v>
      </c>
    </row>
    <row r="2543" spans="1:7">
      <c r="A2543" t="s">
        <v>6165</v>
      </c>
      <c r="B2543">
        <v>38</v>
      </c>
      <c r="C2543" t="s">
        <v>6166</v>
      </c>
      <c r="D2543">
        <v>85830</v>
      </c>
      <c r="E2543" t="s">
        <v>12</v>
      </c>
      <c r="F2543" t="s">
        <v>6167</v>
      </c>
      <c r="G2543" s="1">
        <v>45220</v>
      </c>
    </row>
    <row r="2544" spans="1:7">
      <c r="A2544" t="s">
        <v>6168</v>
      </c>
      <c r="B2544">
        <v>52</v>
      </c>
      <c r="C2544" t="s">
        <v>389</v>
      </c>
      <c r="D2544">
        <v>153664</v>
      </c>
      <c r="E2544" t="s">
        <v>9</v>
      </c>
      <c r="F2544" t="s">
        <v>6169</v>
      </c>
      <c r="G2544" s="1">
        <v>45052</v>
      </c>
    </row>
    <row r="2545" spans="1:7">
      <c r="A2545" t="s">
        <v>6170</v>
      </c>
      <c r="B2545">
        <v>43</v>
      </c>
      <c r="C2545" t="s">
        <v>6171</v>
      </c>
      <c r="D2545">
        <v>199241</v>
      </c>
      <c r="E2545" t="s">
        <v>36</v>
      </c>
      <c r="F2545">
        <f>1-168-962-7962</f>
        <v>-9091</v>
      </c>
      <c r="G2545" s="1">
        <v>45120</v>
      </c>
    </row>
    <row r="2546" spans="1:7">
      <c r="A2546" t="s">
        <v>6172</v>
      </c>
      <c r="B2546">
        <v>250</v>
      </c>
      <c r="C2546" t="s">
        <v>6173</v>
      </c>
      <c r="D2546">
        <v>125985</v>
      </c>
      <c r="E2546" t="s">
        <v>9</v>
      </c>
      <c r="F2546" t="s">
        <v>6174</v>
      </c>
      <c r="G2546" s="1">
        <v>45194</v>
      </c>
    </row>
    <row r="2547" spans="1:7">
      <c r="A2547" t="s">
        <v>6175</v>
      </c>
      <c r="B2547">
        <v>72</v>
      </c>
      <c r="C2547" t="s">
        <v>6176</v>
      </c>
      <c r="D2547">
        <v>88870</v>
      </c>
      <c r="E2547" t="s">
        <v>27</v>
      </c>
      <c r="F2547" t="s">
        <v>6177</v>
      </c>
      <c r="G2547" s="1">
        <v>45178</v>
      </c>
    </row>
    <row r="2548" spans="1:7">
      <c r="A2548" t="s">
        <v>1785</v>
      </c>
      <c r="B2548">
        <v>58</v>
      </c>
      <c r="C2548" t="s">
        <v>6178</v>
      </c>
      <c r="D2548">
        <v>190014</v>
      </c>
      <c r="E2548" t="s">
        <v>12</v>
      </c>
      <c r="F2548" t="s">
        <v>6179</v>
      </c>
      <c r="G2548" s="1">
        <v>45038</v>
      </c>
    </row>
    <row r="2549" spans="1:7">
      <c r="A2549" t="s">
        <v>6180</v>
      </c>
      <c r="B2549">
        <v>61</v>
      </c>
      <c r="C2549" t="s">
        <v>6181</v>
      </c>
      <c r="D2549">
        <v>125042</v>
      </c>
      <c r="E2549" t="s">
        <v>9</v>
      </c>
      <c r="F2549">
        <f>1-560-416-2458</f>
        <v>-3433</v>
      </c>
      <c r="G2549" s="1">
        <v>45015</v>
      </c>
    </row>
    <row r="2550" spans="1:7">
      <c r="A2550" t="s">
        <v>6182</v>
      </c>
      <c r="B2550">
        <v>42</v>
      </c>
      <c r="D2550">
        <v>123220</v>
      </c>
      <c r="E2550" t="s">
        <v>36</v>
      </c>
      <c r="F2550" t="s">
        <v>6183</v>
      </c>
      <c r="G2550" s="1">
        <v>45187</v>
      </c>
    </row>
    <row r="2551" spans="1:7">
      <c r="A2551" t="s">
        <v>6184</v>
      </c>
      <c r="B2551">
        <v>79</v>
      </c>
      <c r="C2551" t="s">
        <v>6185</v>
      </c>
      <c r="D2551">
        <v>48074</v>
      </c>
      <c r="E2551" t="s">
        <v>9</v>
      </c>
      <c r="F2551">
        <f>1-441-221-6906</f>
        <v>-7567</v>
      </c>
      <c r="G2551" t="s">
        <v>1627</v>
      </c>
    </row>
    <row r="2552" spans="1:7">
      <c r="C2552" t="s">
        <v>6186</v>
      </c>
      <c r="D2552">
        <v>55479</v>
      </c>
      <c r="E2552" t="s">
        <v>27</v>
      </c>
      <c r="F2552">
        <f>1-467-384-3105</f>
        <v>-3955</v>
      </c>
      <c r="G2552" s="1">
        <v>45021</v>
      </c>
    </row>
    <row r="2553" spans="1:7">
      <c r="A2553" t="s">
        <v>6187</v>
      </c>
      <c r="B2553">
        <v>37</v>
      </c>
      <c r="C2553" t="s">
        <v>6188</v>
      </c>
      <c r="D2553">
        <v>64409</v>
      </c>
      <c r="E2553" t="s">
        <v>9</v>
      </c>
      <c r="F2553" t="s">
        <v>6189</v>
      </c>
      <c r="G2553" s="1">
        <v>45239</v>
      </c>
    </row>
    <row r="2554" spans="1:7">
      <c r="A2554" t="s">
        <v>6190</v>
      </c>
      <c r="B2554">
        <v>47</v>
      </c>
      <c r="D2554">
        <v>95458</v>
      </c>
      <c r="E2554" t="s">
        <v>9</v>
      </c>
      <c r="F2554">
        <v>7844674517</v>
      </c>
      <c r="G2554" s="1">
        <v>45029</v>
      </c>
    </row>
    <row r="2555" spans="1:7">
      <c r="A2555" t="s">
        <v>6191</v>
      </c>
      <c r="B2555">
        <v>-100</v>
      </c>
      <c r="C2555" t="s">
        <v>518</v>
      </c>
      <c r="D2555">
        <v>174670</v>
      </c>
      <c r="E2555" t="s">
        <v>36</v>
      </c>
      <c r="G2555" s="1">
        <v>45066</v>
      </c>
    </row>
    <row r="2556" spans="1:7">
      <c r="A2556" t="s">
        <v>6192</v>
      </c>
      <c r="B2556">
        <v>19</v>
      </c>
      <c r="C2556" t="s">
        <v>299</v>
      </c>
      <c r="D2556">
        <v>157626</v>
      </c>
      <c r="E2556" t="s">
        <v>27</v>
      </c>
      <c r="F2556" t="s">
        <v>6193</v>
      </c>
      <c r="G2556" s="1">
        <v>45197</v>
      </c>
    </row>
    <row r="2557" spans="1:7">
      <c r="A2557" t="s">
        <v>6194</v>
      </c>
      <c r="B2557">
        <v>53</v>
      </c>
      <c r="D2557">
        <v>83502</v>
      </c>
      <c r="E2557" t="s">
        <v>12</v>
      </c>
      <c r="F2557" t="s">
        <v>6195</v>
      </c>
      <c r="G2557" s="1">
        <v>45016</v>
      </c>
    </row>
    <row r="2558" spans="1:7">
      <c r="A2558" t="s">
        <v>1193</v>
      </c>
      <c r="B2558">
        <v>75</v>
      </c>
      <c r="D2558">
        <v>188117</v>
      </c>
      <c r="E2558" t="s">
        <v>9</v>
      </c>
      <c r="F2558">
        <f>1-808-138-3949</f>
        <v>-4894</v>
      </c>
      <c r="G2558" s="1">
        <v>44980</v>
      </c>
    </row>
    <row r="2559" spans="1:7">
      <c r="A2559" t="s">
        <v>6196</v>
      </c>
      <c r="B2559">
        <v>36</v>
      </c>
      <c r="C2559" t="s">
        <v>6197</v>
      </c>
      <c r="D2559">
        <v>143430</v>
      </c>
      <c r="E2559" t="s">
        <v>27</v>
      </c>
      <c r="F2559">
        <f>1-734-322-8378</f>
        <v>-9433</v>
      </c>
      <c r="G2559" s="1">
        <v>45023</v>
      </c>
    </row>
    <row r="2560" spans="1:7">
      <c r="A2560" t="s">
        <v>6198</v>
      </c>
      <c r="C2560" t="s">
        <v>6199</v>
      </c>
      <c r="D2560">
        <v>48051</v>
      </c>
      <c r="E2560" t="s">
        <v>36</v>
      </c>
      <c r="F2560" t="s">
        <v>6200</v>
      </c>
      <c r="G2560" s="1">
        <v>45235</v>
      </c>
    </row>
    <row r="2561" spans="1:7">
      <c r="A2561" t="s">
        <v>6201</v>
      </c>
      <c r="B2561">
        <v>78</v>
      </c>
      <c r="D2561">
        <v>132364</v>
      </c>
      <c r="E2561" t="s">
        <v>27</v>
      </c>
      <c r="F2561" t="s">
        <v>6202</v>
      </c>
      <c r="G2561" s="1">
        <v>45125</v>
      </c>
    </row>
    <row r="2562" spans="1:7">
      <c r="A2562" t="s">
        <v>6203</v>
      </c>
      <c r="B2562">
        <v>19</v>
      </c>
      <c r="C2562" t="s">
        <v>6204</v>
      </c>
      <c r="D2562">
        <v>67044</v>
      </c>
      <c r="E2562" t="s">
        <v>27</v>
      </c>
      <c r="F2562">
        <f>1-456-460-3630</f>
        <v>-4545</v>
      </c>
      <c r="G2562" s="1">
        <v>45286</v>
      </c>
    </row>
    <row r="2563" spans="1:7">
      <c r="A2563" t="s">
        <v>6205</v>
      </c>
      <c r="B2563">
        <v>78</v>
      </c>
      <c r="C2563" t="s">
        <v>6206</v>
      </c>
      <c r="D2563">
        <v>77315</v>
      </c>
      <c r="E2563" t="s">
        <v>12</v>
      </c>
      <c r="F2563" t="s">
        <v>6207</v>
      </c>
      <c r="G2563" s="1">
        <v>44954</v>
      </c>
    </row>
    <row r="2564" spans="1:7">
      <c r="A2564" t="s">
        <v>6208</v>
      </c>
      <c r="B2564">
        <v>57</v>
      </c>
      <c r="C2564" t="s">
        <v>6209</v>
      </c>
      <c r="D2564">
        <v>136239</v>
      </c>
      <c r="E2564" t="s">
        <v>12</v>
      </c>
      <c r="F2564">
        <f>1-873-751-1003</f>
        <v>-2626</v>
      </c>
      <c r="G2564" s="1">
        <v>45017</v>
      </c>
    </row>
    <row r="2565" spans="1:7">
      <c r="A2565" t="s">
        <v>6210</v>
      </c>
      <c r="B2565">
        <v>19</v>
      </c>
      <c r="C2565" t="s">
        <v>6211</v>
      </c>
      <c r="D2565">
        <v>119037</v>
      </c>
      <c r="E2565" t="s">
        <v>12</v>
      </c>
      <c r="F2565" t="s">
        <v>6212</v>
      </c>
      <c r="G2565" s="1">
        <v>45052</v>
      </c>
    </row>
    <row r="2566" spans="1:7">
      <c r="A2566" t="s">
        <v>6213</v>
      </c>
      <c r="B2566">
        <v>27</v>
      </c>
      <c r="C2566" t="s">
        <v>6214</v>
      </c>
      <c r="D2566">
        <v>0</v>
      </c>
      <c r="E2566" t="s">
        <v>9</v>
      </c>
      <c r="F2566">
        <v>7974637746</v>
      </c>
      <c r="G2566" s="1">
        <v>45109</v>
      </c>
    </row>
    <row r="2567" spans="1:7">
      <c r="A2567" t="s">
        <v>6215</v>
      </c>
      <c r="B2567">
        <v>40</v>
      </c>
      <c r="C2567" t="s">
        <v>518</v>
      </c>
      <c r="D2567">
        <v>95431</v>
      </c>
      <c r="E2567" t="s">
        <v>27</v>
      </c>
      <c r="F2567">
        <f>1-509-742-7342</f>
        <v>-8592</v>
      </c>
      <c r="G2567" s="1">
        <v>45131</v>
      </c>
    </row>
    <row r="2568" spans="1:7">
      <c r="A2568" t="s">
        <v>6216</v>
      </c>
      <c r="B2568">
        <v>57</v>
      </c>
      <c r="C2568" t="s">
        <v>6217</v>
      </c>
      <c r="D2568">
        <v>-10000</v>
      </c>
      <c r="E2568" t="s">
        <v>9</v>
      </c>
      <c r="F2568" t="s">
        <v>6218</v>
      </c>
      <c r="G2568" s="1">
        <v>45017</v>
      </c>
    </row>
    <row r="2569" spans="1:7">
      <c r="A2569" t="s">
        <v>6219</v>
      </c>
      <c r="B2569">
        <v>18</v>
      </c>
      <c r="C2569" t="s">
        <v>6220</v>
      </c>
      <c r="D2569">
        <v>148686</v>
      </c>
      <c r="E2569" t="s">
        <v>12</v>
      </c>
      <c r="F2569">
        <v>8269331531</v>
      </c>
      <c r="G2569" s="1">
        <v>45043</v>
      </c>
    </row>
    <row r="2570" spans="1:7">
      <c r="A2570" t="s">
        <v>6221</v>
      </c>
      <c r="B2570">
        <v>-999</v>
      </c>
      <c r="C2570" t="s">
        <v>531</v>
      </c>
      <c r="D2570">
        <v>-1</v>
      </c>
      <c r="E2570" t="s">
        <v>532</v>
      </c>
      <c r="G2570" t="s">
        <v>493</v>
      </c>
    </row>
    <row r="2571" spans="1:7">
      <c r="A2571" t="s">
        <v>5015</v>
      </c>
      <c r="B2571">
        <v>53</v>
      </c>
      <c r="C2571" t="s">
        <v>6222</v>
      </c>
      <c r="D2571">
        <v>170791</v>
      </c>
      <c r="E2571" t="s">
        <v>36</v>
      </c>
      <c r="F2571" t="s">
        <v>6223</v>
      </c>
      <c r="G2571" s="1">
        <v>44938</v>
      </c>
    </row>
    <row r="2572" spans="1:7">
      <c r="A2572" t="s">
        <v>6224</v>
      </c>
      <c r="B2572">
        <v>69</v>
      </c>
      <c r="C2572" t="s">
        <v>6225</v>
      </c>
      <c r="D2572">
        <v>33453</v>
      </c>
      <c r="E2572" t="s">
        <v>12</v>
      </c>
      <c r="F2572" t="s">
        <v>6226</v>
      </c>
      <c r="G2572" s="1">
        <v>44978</v>
      </c>
    </row>
    <row r="2573" spans="1:7">
      <c r="A2573" t="s">
        <v>3732</v>
      </c>
      <c r="B2573">
        <v>78</v>
      </c>
      <c r="C2573" t="s">
        <v>3733</v>
      </c>
      <c r="D2573">
        <v>47508</v>
      </c>
      <c r="E2573" t="s">
        <v>36</v>
      </c>
      <c r="F2573">
        <v>3875932424</v>
      </c>
      <c r="G2573" s="1">
        <v>45257</v>
      </c>
    </row>
    <row r="2574" spans="1:7">
      <c r="A2574" t="s">
        <v>6227</v>
      </c>
      <c r="B2574">
        <v>40</v>
      </c>
      <c r="C2574" t="s">
        <v>6228</v>
      </c>
      <c r="D2574">
        <v>129782</v>
      </c>
      <c r="E2574" t="s">
        <v>36</v>
      </c>
      <c r="F2574">
        <v>8822316623</v>
      </c>
      <c r="G2574" s="1">
        <v>45222</v>
      </c>
    </row>
    <row r="2575" spans="1:7">
      <c r="A2575" t="s">
        <v>6229</v>
      </c>
      <c r="B2575">
        <v>43</v>
      </c>
      <c r="C2575" t="s">
        <v>6230</v>
      </c>
      <c r="D2575">
        <v>107658</v>
      </c>
      <c r="E2575" t="s">
        <v>27</v>
      </c>
      <c r="F2575">
        <v>3652998107</v>
      </c>
      <c r="G2575" s="1">
        <v>45077</v>
      </c>
    </row>
    <row r="2576" spans="1:7">
      <c r="A2576" t="s">
        <v>6231</v>
      </c>
      <c r="B2576">
        <v>39</v>
      </c>
      <c r="C2576" t="s">
        <v>6232</v>
      </c>
      <c r="D2576">
        <v>119051</v>
      </c>
      <c r="E2576" t="s">
        <v>27</v>
      </c>
      <c r="F2576">
        <v>8513092999</v>
      </c>
      <c r="G2576" s="1">
        <v>45032</v>
      </c>
    </row>
    <row r="2577" spans="1:7">
      <c r="A2577" t="s">
        <v>6233</v>
      </c>
      <c r="B2577">
        <v>60</v>
      </c>
      <c r="C2577" t="s">
        <v>6234</v>
      </c>
      <c r="E2577" t="s">
        <v>9</v>
      </c>
      <c r="F2577">
        <f>1-602-573-5358</f>
        <v>-6532</v>
      </c>
      <c r="G2577" s="1">
        <v>45173</v>
      </c>
    </row>
    <row r="2578" spans="1:7">
      <c r="A2578" t="s">
        <v>6235</v>
      </c>
      <c r="B2578">
        <v>67</v>
      </c>
      <c r="C2578" t="s">
        <v>6236</v>
      </c>
      <c r="D2578">
        <v>79589</v>
      </c>
      <c r="E2578" t="s">
        <v>12</v>
      </c>
      <c r="F2578" t="s">
        <v>6237</v>
      </c>
      <c r="G2578" s="1">
        <v>44947</v>
      </c>
    </row>
    <row r="2579" spans="1:7">
      <c r="A2579" t="s">
        <v>6238</v>
      </c>
      <c r="B2579">
        <v>-100</v>
      </c>
      <c r="C2579" t="s">
        <v>6239</v>
      </c>
      <c r="D2579">
        <v>-5000</v>
      </c>
      <c r="E2579" t="s">
        <v>27</v>
      </c>
      <c r="F2579" t="s">
        <v>6240</v>
      </c>
      <c r="G2579" s="1">
        <v>44964</v>
      </c>
    </row>
    <row r="2580" spans="1:7">
      <c r="A2580" t="s">
        <v>6241</v>
      </c>
      <c r="B2580">
        <v>64</v>
      </c>
      <c r="C2580" t="s">
        <v>6242</v>
      </c>
      <c r="D2580">
        <v>59592</v>
      </c>
      <c r="E2580" t="s">
        <v>9</v>
      </c>
      <c r="F2580">
        <f>1-318-729-5825</f>
        <v>-6871</v>
      </c>
      <c r="G2580" s="1">
        <v>44951</v>
      </c>
    </row>
    <row r="2581" spans="1:7">
      <c r="A2581" t="s">
        <v>6243</v>
      </c>
      <c r="B2581">
        <v>43</v>
      </c>
      <c r="C2581" t="s">
        <v>6244</v>
      </c>
      <c r="D2581">
        <v>107261</v>
      </c>
      <c r="E2581" t="s">
        <v>9</v>
      </c>
      <c r="F2581">
        <v>4210581718</v>
      </c>
      <c r="G2581" s="1">
        <v>45283</v>
      </c>
    </row>
    <row r="2582" spans="1:7">
      <c r="A2582" t="s">
        <v>6245</v>
      </c>
      <c r="B2582">
        <v>59</v>
      </c>
      <c r="C2582" t="s">
        <v>6246</v>
      </c>
      <c r="D2582">
        <v>148171</v>
      </c>
      <c r="E2582" t="s">
        <v>36</v>
      </c>
      <c r="F2582" t="s">
        <v>6247</v>
      </c>
      <c r="G2582" s="1">
        <v>45250</v>
      </c>
    </row>
    <row r="2583" spans="1:7">
      <c r="A2583" t="s">
        <v>6248</v>
      </c>
      <c r="B2583">
        <v>21</v>
      </c>
      <c r="C2583" t="s">
        <v>6249</v>
      </c>
      <c r="D2583">
        <v>119846</v>
      </c>
      <c r="E2583" t="s">
        <v>9</v>
      </c>
      <c r="F2583" t="s">
        <v>6250</v>
      </c>
      <c r="G2583" s="1">
        <v>45067</v>
      </c>
    </row>
    <row r="2584" spans="1:7">
      <c r="B2584">
        <v>57</v>
      </c>
      <c r="C2584" t="s">
        <v>6251</v>
      </c>
      <c r="D2584">
        <v>175486</v>
      </c>
      <c r="E2584" t="s">
        <v>27</v>
      </c>
      <c r="F2584" t="s">
        <v>6252</v>
      </c>
      <c r="G2584" s="1">
        <v>45189</v>
      </c>
    </row>
    <row r="2585" spans="1:7">
      <c r="A2585" t="s">
        <v>6253</v>
      </c>
      <c r="B2585">
        <v>20</v>
      </c>
      <c r="C2585" t="s">
        <v>6254</v>
      </c>
      <c r="D2585">
        <v>90142</v>
      </c>
      <c r="E2585" t="s">
        <v>36</v>
      </c>
      <c r="F2585">
        <f>1-517-397-8011</f>
        <v>-8924</v>
      </c>
      <c r="G2585" s="1">
        <v>45061</v>
      </c>
    </row>
    <row r="2586" spans="1:7">
      <c r="A2586" t="s">
        <v>6255</v>
      </c>
      <c r="B2586">
        <v>53</v>
      </c>
      <c r="C2586" t="s">
        <v>6256</v>
      </c>
      <c r="D2586">
        <v>75095</v>
      </c>
      <c r="E2586" t="s">
        <v>36</v>
      </c>
      <c r="F2586" t="s">
        <v>6257</v>
      </c>
      <c r="G2586" s="1">
        <v>45274</v>
      </c>
    </row>
    <row r="2587" spans="1:7">
      <c r="A2587" t="s">
        <v>6258</v>
      </c>
      <c r="B2587">
        <v>51</v>
      </c>
      <c r="C2587" t="s">
        <v>6259</v>
      </c>
      <c r="D2587">
        <v>163595</v>
      </c>
      <c r="E2587" t="s">
        <v>12</v>
      </c>
      <c r="F2587" t="s">
        <v>6260</v>
      </c>
      <c r="G2587" s="1">
        <v>45219</v>
      </c>
    </row>
    <row r="2588" spans="1:7">
      <c r="A2588" t="s">
        <v>6261</v>
      </c>
      <c r="B2588">
        <v>28</v>
      </c>
      <c r="C2588" t="s">
        <v>6262</v>
      </c>
      <c r="D2588">
        <v>43163</v>
      </c>
      <c r="E2588" t="s">
        <v>27</v>
      </c>
      <c r="F2588" t="s">
        <v>6263</v>
      </c>
      <c r="G2588" s="1">
        <v>45253</v>
      </c>
    </row>
    <row r="2589" spans="1:7">
      <c r="A2589" t="s">
        <v>6264</v>
      </c>
      <c r="B2589">
        <v>48</v>
      </c>
      <c r="C2589" t="s">
        <v>6265</v>
      </c>
      <c r="D2589">
        <v>106396</v>
      </c>
      <c r="E2589" t="s">
        <v>36</v>
      </c>
      <c r="F2589" t="s">
        <v>6266</v>
      </c>
      <c r="G2589" s="1">
        <v>45156</v>
      </c>
    </row>
    <row r="2590" spans="1:7">
      <c r="A2590" t="s">
        <v>6267</v>
      </c>
      <c r="B2590">
        <v>-100</v>
      </c>
      <c r="C2590" t="s">
        <v>6268</v>
      </c>
      <c r="D2590">
        <v>137215</v>
      </c>
      <c r="E2590" t="s">
        <v>27</v>
      </c>
      <c r="F2590" t="s">
        <v>6269</v>
      </c>
      <c r="G2590" s="1">
        <v>44936</v>
      </c>
    </row>
    <row r="2591" spans="1:7">
      <c r="A2591" t="s">
        <v>6270</v>
      </c>
      <c r="B2591">
        <v>21</v>
      </c>
      <c r="C2591" t="s">
        <v>6271</v>
      </c>
      <c r="D2591">
        <v>99123</v>
      </c>
      <c r="E2591" t="s">
        <v>27</v>
      </c>
      <c r="F2591" t="s">
        <v>6272</v>
      </c>
      <c r="G2591" s="1">
        <v>45270</v>
      </c>
    </row>
    <row r="2592" spans="1:7">
      <c r="A2592" t="s">
        <v>6273</v>
      </c>
      <c r="B2592">
        <v>35</v>
      </c>
      <c r="C2592" t="s">
        <v>169</v>
      </c>
      <c r="D2592">
        <v>64152</v>
      </c>
      <c r="E2592" t="s">
        <v>12</v>
      </c>
      <c r="F2592">
        <f>1-832-899-9326</f>
        <v>-11056</v>
      </c>
      <c r="G2592" s="1">
        <v>44981</v>
      </c>
    </row>
    <row r="2593" spans="1:7">
      <c r="A2593" t="s">
        <v>6274</v>
      </c>
      <c r="B2593">
        <v>69</v>
      </c>
      <c r="C2593" t="s">
        <v>6275</v>
      </c>
      <c r="D2593">
        <v>119959</v>
      </c>
      <c r="E2593" t="s">
        <v>9</v>
      </c>
      <c r="F2593" t="s">
        <v>6276</v>
      </c>
      <c r="G2593" s="1">
        <v>45219</v>
      </c>
    </row>
    <row r="2594" spans="1:7">
      <c r="A2594" t="s">
        <v>6277</v>
      </c>
      <c r="B2594">
        <v>-10</v>
      </c>
      <c r="D2594">
        <v>124968</v>
      </c>
      <c r="E2594" t="s">
        <v>27</v>
      </c>
      <c r="F2594" t="s">
        <v>6278</v>
      </c>
      <c r="G2594" s="1">
        <v>45201</v>
      </c>
    </row>
    <row r="2595" spans="1:7">
      <c r="A2595" t="s">
        <v>1110</v>
      </c>
      <c r="B2595">
        <v>21</v>
      </c>
      <c r="C2595" t="s">
        <v>6279</v>
      </c>
      <c r="D2595">
        <v>67052</v>
      </c>
      <c r="E2595" t="s">
        <v>36</v>
      </c>
      <c r="F2595" t="s">
        <v>6280</v>
      </c>
      <c r="G2595" s="1">
        <v>45198</v>
      </c>
    </row>
    <row r="2596" spans="1:7">
      <c r="A2596" t="s">
        <v>6281</v>
      </c>
      <c r="B2596">
        <v>44</v>
      </c>
      <c r="C2596" t="s">
        <v>6282</v>
      </c>
      <c r="D2596">
        <v>113028</v>
      </c>
      <c r="E2596" t="s">
        <v>12</v>
      </c>
      <c r="F2596" t="s">
        <v>6283</v>
      </c>
      <c r="G2596" s="1">
        <v>45041</v>
      </c>
    </row>
    <row r="2597" spans="1:7">
      <c r="A2597" t="s">
        <v>6284</v>
      </c>
      <c r="B2597">
        <v>34</v>
      </c>
      <c r="C2597" t="s">
        <v>6285</v>
      </c>
      <c r="E2597" t="s">
        <v>12</v>
      </c>
      <c r="F2597" t="s">
        <v>6286</v>
      </c>
      <c r="G2597" s="1">
        <v>45158</v>
      </c>
    </row>
    <row r="2598" spans="1:7">
      <c r="A2598" t="s">
        <v>4208</v>
      </c>
      <c r="B2598">
        <v>58</v>
      </c>
      <c r="C2598" t="s">
        <v>6287</v>
      </c>
      <c r="D2598">
        <v>105886</v>
      </c>
      <c r="E2598" t="s">
        <v>27</v>
      </c>
      <c r="F2598" t="s">
        <v>6288</v>
      </c>
      <c r="G2598" s="1">
        <v>45114</v>
      </c>
    </row>
    <row r="2599" spans="1:7">
      <c r="A2599" t="s">
        <v>4927</v>
      </c>
      <c r="C2599" t="s">
        <v>6289</v>
      </c>
      <c r="D2599">
        <v>109872</v>
      </c>
      <c r="E2599" t="s">
        <v>9</v>
      </c>
      <c r="F2599" t="s">
        <v>6290</v>
      </c>
      <c r="G2599" s="1">
        <v>44946</v>
      </c>
    </row>
    <row r="2600" spans="1:7">
      <c r="A2600" t="s">
        <v>6291</v>
      </c>
      <c r="B2600">
        <v>65</v>
      </c>
      <c r="C2600" t="s">
        <v>299</v>
      </c>
      <c r="D2600">
        <v>114726</v>
      </c>
      <c r="E2600" t="s">
        <v>27</v>
      </c>
      <c r="F2600">
        <v>3747921408</v>
      </c>
      <c r="G2600" s="1">
        <v>45032</v>
      </c>
    </row>
    <row r="2601" spans="1:7">
      <c r="A2601" t="s">
        <v>6292</v>
      </c>
      <c r="B2601">
        <v>64</v>
      </c>
      <c r="C2601" t="s">
        <v>6293</v>
      </c>
      <c r="D2601">
        <v>40683</v>
      </c>
      <c r="E2601" t="s">
        <v>27</v>
      </c>
      <c r="F2601">
        <v>4176118012</v>
      </c>
      <c r="G2601" s="1">
        <v>45284</v>
      </c>
    </row>
    <row r="2602" spans="1:7">
      <c r="A2602" t="s">
        <v>6294</v>
      </c>
      <c r="B2602">
        <v>37</v>
      </c>
      <c r="C2602" t="s">
        <v>6295</v>
      </c>
      <c r="D2602">
        <v>0</v>
      </c>
      <c r="E2602" t="s">
        <v>12</v>
      </c>
      <c r="F2602">
        <f>1-915-891-6091</f>
        <v>-7896</v>
      </c>
      <c r="G2602" s="1">
        <v>45261</v>
      </c>
    </row>
    <row r="2603" spans="1:7">
      <c r="A2603" t="s">
        <v>6296</v>
      </c>
      <c r="B2603">
        <v>68</v>
      </c>
      <c r="C2603" t="s">
        <v>6297</v>
      </c>
      <c r="D2603">
        <v>100134</v>
      </c>
      <c r="E2603" t="s">
        <v>90</v>
      </c>
      <c r="F2603">
        <v>2959373785</v>
      </c>
      <c r="G2603" s="1">
        <v>44988</v>
      </c>
    </row>
    <row r="2604" spans="1:7">
      <c r="A2604" t="s">
        <v>6298</v>
      </c>
      <c r="B2604">
        <v>42</v>
      </c>
      <c r="C2604" t="s">
        <v>6299</v>
      </c>
      <c r="D2604">
        <v>77365</v>
      </c>
      <c r="E2604" t="s">
        <v>9</v>
      </c>
      <c r="F2604" t="s">
        <v>6300</v>
      </c>
      <c r="G2604" s="1">
        <v>44975</v>
      </c>
    </row>
    <row r="2605" spans="1:7">
      <c r="A2605" t="s">
        <v>6301</v>
      </c>
      <c r="B2605">
        <v>19</v>
      </c>
      <c r="C2605" t="s">
        <v>389</v>
      </c>
      <c r="D2605">
        <v>83473</v>
      </c>
      <c r="E2605" t="s">
        <v>27</v>
      </c>
      <c r="F2605">
        <v>6020616922</v>
      </c>
      <c r="G2605" s="1">
        <v>44945</v>
      </c>
    </row>
    <row r="2606" spans="1:7">
      <c r="A2606" t="s">
        <v>6302</v>
      </c>
      <c r="B2606">
        <v>34</v>
      </c>
      <c r="C2606" t="s">
        <v>6303</v>
      </c>
      <c r="D2606">
        <v>92559</v>
      </c>
      <c r="E2606" t="s">
        <v>36</v>
      </c>
      <c r="F2606">
        <v>2786576136</v>
      </c>
      <c r="G2606" s="1">
        <v>45096</v>
      </c>
    </row>
    <row r="2607" spans="1:7">
      <c r="A2607" t="s">
        <v>6304</v>
      </c>
      <c r="B2607">
        <v>57</v>
      </c>
      <c r="D2607">
        <v>51869</v>
      </c>
      <c r="E2607" t="s">
        <v>12</v>
      </c>
      <c r="F2607" t="s">
        <v>6305</v>
      </c>
      <c r="G2607" s="1">
        <v>44943</v>
      </c>
    </row>
    <row r="2608" spans="1:7">
      <c r="A2608" t="s">
        <v>5331</v>
      </c>
      <c r="B2608">
        <v>41</v>
      </c>
      <c r="D2608">
        <v>71979</v>
      </c>
      <c r="E2608" t="s">
        <v>9</v>
      </c>
      <c r="F2608">
        <v>8329312966</v>
      </c>
      <c r="G2608" s="1">
        <v>45048</v>
      </c>
    </row>
    <row r="2609" spans="1:7">
      <c r="B2609">
        <v>-10</v>
      </c>
      <c r="C2609" t="s">
        <v>6306</v>
      </c>
      <c r="D2609">
        <v>143221</v>
      </c>
      <c r="E2609" t="s">
        <v>27</v>
      </c>
      <c r="G2609" s="1">
        <v>45195</v>
      </c>
    </row>
    <row r="2610" spans="1:7">
      <c r="A2610" t="s">
        <v>6307</v>
      </c>
      <c r="B2610">
        <v>41</v>
      </c>
      <c r="C2610" t="s">
        <v>6308</v>
      </c>
      <c r="D2610">
        <v>179359</v>
      </c>
      <c r="E2610" t="s">
        <v>36</v>
      </c>
      <c r="F2610" t="s">
        <v>6309</v>
      </c>
      <c r="G2610" s="1">
        <v>45163</v>
      </c>
    </row>
    <row r="2611" spans="1:7">
      <c r="A2611" t="s">
        <v>6310</v>
      </c>
      <c r="B2611">
        <v>63</v>
      </c>
      <c r="C2611" t="s">
        <v>6311</v>
      </c>
      <c r="D2611">
        <v>192917</v>
      </c>
      <c r="E2611" t="s">
        <v>27</v>
      </c>
      <c r="F2611">
        <v>6760652905</v>
      </c>
      <c r="G2611" s="1">
        <v>45081</v>
      </c>
    </row>
    <row r="2612" spans="1:7">
      <c r="A2612" t="s">
        <v>6312</v>
      </c>
      <c r="B2612">
        <v>22</v>
      </c>
      <c r="C2612" t="s">
        <v>6313</v>
      </c>
      <c r="D2612">
        <v>150494</v>
      </c>
      <c r="E2612" t="s">
        <v>9</v>
      </c>
      <c r="G2612" s="1">
        <v>45118</v>
      </c>
    </row>
    <row r="2613" spans="1:7">
      <c r="A2613" t="s">
        <v>6314</v>
      </c>
      <c r="B2613">
        <v>63</v>
      </c>
      <c r="C2613" t="s">
        <v>6315</v>
      </c>
      <c r="D2613">
        <v>-5000</v>
      </c>
      <c r="E2613" t="s">
        <v>36</v>
      </c>
      <c r="F2613" t="s">
        <v>6316</v>
      </c>
      <c r="G2613" s="1">
        <v>45244</v>
      </c>
    </row>
    <row r="2614" spans="1:7">
      <c r="A2614" t="s">
        <v>6317</v>
      </c>
      <c r="B2614">
        <v>18</v>
      </c>
      <c r="C2614" t="s">
        <v>6318</v>
      </c>
      <c r="D2614">
        <v>182035</v>
      </c>
      <c r="E2614" t="s">
        <v>36</v>
      </c>
      <c r="F2614" t="s">
        <v>6319</v>
      </c>
      <c r="G2614" s="1">
        <v>45007</v>
      </c>
    </row>
    <row r="2615" spans="1:7">
      <c r="A2615" t="s">
        <v>6320</v>
      </c>
      <c r="B2615">
        <v>55</v>
      </c>
      <c r="C2615" t="s">
        <v>6321</v>
      </c>
      <c r="D2615">
        <v>63980</v>
      </c>
      <c r="E2615" t="s">
        <v>36</v>
      </c>
      <c r="F2615" t="s">
        <v>6322</v>
      </c>
      <c r="G2615" s="1">
        <v>44949</v>
      </c>
    </row>
    <row r="2616" spans="1:7">
      <c r="A2616" t="s">
        <v>6323</v>
      </c>
      <c r="B2616">
        <v>23</v>
      </c>
      <c r="C2616" t="s">
        <v>6324</v>
      </c>
      <c r="D2616">
        <v>44779</v>
      </c>
      <c r="E2616" t="s">
        <v>12</v>
      </c>
      <c r="F2616">
        <v>4181976714</v>
      </c>
      <c r="G2616" s="1">
        <v>45112</v>
      </c>
    </row>
    <row r="2617" spans="1:7">
      <c r="A2617" t="s">
        <v>6325</v>
      </c>
      <c r="B2617">
        <v>33</v>
      </c>
      <c r="C2617" t="s">
        <v>6326</v>
      </c>
      <c r="E2617" t="s">
        <v>9</v>
      </c>
      <c r="F2617">
        <v>1782424812</v>
      </c>
      <c r="G2617" s="1">
        <v>45280</v>
      </c>
    </row>
    <row r="2618" spans="1:7">
      <c r="A2618" t="s">
        <v>6327</v>
      </c>
      <c r="B2618">
        <v>55</v>
      </c>
      <c r="C2618" t="s">
        <v>6328</v>
      </c>
      <c r="D2618">
        <v>0</v>
      </c>
      <c r="E2618" t="s">
        <v>9</v>
      </c>
      <c r="F2618" t="s">
        <v>6329</v>
      </c>
      <c r="G2618" s="1">
        <v>44951</v>
      </c>
    </row>
    <row r="2619" spans="1:7">
      <c r="A2619" t="s">
        <v>6330</v>
      </c>
      <c r="B2619">
        <v>47</v>
      </c>
      <c r="C2619" t="s">
        <v>6331</v>
      </c>
      <c r="D2619">
        <v>56502</v>
      </c>
      <c r="F2619">
        <v>4534096467</v>
      </c>
      <c r="G2619" s="1">
        <v>45275</v>
      </c>
    </row>
    <row r="2620" spans="1:7">
      <c r="A2620" t="s">
        <v>6332</v>
      </c>
      <c r="B2620">
        <v>30</v>
      </c>
      <c r="C2620" t="s">
        <v>6333</v>
      </c>
      <c r="D2620">
        <v>106382</v>
      </c>
      <c r="E2620" t="s">
        <v>18</v>
      </c>
      <c r="F2620">
        <v>2567069461</v>
      </c>
      <c r="G2620" s="1">
        <v>45074</v>
      </c>
    </row>
    <row r="2621" spans="1:7">
      <c r="A2621" t="s">
        <v>6334</v>
      </c>
      <c r="B2621">
        <v>70</v>
      </c>
      <c r="C2621" t="s">
        <v>445</v>
      </c>
      <c r="D2621">
        <v>114719</v>
      </c>
      <c r="E2621" t="s">
        <v>9</v>
      </c>
      <c r="F2621" t="s">
        <v>6335</v>
      </c>
      <c r="G2621" s="1">
        <v>44943</v>
      </c>
    </row>
    <row r="2622" spans="1:7">
      <c r="A2622" t="s">
        <v>6336</v>
      </c>
      <c r="B2622">
        <v>55</v>
      </c>
      <c r="C2622" t="s">
        <v>6337</v>
      </c>
      <c r="D2622">
        <v>191770</v>
      </c>
      <c r="E2622" t="s">
        <v>12</v>
      </c>
      <c r="F2622" t="s">
        <v>6338</v>
      </c>
      <c r="G2622" s="1">
        <v>45085</v>
      </c>
    </row>
    <row r="2623" spans="1:7">
      <c r="A2623" t="s">
        <v>6339</v>
      </c>
      <c r="B2623">
        <v>-10</v>
      </c>
      <c r="C2623" t="s">
        <v>6340</v>
      </c>
      <c r="E2623" t="s">
        <v>9</v>
      </c>
      <c r="F2623" t="s">
        <v>6341</v>
      </c>
      <c r="G2623" s="1">
        <v>45096</v>
      </c>
    </row>
    <row r="2624" spans="1:7">
      <c r="A2624" t="s">
        <v>6342</v>
      </c>
      <c r="B2624">
        <v>37</v>
      </c>
      <c r="D2624">
        <v>113021</v>
      </c>
      <c r="E2624" t="s">
        <v>49</v>
      </c>
      <c r="F2624" t="s">
        <v>6343</v>
      </c>
      <c r="G2624" s="1">
        <v>44979</v>
      </c>
    </row>
    <row r="2625" spans="1:7">
      <c r="A2625" t="s">
        <v>5132</v>
      </c>
      <c r="B2625">
        <v>-10</v>
      </c>
      <c r="C2625" t="s">
        <v>6344</v>
      </c>
      <c r="D2625">
        <v>179329</v>
      </c>
      <c r="E2625" t="s">
        <v>12</v>
      </c>
      <c r="F2625" t="s">
        <v>6345</v>
      </c>
      <c r="G2625" s="1">
        <v>45254</v>
      </c>
    </row>
    <row r="2626" spans="1:7">
      <c r="A2626" t="s">
        <v>6346</v>
      </c>
      <c r="B2626">
        <v>46</v>
      </c>
      <c r="D2626">
        <v>92320</v>
      </c>
      <c r="E2626" t="s">
        <v>36</v>
      </c>
      <c r="F2626" t="s">
        <v>6347</v>
      </c>
      <c r="G2626" s="1">
        <v>45109</v>
      </c>
    </row>
    <row r="2627" spans="1:7">
      <c r="A2627" t="s">
        <v>6348</v>
      </c>
      <c r="B2627">
        <v>63</v>
      </c>
      <c r="C2627" t="s">
        <v>6349</v>
      </c>
      <c r="D2627">
        <v>132484</v>
      </c>
      <c r="E2627" t="s">
        <v>527</v>
      </c>
      <c r="F2627" t="s">
        <v>6350</v>
      </c>
      <c r="G2627" s="1">
        <v>44976</v>
      </c>
    </row>
    <row r="2628" spans="1:7">
      <c r="A2628" t="s">
        <v>6351</v>
      </c>
      <c r="B2628">
        <v>38</v>
      </c>
      <c r="C2628" t="s">
        <v>6352</v>
      </c>
      <c r="D2628">
        <v>66561</v>
      </c>
      <c r="E2628" t="s">
        <v>9</v>
      </c>
      <c r="F2628" t="s">
        <v>6353</v>
      </c>
      <c r="G2628" s="1">
        <v>45258</v>
      </c>
    </row>
    <row r="2629" spans="1:7">
      <c r="A2629" t="s">
        <v>6354</v>
      </c>
      <c r="B2629">
        <v>77</v>
      </c>
      <c r="C2629" t="s">
        <v>6355</v>
      </c>
      <c r="D2629">
        <v>92224</v>
      </c>
      <c r="E2629" t="s">
        <v>9</v>
      </c>
      <c r="F2629">
        <v>7917243133</v>
      </c>
      <c r="G2629" s="1">
        <v>45116</v>
      </c>
    </row>
    <row r="2630" spans="1:7">
      <c r="A2630" t="s">
        <v>4913</v>
      </c>
      <c r="B2630">
        <v>-100</v>
      </c>
      <c r="C2630" t="s">
        <v>6356</v>
      </c>
      <c r="D2630">
        <v>61085</v>
      </c>
      <c r="E2630" t="s">
        <v>36</v>
      </c>
      <c r="F2630" t="s">
        <v>6357</v>
      </c>
      <c r="G2630" s="1">
        <v>45032</v>
      </c>
    </row>
    <row r="2631" spans="1:7">
      <c r="B2631">
        <v>50</v>
      </c>
      <c r="C2631" t="s">
        <v>6358</v>
      </c>
      <c r="D2631">
        <v>101569</v>
      </c>
      <c r="E2631" t="s">
        <v>36</v>
      </c>
      <c r="F2631">
        <v>1085507405</v>
      </c>
      <c r="G2631" s="1">
        <v>44983</v>
      </c>
    </row>
    <row r="2632" spans="1:7">
      <c r="A2632" t="s">
        <v>6359</v>
      </c>
      <c r="B2632">
        <v>35</v>
      </c>
      <c r="C2632" t="s">
        <v>6360</v>
      </c>
      <c r="D2632">
        <v>84962</v>
      </c>
      <c r="E2632" t="s">
        <v>9</v>
      </c>
      <c r="F2632" t="s">
        <v>6361</v>
      </c>
      <c r="G2632" t="s">
        <v>493</v>
      </c>
    </row>
    <row r="2633" spans="1:7">
      <c r="A2633" t="s">
        <v>6362</v>
      </c>
      <c r="B2633">
        <v>33</v>
      </c>
      <c r="C2633" t="s">
        <v>594</v>
      </c>
      <c r="E2633" t="s">
        <v>36</v>
      </c>
      <c r="F2633">
        <v>8704142790</v>
      </c>
      <c r="G2633" s="1">
        <v>44992</v>
      </c>
    </row>
    <row r="2634" spans="1:7">
      <c r="A2634" t="s">
        <v>6363</v>
      </c>
      <c r="B2634">
        <v>78</v>
      </c>
      <c r="C2634" t="s">
        <v>518</v>
      </c>
      <c r="D2634">
        <v>171900</v>
      </c>
      <c r="E2634" t="s">
        <v>27</v>
      </c>
      <c r="F2634" t="s">
        <v>6364</v>
      </c>
      <c r="G2634" s="1">
        <v>44968</v>
      </c>
    </row>
    <row r="2635" spans="1:7">
      <c r="A2635" t="s">
        <v>6365</v>
      </c>
      <c r="B2635">
        <v>48</v>
      </c>
      <c r="C2635" t="s">
        <v>6366</v>
      </c>
      <c r="D2635">
        <v>85798</v>
      </c>
      <c r="E2635" t="s">
        <v>27</v>
      </c>
      <c r="F2635">
        <f>1-486-321-6703</f>
        <v>-7509</v>
      </c>
      <c r="G2635" s="1">
        <v>45240</v>
      </c>
    </row>
    <row r="2636" spans="1:7">
      <c r="A2636" t="s">
        <v>6367</v>
      </c>
      <c r="B2636">
        <v>-10</v>
      </c>
      <c r="C2636" t="s">
        <v>6368</v>
      </c>
      <c r="D2636">
        <v>87939</v>
      </c>
      <c r="E2636" t="s">
        <v>36</v>
      </c>
      <c r="F2636">
        <f>1-845-481-8682</f>
        <v>-10007</v>
      </c>
      <c r="G2636" s="1">
        <v>45254</v>
      </c>
    </row>
    <row r="2637" spans="1:7">
      <c r="A2637" t="s">
        <v>6369</v>
      </c>
      <c r="B2637">
        <v>57</v>
      </c>
      <c r="C2637" t="s">
        <v>6370</v>
      </c>
      <c r="D2637">
        <v>35867</v>
      </c>
      <c r="E2637" t="s">
        <v>36</v>
      </c>
      <c r="G2637" s="1">
        <v>44975</v>
      </c>
    </row>
    <row r="2638" spans="1:7">
      <c r="A2638" t="s">
        <v>6371</v>
      </c>
      <c r="B2638">
        <v>62</v>
      </c>
      <c r="C2638" t="s">
        <v>6372</v>
      </c>
      <c r="D2638">
        <v>196412</v>
      </c>
      <c r="E2638" t="s">
        <v>9</v>
      </c>
      <c r="F2638">
        <v>7913460903</v>
      </c>
      <c r="G2638" s="1">
        <v>45079</v>
      </c>
    </row>
    <row r="2639" spans="1:7">
      <c r="A2639" t="s">
        <v>6373</v>
      </c>
      <c r="B2639">
        <v>33</v>
      </c>
      <c r="C2639" t="s">
        <v>389</v>
      </c>
      <c r="D2639">
        <v>84970</v>
      </c>
      <c r="E2639" t="s">
        <v>27</v>
      </c>
      <c r="F2639" t="s">
        <v>6374</v>
      </c>
      <c r="G2639" s="1">
        <v>45029</v>
      </c>
    </row>
    <row r="2640" spans="1:7">
      <c r="A2640" t="s">
        <v>6375</v>
      </c>
      <c r="B2640">
        <v>66</v>
      </c>
      <c r="C2640" t="s">
        <v>6376</v>
      </c>
      <c r="D2640">
        <v>96471</v>
      </c>
      <c r="E2640" t="s">
        <v>27</v>
      </c>
      <c r="F2640" t="s">
        <v>6377</v>
      </c>
      <c r="G2640" s="1">
        <v>45120</v>
      </c>
    </row>
    <row r="2641" spans="1:7">
      <c r="A2641" t="s">
        <v>6378</v>
      </c>
      <c r="B2641">
        <v>52</v>
      </c>
      <c r="C2641" t="s">
        <v>6379</v>
      </c>
      <c r="D2641">
        <v>168368</v>
      </c>
      <c r="E2641" t="s">
        <v>27</v>
      </c>
      <c r="F2641">
        <v>8333222223</v>
      </c>
      <c r="G2641" s="1">
        <v>45021</v>
      </c>
    </row>
    <row r="2642" spans="1:7">
      <c r="A2642" t="s">
        <v>6380</v>
      </c>
      <c r="B2642">
        <v>20</v>
      </c>
      <c r="C2642" t="s">
        <v>6381</v>
      </c>
      <c r="D2642">
        <v>104353</v>
      </c>
      <c r="E2642" t="s">
        <v>12</v>
      </c>
      <c r="F2642" t="s">
        <v>6382</v>
      </c>
      <c r="G2642" s="1">
        <v>45215</v>
      </c>
    </row>
    <row r="2643" spans="1:7">
      <c r="A2643" t="s">
        <v>6383</v>
      </c>
      <c r="B2643">
        <v>300</v>
      </c>
      <c r="C2643" t="s">
        <v>6384</v>
      </c>
      <c r="E2643" t="s">
        <v>9</v>
      </c>
      <c r="G2643" s="1">
        <v>45235</v>
      </c>
    </row>
    <row r="2644" spans="1:7">
      <c r="A2644" t="s">
        <v>6385</v>
      </c>
      <c r="B2644">
        <v>73</v>
      </c>
      <c r="C2644" t="s">
        <v>6386</v>
      </c>
      <c r="E2644" t="s">
        <v>27</v>
      </c>
      <c r="F2644" t="s">
        <v>6387</v>
      </c>
      <c r="G2644" s="1">
        <v>45180</v>
      </c>
    </row>
    <row r="2645" spans="1:7">
      <c r="A2645" t="s">
        <v>6388</v>
      </c>
      <c r="B2645">
        <v>77</v>
      </c>
      <c r="C2645" t="s">
        <v>6389</v>
      </c>
      <c r="D2645">
        <v>34213</v>
      </c>
      <c r="E2645" t="s">
        <v>527</v>
      </c>
      <c r="F2645">
        <f>1-851-439-7897</f>
        <v>-9186</v>
      </c>
      <c r="G2645" s="1">
        <v>45056</v>
      </c>
    </row>
    <row r="2646" spans="1:7">
      <c r="A2646" t="s">
        <v>6390</v>
      </c>
      <c r="B2646">
        <v>54</v>
      </c>
      <c r="C2646" t="s">
        <v>6391</v>
      </c>
      <c r="D2646">
        <v>103705</v>
      </c>
      <c r="E2646" t="s">
        <v>12</v>
      </c>
      <c r="F2646" t="s">
        <v>6392</v>
      </c>
      <c r="G2646" s="1">
        <v>45121</v>
      </c>
    </row>
    <row r="2647" spans="1:7">
      <c r="A2647" t="s">
        <v>6393</v>
      </c>
      <c r="B2647">
        <v>53</v>
      </c>
      <c r="D2647">
        <v>102227</v>
      </c>
      <c r="E2647" t="s">
        <v>36</v>
      </c>
      <c r="F2647" t="s">
        <v>6394</v>
      </c>
      <c r="G2647" s="1">
        <v>44949</v>
      </c>
    </row>
    <row r="2648" spans="1:7">
      <c r="A2648" t="s">
        <v>6395</v>
      </c>
      <c r="B2648">
        <v>22</v>
      </c>
      <c r="C2648" t="s">
        <v>6396</v>
      </c>
      <c r="D2648">
        <v>96197</v>
      </c>
      <c r="E2648" t="s">
        <v>27</v>
      </c>
      <c r="F2648" t="s">
        <v>6397</v>
      </c>
      <c r="G2648" s="1">
        <v>45262</v>
      </c>
    </row>
    <row r="2649" spans="1:7">
      <c r="A2649" t="s">
        <v>6398</v>
      </c>
      <c r="B2649">
        <v>0</v>
      </c>
      <c r="C2649" t="s">
        <v>6399</v>
      </c>
      <c r="D2649">
        <v>97384</v>
      </c>
      <c r="E2649" t="s">
        <v>12</v>
      </c>
      <c r="F2649" t="s">
        <v>6400</v>
      </c>
      <c r="G2649" s="1">
        <v>44976</v>
      </c>
    </row>
    <row r="2650" spans="1:7">
      <c r="A2650" t="s">
        <v>6401</v>
      </c>
      <c r="B2650">
        <v>77</v>
      </c>
      <c r="C2650" t="s">
        <v>6402</v>
      </c>
      <c r="D2650">
        <v>143892</v>
      </c>
      <c r="E2650" t="s">
        <v>27</v>
      </c>
      <c r="G2650" s="1">
        <v>45000</v>
      </c>
    </row>
    <row r="2651" spans="1:7">
      <c r="A2651" t="s">
        <v>6403</v>
      </c>
      <c r="B2651">
        <v>49</v>
      </c>
      <c r="C2651" t="s">
        <v>6404</v>
      </c>
      <c r="E2651" t="s">
        <v>12</v>
      </c>
      <c r="F2651">
        <v>8683546423</v>
      </c>
      <c r="G2651" s="1">
        <v>45032</v>
      </c>
    </row>
    <row r="2652" spans="1:7">
      <c r="B2652">
        <v>0</v>
      </c>
      <c r="C2652" t="s">
        <v>6405</v>
      </c>
      <c r="D2652">
        <v>151724</v>
      </c>
      <c r="E2652" t="s">
        <v>12</v>
      </c>
      <c r="F2652">
        <v>7871714360</v>
      </c>
      <c r="G2652" s="1">
        <v>45003</v>
      </c>
    </row>
    <row r="2653" spans="1:7">
      <c r="A2653" t="s">
        <v>6406</v>
      </c>
      <c r="B2653">
        <v>49</v>
      </c>
      <c r="C2653" t="s">
        <v>6407</v>
      </c>
      <c r="E2653" t="s">
        <v>36</v>
      </c>
      <c r="F2653" t="s">
        <v>6408</v>
      </c>
      <c r="G2653" s="1">
        <v>45135</v>
      </c>
    </row>
    <row r="2654" spans="1:7">
      <c r="A2654" t="s">
        <v>6409</v>
      </c>
      <c r="B2654">
        <v>39</v>
      </c>
      <c r="C2654" t="s">
        <v>6410</v>
      </c>
      <c r="D2654">
        <v>183903</v>
      </c>
      <c r="E2654" t="s">
        <v>9</v>
      </c>
      <c r="F2654" t="s">
        <v>6411</v>
      </c>
      <c r="G2654" s="1">
        <v>45168</v>
      </c>
    </row>
    <row r="2655" spans="1:7">
      <c r="A2655" t="s">
        <v>6412</v>
      </c>
      <c r="B2655">
        <v>40</v>
      </c>
      <c r="D2655">
        <v>185086</v>
      </c>
      <c r="E2655" t="s">
        <v>27</v>
      </c>
      <c r="F2655" t="s">
        <v>6413</v>
      </c>
      <c r="G2655" s="1">
        <v>45154</v>
      </c>
    </row>
    <row r="2656" spans="1:7">
      <c r="A2656" t="s">
        <v>6414</v>
      </c>
      <c r="B2656">
        <v>79</v>
      </c>
      <c r="C2656" t="s">
        <v>6415</v>
      </c>
      <c r="E2656" t="s">
        <v>36</v>
      </c>
      <c r="F2656" t="s">
        <v>6416</v>
      </c>
      <c r="G2656" s="1">
        <v>44959</v>
      </c>
    </row>
    <row r="2657" spans="1:7">
      <c r="A2657" t="s">
        <v>6417</v>
      </c>
      <c r="B2657">
        <v>43</v>
      </c>
      <c r="C2657" t="s">
        <v>6418</v>
      </c>
      <c r="D2657">
        <v>156613</v>
      </c>
      <c r="E2657" t="s">
        <v>12</v>
      </c>
      <c r="F2657" t="s">
        <v>6419</v>
      </c>
      <c r="G2657" s="1">
        <v>45259</v>
      </c>
    </row>
    <row r="2658" spans="1:7">
      <c r="A2658" t="s">
        <v>6420</v>
      </c>
      <c r="B2658">
        <v>0</v>
      </c>
      <c r="C2658" t="s">
        <v>6421</v>
      </c>
      <c r="D2658">
        <v>150076</v>
      </c>
      <c r="E2658" t="s">
        <v>9</v>
      </c>
      <c r="F2658">
        <f>1-773-794-3369</f>
        <v>-4935</v>
      </c>
      <c r="G2658" s="1">
        <v>45077</v>
      </c>
    </row>
    <row r="2659" spans="1:7">
      <c r="A2659" t="s">
        <v>6422</v>
      </c>
      <c r="B2659">
        <v>70</v>
      </c>
      <c r="C2659" t="s">
        <v>6423</v>
      </c>
      <c r="D2659">
        <v>84847</v>
      </c>
      <c r="E2659" t="s">
        <v>27</v>
      </c>
      <c r="F2659">
        <f>1-271-106-9818</f>
        <v>-10194</v>
      </c>
      <c r="G2659" s="1">
        <v>44995</v>
      </c>
    </row>
    <row r="2660" spans="1:7">
      <c r="A2660" t="s">
        <v>6424</v>
      </c>
      <c r="B2660">
        <v>51</v>
      </c>
      <c r="C2660" t="s">
        <v>594</v>
      </c>
      <c r="D2660">
        <v>117245</v>
      </c>
      <c r="E2660" t="s">
        <v>36</v>
      </c>
      <c r="F2660" t="s">
        <v>6425</v>
      </c>
      <c r="G2660" t="s">
        <v>1627</v>
      </c>
    </row>
    <row r="2661" spans="1:7">
      <c r="A2661" t="s">
        <v>6426</v>
      </c>
      <c r="B2661">
        <v>50</v>
      </c>
      <c r="C2661" t="s">
        <v>6427</v>
      </c>
      <c r="D2661">
        <v>180872</v>
      </c>
      <c r="E2661" t="s">
        <v>12</v>
      </c>
      <c r="F2661">
        <f>1-455-474-8347</f>
        <v>-9275</v>
      </c>
      <c r="G2661" s="1">
        <v>45046</v>
      </c>
    </row>
    <row r="2662" spans="1:7">
      <c r="A2662" t="s">
        <v>6428</v>
      </c>
      <c r="B2662">
        <v>49</v>
      </c>
      <c r="C2662" t="s">
        <v>6429</v>
      </c>
      <c r="D2662">
        <v>129273</v>
      </c>
      <c r="E2662" t="s">
        <v>12</v>
      </c>
      <c r="F2662">
        <v>2775021744</v>
      </c>
      <c r="G2662" s="1">
        <v>45159</v>
      </c>
    </row>
    <row r="2663" spans="1:7">
      <c r="A2663" t="s">
        <v>6430</v>
      </c>
      <c r="B2663">
        <v>44</v>
      </c>
      <c r="C2663" t="s">
        <v>6431</v>
      </c>
      <c r="D2663">
        <v>100400</v>
      </c>
      <c r="E2663" t="s">
        <v>36</v>
      </c>
      <c r="F2663" t="s">
        <v>6432</v>
      </c>
      <c r="G2663" t="s">
        <v>422</v>
      </c>
    </row>
    <row r="2664" spans="1:7">
      <c r="A2664" t="s">
        <v>6433</v>
      </c>
      <c r="B2664">
        <v>64</v>
      </c>
      <c r="C2664" t="s">
        <v>6434</v>
      </c>
      <c r="D2664">
        <v>181818</v>
      </c>
      <c r="E2664" t="s">
        <v>12</v>
      </c>
      <c r="F2664">
        <v>6224576330</v>
      </c>
      <c r="G2664" s="1">
        <v>45085</v>
      </c>
    </row>
    <row r="2665" spans="1:7">
      <c r="A2665" t="s">
        <v>6435</v>
      </c>
      <c r="B2665">
        <v>42</v>
      </c>
      <c r="C2665" t="s">
        <v>6436</v>
      </c>
      <c r="D2665">
        <v>93972</v>
      </c>
      <c r="E2665" t="s">
        <v>9</v>
      </c>
      <c r="F2665">
        <f>1-926-352-9615</f>
        <v>-10892</v>
      </c>
      <c r="G2665" s="1">
        <v>44974</v>
      </c>
    </row>
    <row r="2666" spans="1:7">
      <c r="A2666" t="s">
        <v>6437</v>
      </c>
      <c r="B2666">
        <v>21</v>
      </c>
      <c r="C2666" t="s">
        <v>6438</v>
      </c>
      <c r="D2666">
        <v>99087</v>
      </c>
      <c r="E2666" t="s">
        <v>12</v>
      </c>
      <c r="F2666" t="s">
        <v>6439</v>
      </c>
      <c r="G2666" s="1">
        <v>44977</v>
      </c>
    </row>
    <row r="2667" spans="1:7">
      <c r="A2667" t="s">
        <v>6440</v>
      </c>
      <c r="B2667">
        <v>19</v>
      </c>
      <c r="C2667" t="s">
        <v>6441</v>
      </c>
      <c r="D2667">
        <v>95184</v>
      </c>
      <c r="E2667" t="s">
        <v>36</v>
      </c>
      <c r="F2667" t="s">
        <v>6442</v>
      </c>
      <c r="G2667" s="1">
        <v>45151</v>
      </c>
    </row>
    <row r="2668" spans="1:7">
      <c r="A2668" t="s">
        <v>5157</v>
      </c>
      <c r="B2668">
        <v>28</v>
      </c>
      <c r="C2668" t="s">
        <v>6443</v>
      </c>
      <c r="D2668">
        <v>134927</v>
      </c>
      <c r="E2668" t="s">
        <v>9</v>
      </c>
      <c r="F2668" t="s">
        <v>6444</v>
      </c>
      <c r="G2668" s="1">
        <v>44958</v>
      </c>
    </row>
    <row r="2669" spans="1:7">
      <c r="A2669" t="s">
        <v>6445</v>
      </c>
      <c r="B2669">
        <v>29</v>
      </c>
      <c r="C2669" t="s">
        <v>6446</v>
      </c>
      <c r="D2669">
        <v>137049</v>
      </c>
      <c r="E2669" t="s">
        <v>36</v>
      </c>
      <c r="F2669" t="s">
        <v>6447</v>
      </c>
      <c r="G2669" s="1">
        <v>45135</v>
      </c>
    </row>
    <row r="2670" spans="1:7">
      <c r="A2670" t="s">
        <v>6448</v>
      </c>
      <c r="B2670">
        <v>45</v>
      </c>
      <c r="C2670" t="s">
        <v>6449</v>
      </c>
      <c r="D2670">
        <v>75836</v>
      </c>
      <c r="E2670" t="s">
        <v>36</v>
      </c>
      <c r="F2670" t="s">
        <v>6450</v>
      </c>
      <c r="G2670" s="1">
        <v>45186</v>
      </c>
    </row>
    <row r="2671" spans="1:7">
      <c r="A2671" t="s">
        <v>6451</v>
      </c>
      <c r="B2671">
        <v>67</v>
      </c>
      <c r="C2671" t="s">
        <v>6452</v>
      </c>
      <c r="D2671">
        <v>34017</v>
      </c>
      <c r="E2671" t="s">
        <v>27</v>
      </c>
      <c r="F2671">
        <f>1-142-619-2727</f>
        <v>-3487</v>
      </c>
      <c r="G2671" s="1">
        <v>44963</v>
      </c>
    </row>
    <row r="2672" spans="1:7">
      <c r="A2672" t="s">
        <v>6453</v>
      </c>
      <c r="B2672">
        <v>61</v>
      </c>
      <c r="C2672" t="s">
        <v>6454</v>
      </c>
      <c r="D2672">
        <v>150667</v>
      </c>
      <c r="E2672" t="s">
        <v>12</v>
      </c>
      <c r="F2672" t="s">
        <v>6455</v>
      </c>
      <c r="G2672" s="1">
        <v>44971</v>
      </c>
    </row>
    <row r="2673" spans="1:7">
      <c r="A2673" t="s">
        <v>1440</v>
      </c>
      <c r="B2673">
        <v>47</v>
      </c>
      <c r="C2673" t="s">
        <v>6456</v>
      </c>
      <c r="D2673">
        <v>48689</v>
      </c>
      <c r="E2673" t="s">
        <v>27</v>
      </c>
      <c r="F2673">
        <f>1-118-105-7470</f>
        <v>-7692</v>
      </c>
      <c r="G2673" t="s">
        <v>81</v>
      </c>
    </row>
    <row r="2674" spans="1:7">
      <c r="A2674" t="s">
        <v>6457</v>
      </c>
      <c r="B2674">
        <v>29</v>
      </c>
      <c r="C2674" t="s">
        <v>6458</v>
      </c>
      <c r="D2674">
        <v>0</v>
      </c>
      <c r="E2674" t="s">
        <v>27</v>
      </c>
      <c r="F2674" t="s">
        <v>6459</v>
      </c>
      <c r="G2674" s="1">
        <v>45173</v>
      </c>
    </row>
    <row r="2675" spans="1:7">
      <c r="A2675" t="s">
        <v>6460</v>
      </c>
      <c r="C2675" t="s">
        <v>6461</v>
      </c>
      <c r="D2675">
        <v>116483</v>
      </c>
      <c r="E2675" t="s">
        <v>27</v>
      </c>
      <c r="F2675" t="s">
        <v>6462</v>
      </c>
      <c r="G2675" s="1">
        <v>45112</v>
      </c>
    </row>
    <row r="2676" spans="1:7">
      <c r="A2676" t="s">
        <v>6463</v>
      </c>
      <c r="B2676">
        <v>46</v>
      </c>
      <c r="C2676" t="s">
        <v>6464</v>
      </c>
      <c r="D2676">
        <v>135072</v>
      </c>
      <c r="E2676" t="s">
        <v>12</v>
      </c>
      <c r="F2676">
        <v>8392416466</v>
      </c>
      <c r="G2676" s="1">
        <v>45224</v>
      </c>
    </row>
    <row r="2677" spans="1:7">
      <c r="A2677" t="s">
        <v>6465</v>
      </c>
      <c r="B2677">
        <v>49</v>
      </c>
      <c r="C2677" t="s">
        <v>169</v>
      </c>
      <c r="D2677">
        <v>115936</v>
      </c>
      <c r="E2677" t="s">
        <v>9</v>
      </c>
      <c r="F2677" t="s">
        <v>6466</v>
      </c>
      <c r="G2677" s="1">
        <v>45034</v>
      </c>
    </row>
    <row r="2678" spans="1:7">
      <c r="A2678" t="s">
        <v>6467</v>
      </c>
      <c r="B2678">
        <v>75</v>
      </c>
      <c r="C2678" t="s">
        <v>6468</v>
      </c>
      <c r="D2678">
        <v>55494</v>
      </c>
      <c r="E2678" t="s">
        <v>12</v>
      </c>
      <c r="F2678" t="s">
        <v>6469</v>
      </c>
      <c r="G2678" s="1">
        <v>44940</v>
      </c>
    </row>
    <row r="2679" spans="1:7">
      <c r="A2679" t="s">
        <v>6470</v>
      </c>
      <c r="B2679">
        <v>57</v>
      </c>
      <c r="C2679" t="s">
        <v>6471</v>
      </c>
      <c r="E2679" t="s">
        <v>9</v>
      </c>
      <c r="F2679" t="s">
        <v>6472</v>
      </c>
      <c r="G2679" s="1">
        <v>45271</v>
      </c>
    </row>
    <row r="2680" spans="1:7">
      <c r="A2680" t="s">
        <v>6473</v>
      </c>
      <c r="B2680">
        <v>25</v>
      </c>
      <c r="C2680" t="s">
        <v>6474</v>
      </c>
      <c r="D2680">
        <v>194052</v>
      </c>
      <c r="E2680" t="s">
        <v>12</v>
      </c>
      <c r="F2680">
        <v>5016564330</v>
      </c>
      <c r="G2680" s="1">
        <v>44980</v>
      </c>
    </row>
    <row r="2681" spans="1:7">
      <c r="A2681" t="s">
        <v>6475</v>
      </c>
      <c r="B2681">
        <v>39</v>
      </c>
      <c r="C2681" t="s">
        <v>6476</v>
      </c>
      <c r="D2681">
        <v>146278</v>
      </c>
      <c r="E2681" t="s">
        <v>12</v>
      </c>
      <c r="F2681" t="s">
        <v>6477</v>
      </c>
      <c r="G2681" s="1">
        <v>45125</v>
      </c>
    </row>
    <row r="2682" spans="1:7">
      <c r="A2682" t="s">
        <v>6478</v>
      </c>
      <c r="B2682">
        <v>69</v>
      </c>
      <c r="C2682" t="s">
        <v>6479</v>
      </c>
      <c r="D2682">
        <v>69560</v>
      </c>
      <c r="E2682" t="s">
        <v>36</v>
      </c>
      <c r="F2682" t="s">
        <v>6480</v>
      </c>
      <c r="G2682" s="1">
        <v>45054</v>
      </c>
    </row>
    <row r="2683" spans="1:7">
      <c r="A2683" t="s">
        <v>6481</v>
      </c>
      <c r="B2683">
        <v>300</v>
      </c>
      <c r="C2683" t="s">
        <v>6482</v>
      </c>
      <c r="D2683">
        <v>121502</v>
      </c>
      <c r="E2683" t="s">
        <v>27</v>
      </c>
      <c r="G2683" s="1">
        <v>45258</v>
      </c>
    </row>
    <row r="2684" spans="1:7">
      <c r="A2684" t="s">
        <v>6483</v>
      </c>
      <c r="B2684">
        <v>50</v>
      </c>
      <c r="C2684" t="s">
        <v>6484</v>
      </c>
      <c r="D2684">
        <v>81137</v>
      </c>
      <c r="E2684" t="s">
        <v>12</v>
      </c>
      <c r="G2684" s="1">
        <v>45035</v>
      </c>
    </row>
    <row r="2685" spans="1:7">
      <c r="A2685" t="s">
        <v>6485</v>
      </c>
      <c r="B2685">
        <v>61</v>
      </c>
      <c r="C2685" t="s">
        <v>6486</v>
      </c>
      <c r="D2685">
        <v>168561</v>
      </c>
      <c r="E2685" t="s">
        <v>27</v>
      </c>
      <c r="F2685">
        <v>5466545009</v>
      </c>
      <c r="G2685" s="1">
        <v>45261</v>
      </c>
    </row>
    <row r="2686" spans="1:7">
      <c r="A2686" t="s">
        <v>6487</v>
      </c>
      <c r="B2686">
        <v>61</v>
      </c>
      <c r="C2686" t="s">
        <v>6488</v>
      </c>
      <c r="E2686" t="s">
        <v>9</v>
      </c>
      <c r="F2686">
        <f>1-859-809-7492</f>
        <v>-9159</v>
      </c>
      <c r="G2686" s="1">
        <v>45204</v>
      </c>
    </row>
    <row r="2687" spans="1:7">
      <c r="A2687" t="s">
        <v>6489</v>
      </c>
      <c r="B2687">
        <v>-100</v>
      </c>
      <c r="D2687">
        <v>182185</v>
      </c>
      <c r="E2687" t="s">
        <v>12</v>
      </c>
      <c r="G2687" s="1">
        <v>45028</v>
      </c>
    </row>
    <row r="2688" spans="1:7">
      <c r="A2688" t="s">
        <v>6490</v>
      </c>
      <c r="B2688">
        <v>19</v>
      </c>
      <c r="C2688" t="s">
        <v>6491</v>
      </c>
      <c r="D2688">
        <v>57798</v>
      </c>
      <c r="E2688" t="s">
        <v>9</v>
      </c>
      <c r="F2688">
        <v>3753498424</v>
      </c>
      <c r="G2688" s="1">
        <v>44987</v>
      </c>
    </row>
    <row r="2689" spans="1:7">
      <c r="A2689" t="s">
        <v>6492</v>
      </c>
      <c r="B2689">
        <v>71</v>
      </c>
      <c r="C2689" t="s">
        <v>6493</v>
      </c>
      <c r="D2689">
        <v>32257</v>
      </c>
      <c r="E2689" t="s">
        <v>27</v>
      </c>
      <c r="F2689" t="s">
        <v>6494</v>
      </c>
      <c r="G2689" s="1">
        <v>44933</v>
      </c>
    </row>
    <row r="2690" spans="1:7">
      <c r="A2690" t="s">
        <v>1964</v>
      </c>
      <c r="B2690">
        <v>71</v>
      </c>
      <c r="C2690" t="s">
        <v>6495</v>
      </c>
      <c r="D2690">
        <v>35993</v>
      </c>
      <c r="E2690" t="s">
        <v>36</v>
      </c>
      <c r="F2690" t="s">
        <v>6496</v>
      </c>
      <c r="G2690" s="1">
        <v>45064</v>
      </c>
    </row>
    <row r="2691" spans="1:7">
      <c r="A2691" t="s">
        <v>6497</v>
      </c>
      <c r="B2691">
        <v>40</v>
      </c>
      <c r="C2691" t="s">
        <v>6498</v>
      </c>
      <c r="D2691">
        <v>188308</v>
      </c>
      <c r="E2691" t="s">
        <v>9</v>
      </c>
      <c r="F2691">
        <v>2260108602</v>
      </c>
      <c r="G2691" s="1">
        <v>45052</v>
      </c>
    </row>
    <row r="2692" spans="1:7">
      <c r="A2692" t="s">
        <v>6499</v>
      </c>
      <c r="B2692">
        <v>49</v>
      </c>
      <c r="C2692" t="s">
        <v>6500</v>
      </c>
      <c r="D2692">
        <v>193898</v>
      </c>
      <c r="E2692" t="s">
        <v>12</v>
      </c>
      <c r="F2692" t="s">
        <v>6501</v>
      </c>
      <c r="G2692" s="1">
        <v>45105</v>
      </c>
    </row>
    <row r="2693" spans="1:7">
      <c r="A2693" t="s">
        <v>6502</v>
      </c>
      <c r="B2693">
        <v>54</v>
      </c>
      <c r="C2693" t="s">
        <v>6503</v>
      </c>
      <c r="D2693">
        <v>150050</v>
      </c>
      <c r="E2693" t="s">
        <v>12</v>
      </c>
      <c r="F2693" t="s">
        <v>6504</v>
      </c>
      <c r="G2693" s="1">
        <v>45021</v>
      </c>
    </row>
    <row r="2694" spans="1:7">
      <c r="A2694" t="s">
        <v>6505</v>
      </c>
      <c r="B2694">
        <v>130</v>
      </c>
      <c r="D2694">
        <v>137529</v>
      </c>
      <c r="E2694" t="s">
        <v>9</v>
      </c>
      <c r="F2694">
        <v>4711270669</v>
      </c>
    </row>
    <row r="2695" spans="1:7">
      <c r="A2695" t="s">
        <v>6506</v>
      </c>
      <c r="B2695">
        <v>25</v>
      </c>
      <c r="C2695" t="s">
        <v>6507</v>
      </c>
      <c r="D2695">
        <v>-10000</v>
      </c>
      <c r="E2695" t="s">
        <v>12</v>
      </c>
      <c r="G2695" s="1">
        <v>45174</v>
      </c>
    </row>
    <row r="2696" spans="1:7">
      <c r="B2696">
        <v>56</v>
      </c>
      <c r="C2696" t="s">
        <v>6508</v>
      </c>
      <c r="D2696">
        <v>58807</v>
      </c>
      <c r="E2696" t="s">
        <v>27</v>
      </c>
      <c r="F2696">
        <v>4675905639</v>
      </c>
      <c r="G2696" s="1">
        <v>45201</v>
      </c>
    </row>
    <row r="2697" spans="1:7">
      <c r="A2697" t="s">
        <v>6509</v>
      </c>
      <c r="B2697">
        <v>-50</v>
      </c>
      <c r="C2697" t="s">
        <v>6510</v>
      </c>
      <c r="D2697">
        <v>147269</v>
      </c>
      <c r="E2697" t="s">
        <v>12</v>
      </c>
      <c r="G2697" s="1">
        <v>45085</v>
      </c>
    </row>
    <row r="2698" spans="1:7">
      <c r="A2698" t="s">
        <v>6511</v>
      </c>
      <c r="B2698">
        <v>33</v>
      </c>
      <c r="C2698" t="s">
        <v>6512</v>
      </c>
      <c r="D2698">
        <v>84745</v>
      </c>
      <c r="E2698" t="s">
        <v>358</v>
      </c>
      <c r="F2698" t="s">
        <v>6513</v>
      </c>
      <c r="G2698" s="1">
        <v>45255</v>
      </c>
    </row>
    <row r="2699" spans="1:7">
      <c r="A2699" t="s">
        <v>6514</v>
      </c>
      <c r="B2699">
        <v>67</v>
      </c>
      <c r="C2699" t="s">
        <v>6515</v>
      </c>
      <c r="D2699">
        <v>185371</v>
      </c>
      <c r="E2699" t="s">
        <v>36</v>
      </c>
      <c r="F2699" t="s">
        <v>6516</v>
      </c>
      <c r="G2699" s="1">
        <v>45200</v>
      </c>
    </row>
    <row r="2700" spans="1:7">
      <c r="A2700" t="s">
        <v>6517</v>
      </c>
      <c r="B2700">
        <v>51</v>
      </c>
      <c r="C2700" t="s">
        <v>6518</v>
      </c>
      <c r="D2700">
        <v>41523</v>
      </c>
      <c r="E2700" t="s">
        <v>36</v>
      </c>
      <c r="F2700" t="s">
        <v>6519</v>
      </c>
      <c r="G2700" s="1">
        <v>45258</v>
      </c>
    </row>
    <row r="2701" spans="1:7">
      <c r="A2701" t="s">
        <v>6520</v>
      </c>
      <c r="B2701">
        <v>50</v>
      </c>
      <c r="C2701" t="s">
        <v>6521</v>
      </c>
      <c r="D2701">
        <v>74605</v>
      </c>
      <c r="E2701" t="s">
        <v>9</v>
      </c>
      <c r="F2701">
        <f>1-324-575-4409</f>
        <v>-5307</v>
      </c>
      <c r="G2701" s="1">
        <v>45155</v>
      </c>
    </row>
    <row r="2702" spans="1:7">
      <c r="A2702" t="s">
        <v>6522</v>
      </c>
      <c r="B2702">
        <v>48</v>
      </c>
      <c r="D2702">
        <v>171385</v>
      </c>
      <c r="E2702" t="s">
        <v>9</v>
      </c>
      <c r="F2702" t="s">
        <v>6523</v>
      </c>
      <c r="G2702" s="1">
        <v>45158</v>
      </c>
    </row>
    <row r="2703" spans="1:7">
      <c r="A2703" t="s">
        <v>6524</v>
      </c>
      <c r="B2703">
        <v>35</v>
      </c>
      <c r="C2703" t="s">
        <v>6525</v>
      </c>
      <c r="D2703">
        <v>140218</v>
      </c>
      <c r="E2703" t="s">
        <v>12</v>
      </c>
      <c r="F2703" t="s">
        <v>6526</v>
      </c>
      <c r="G2703" s="1">
        <v>44986</v>
      </c>
    </row>
    <row r="2704" spans="1:7">
      <c r="A2704" t="s">
        <v>6527</v>
      </c>
      <c r="B2704">
        <v>33</v>
      </c>
      <c r="C2704" t="s">
        <v>6528</v>
      </c>
      <c r="D2704">
        <v>166304</v>
      </c>
      <c r="E2704" t="s">
        <v>9</v>
      </c>
      <c r="F2704">
        <f>1-523-776-4079</f>
        <v>-5377</v>
      </c>
      <c r="G2704" s="1">
        <v>45063</v>
      </c>
    </row>
    <row r="2705" spans="1:7">
      <c r="A2705" t="s">
        <v>6529</v>
      </c>
      <c r="B2705">
        <v>130</v>
      </c>
      <c r="C2705" t="s">
        <v>6530</v>
      </c>
      <c r="D2705">
        <v>62766</v>
      </c>
      <c r="E2705" t="s">
        <v>9</v>
      </c>
      <c r="F2705" t="s">
        <v>6531</v>
      </c>
      <c r="G2705" s="1">
        <v>45099</v>
      </c>
    </row>
    <row r="2706" spans="1:7">
      <c r="A2706" t="s">
        <v>6532</v>
      </c>
      <c r="B2706">
        <v>52</v>
      </c>
      <c r="C2706" t="s">
        <v>6533</v>
      </c>
      <c r="D2706">
        <v>76531</v>
      </c>
      <c r="E2706" t="s">
        <v>12</v>
      </c>
      <c r="F2706">
        <f>1-565-486-1382</f>
        <v>-2432</v>
      </c>
      <c r="G2706" s="1">
        <v>45161</v>
      </c>
    </row>
    <row r="2707" spans="1:7">
      <c r="A2707" t="s">
        <v>6534</v>
      </c>
      <c r="B2707">
        <v>79</v>
      </c>
      <c r="C2707" t="s">
        <v>6535</v>
      </c>
      <c r="D2707">
        <v>70992</v>
      </c>
      <c r="E2707" t="s">
        <v>12</v>
      </c>
      <c r="F2707" t="s">
        <v>6536</v>
      </c>
      <c r="G2707" s="1">
        <v>44942</v>
      </c>
    </row>
    <row r="2708" spans="1:7">
      <c r="A2708" t="s">
        <v>6537</v>
      </c>
      <c r="B2708">
        <v>62</v>
      </c>
      <c r="C2708" t="s">
        <v>6538</v>
      </c>
      <c r="D2708">
        <v>64160</v>
      </c>
      <c r="E2708" t="s">
        <v>27</v>
      </c>
      <c r="F2708" t="s">
        <v>6539</v>
      </c>
      <c r="G2708" s="1">
        <v>45272</v>
      </c>
    </row>
    <row r="2709" spans="1:7">
      <c r="A2709" t="s">
        <v>6540</v>
      </c>
      <c r="B2709">
        <v>65</v>
      </c>
      <c r="C2709" t="s">
        <v>518</v>
      </c>
      <c r="D2709">
        <v>147996</v>
      </c>
      <c r="E2709" t="s">
        <v>9</v>
      </c>
      <c r="F2709" t="s">
        <v>6541</v>
      </c>
      <c r="G2709" s="1">
        <v>45266</v>
      </c>
    </row>
    <row r="2710" spans="1:7">
      <c r="A2710" t="s">
        <v>6542</v>
      </c>
      <c r="B2710">
        <v>69</v>
      </c>
      <c r="C2710" t="s">
        <v>6543</v>
      </c>
      <c r="D2710">
        <v>90101</v>
      </c>
      <c r="E2710" t="s">
        <v>27</v>
      </c>
      <c r="F2710" t="s">
        <v>6544</v>
      </c>
      <c r="G2710" s="1">
        <v>45259</v>
      </c>
    </row>
    <row r="2711" spans="1:7">
      <c r="A2711" t="s">
        <v>6545</v>
      </c>
      <c r="B2711">
        <v>64</v>
      </c>
      <c r="C2711" t="s">
        <v>61</v>
      </c>
      <c r="D2711">
        <v>189978</v>
      </c>
      <c r="E2711" t="s">
        <v>12</v>
      </c>
      <c r="F2711" t="s">
        <v>6546</v>
      </c>
      <c r="G2711" s="1">
        <v>45177</v>
      </c>
    </row>
    <row r="2712" spans="1:7">
      <c r="A2712" t="s">
        <v>6547</v>
      </c>
      <c r="B2712">
        <v>20</v>
      </c>
      <c r="C2712" t="s">
        <v>6548</v>
      </c>
      <c r="D2712">
        <v>53331</v>
      </c>
      <c r="E2712" t="s">
        <v>36</v>
      </c>
      <c r="F2712" t="s">
        <v>6549</v>
      </c>
      <c r="G2712" s="1">
        <v>45169</v>
      </c>
    </row>
    <row r="2713" spans="1:7">
      <c r="A2713" t="s">
        <v>6550</v>
      </c>
      <c r="B2713">
        <v>25</v>
      </c>
      <c r="C2713" t="s">
        <v>6551</v>
      </c>
      <c r="D2713">
        <v>92501</v>
      </c>
      <c r="E2713" t="s">
        <v>12</v>
      </c>
      <c r="F2713" t="s">
        <v>6552</v>
      </c>
      <c r="G2713" s="1">
        <v>45218</v>
      </c>
    </row>
    <row r="2714" spans="1:7">
      <c r="A2714" t="s">
        <v>6553</v>
      </c>
      <c r="B2714">
        <v>41</v>
      </c>
      <c r="C2714" t="s">
        <v>6554</v>
      </c>
      <c r="D2714">
        <v>91192</v>
      </c>
      <c r="E2714" t="s">
        <v>12</v>
      </c>
      <c r="G2714" s="1">
        <v>45246</v>
      </c>
    </row>
    <row r="2715" spans="1:7">
      <c r="A2715" t="s">
        <v>6555</v>
      </c>
      <c r="B2715">
        <v>53</v>
      </c>
      <c r="D2715">
        <v>179515</v>
      </c>
      <c r="E2715" t="s">
        <v>12</v>
      </c>
      <c r="F2715">
        <v>7263566321</v>
      </c>
      <c r="G2715" s="1">
        <v>45068</v>
      </c>
    </row>
    <row r="2716" spans="1:7">
      <c r="A2716" t="s">
        <v>6556</v>
      </c>
      <c r="B2716">
        <v>78</v>
      </c>
      <c r="C2716" t="s">
        <v>6557</v>
      </c>
      <c r="D2716">
        <v>36447</v>
      </c>
      <c r="E2716" t="s">
        <v>9</v>
      </c>
      <c r="F2716">
        <v>4897716760</v>
      </c>
      <c r="G2716" s="1">
        <v>44927</v>
      </c>
    </row>
    <row r="2717" spans="1:7">
      <c r="A2717" t="s">
        <v>6558</v>
      </c>
      <c r="B2717">
        <v>56</v>
      </c>
      <c r="C2717" t="s">
        <v>6559</v>
      </c>
      <c r="D2717">
        <v>113308</v>
      </c>
      <c r="E2717" t="s">
        <v>18</v>
      </c>
      <c r="F2717" t="s">
        <v>6560</v>
      </c>
      <c r="G2717" t="s">
        <v>715</v>
      </c>
    </row>
    <row r="2718" spans="1:7">
      <c r="A2718" t="s">
        <v>6561</v>
      </c>
      <c r="B2718">
        <v>78</v>
      </c>
      <c r="C2718" t="s">
        <v>6562</v>
      </c>
      <c r="D2718">
        <v>120610</v>
      </c>
      <c r="E2718" t="s">
        <v>36</v>
      </c>
      <c r="F2718" t="s">
        <v>6563</v>
      </c>
      <c r="G2718" s="1">
        <v>45087</v>
      </c>
    </row>
    <row r="2719" spans="1:7">
      <c r="A2719" t="s">
        <v>6564</v>
      </c>
      <c r="B2719">
        <v>56</v>
      </c>
      <c r="C2719" t="s">
        <v>6565</v>
      </c>
      <c r="D2719">
        <v>81586</v>
      </c>
      <c r="E2719" t="s">
        <v>9</v>
      </c>
      <c r="F2719">
        <v>1282449336</v>
      </c>
      <c r="G2719" s="1">
        <v>45030</v>
      </c>
    </row>
    <row r="2720" spans="1:7">
      <c r="A2720" t="s">
        <v>2990</v>
      </c>
      <c r="B2720">
        <v>0</v>
      </c>
      <c r="C2720" t="s">
        <v>6566</v>
      </c>
      <c r="D2720">
        <v>142652</v>
      </c>
      <c r="E2720" t="s">
        <v>36</v>
      </c>
      <c r="F2720" t="s">
        <v>6567</v>
      </c>
      <c r="G2720" s="1">
        <v>45150</v>
      </c>
    </row>
    <row r="2721" spans="1:7">
      <c r="A2721" t="s">
        <v>6568</v>
      </c>
      <c r="B2721">
        <v>34</v>
      </c>
      <c r="C2721" t="s">
        <v>6569</v>
      </c>
      <c r="D2721">
        <v>187221</v>
      </c>
      <c r="E2721" t="s">
        <v>12</v>
      </c>
      <c r="F2721" t="s">
        <v>6570</v>
      </c>
      <c r="G2721" s="1">
        <v>45188</v>
      </c>
    </row>
    <row r="2722" spans="1:7">
      <c r="A2722" t="s">
        <v>6571</v>
      </c>
      <c r="B2722">
        <v>19</v>
      </c>
      <c r="C2722" t="s">
        <v>6572</v>
      </c>
      <c r="D2722">
        <v>108177</v>
      </c>
      <c r="E2722" t="s">
        <v>36</v>
      </c>
      <c r="F2722" t="s">
        <v>6573</v>
      </c>
      <c r="G2722" s="1">
        <v>45252</v>
      </c>
    </row>
    <row r="2723" spans="1:7">
      <c r="A2723" t="s">
        <v>6574</v>
      </c>
      <c r="B2723">
        <v>65</v>
      </c>
      <c r="C2723" t="s">
        <v>6575</v>
      </c>
      <c r="D2723">
        <v>62376</v>
      </c>
      <c r="E2723" t="s">
        <v>36</v>
      </c>
      <c r="F2723" t="s">
        <v>6576</v>
      </c>
      <c r="G2723" s="1">
        <v>44962</v>
      </c>
    </row>
    <row r="2724" spans="1:7">
      <c r="A2724" t="s">
        <v>6577</v>
      </c>
      <c r="B2724">
        <v>200</v>
      </c>
      <c r="C2724" t="s">
        <v>6578</v>
      </c>
      <c r="E2724" t="s">
        <v>27</v>
      </c>
      <c r="F2724" t="s">
        <v>6579</v>
      </c>
      <c r="G2724" s="1">
        <v>45198</v>
      </c>
    </row>
    <row r="2725" spans="1:7">
      <c r="A2725" t="s">
        <v>6580</v>
      </c>
      <c r="B2725">
        <v>25</v>
      </c>
      <c r="C2725" t="s">
        <v>6581</v>
      </c>
      <c r="D2725">
        <v>161379</v>
      </c>
      <c r="E2725" t="s">
        <v>9</v>
      </c>
      <c r="F2725" t="s">
        <v>6582</v>
      </c>
      <c r="G2725" s="1">
        <v>45049</v>
      </c>
    </row>
    <row r="2726" spans="1:7">
      <c r="A2726" t="s">
        <v>6583</v>
      </c>
      <c r="B2726">
        <v>45</v>
      </c>
      <c r="C2726" t="s">
        <v>6584</v>
      </c>
      <c r="D2726">
        <v>124776</v>
      </c>
      <c r="E2726" t="s">
        <v>12</v>
      </c>
      <c r="F2726" t="s">
        <v>6585</v>
      </c>
      <c r="G2726" s="1">
        <v>45183</v>
      </c>
    </row>
    <row r="2727" spans="1:7">
      <c r="A2727" t="s">
        <v>6586</v>
      </c>
      <c r="B2727">
        <v>61</v>
      </c>
      <c r="C2727" t="s">
        <v>6587</v>
      </c>
      <c r="D2727">
        <v>116988</v>
      </c>
      <c r="E2727" t="s">
        <v>9</v>
      </c>
      <c r="F2727" t="s">
        <v>6588</v>
      </c>
      <c r="G2727" s="1">
        <v>44995</v>
      </c>
    </row>
    <row r="2728" spans="1:7">
      <c r="A2728" t="s">
        <v>6589</v>
      </c>
      <c r="B2728">
        <v>45</v>
      </c>
      <c r="C2728" t="s">
        <v>6590</v>
      </c>
      <c r="D2728">
        <v>136122</v>
      </c>
      <c r="E2728" t="s">
        <v>9</v>
      </c>
      <c r="F2728">
        <f>1-884-774-6119</f>
        <v>-7776</v>
      </c>
      <c r="G2728" s="1">
        <v>45122</v>
      </c>
    </row>
    <row r="2729" spans="1:7">
      <c r="A2729" t="s">
        <v>4402</v>
      </c>
      <c r="B2729">
        <v>0</v>
      </c>
      <c r="D2729">
        <v>161184</v>
      </c>
      <c r="E2729" t="s">
        <v>36</v>
      </c>
      <c r="F2729" t="s">
        <v>6591</v>
      </c>
      <c r="G2729" s="1">
        <v>45022</v>
      </c>
    </row>
    <row r="2730" spans="1:7">
      <c r="A2730" t="s">
        <v>6592</v>
      </c>
      <c r="B2730">
        <v>-50</v>
      </c>
      <c r="C2730" t="s">
        <v>6593</v>
      </c>
      <c r="D2730">
        <v>53004</v>
      </c>
      <c r="E2730" t="s">
        <v>36</v>
      </c>
      <c r="G2730" s="1">
        <v>45019</v>
      </c>
    </row>
    <row r="2731" spans="1:7">
      <c r="A2731" t="s">
        <v>1811</v>
      </c>
      <c r="B2731">
        <v>32</v>
      </c>
      <c r="C2731" t="s">
        <v>6594</v>
      </c>
      <c r="D2731">
        <v>172283</v>
      </c>
      <c r="E2731" t="s">
        <v>36</v>
      </c>
      <c r="F2731" t="s">
        <v>6595</v>
      </c>
      <c r="G2731" s="1">
        <v>45119</v>
      </c>
    </row>
    <row r="2732" spans="1:7">
      <c r="A2732" t="s">
        <v>2872</v>
      </c>
      <c r="B2732">
        <v>69</v>
      </c>
      <c r="C2732" t="s">
        <v>6596</v>
      </c>
      <c r="D2732">
        <v>97293</v>
      </c>
      <c r="E2732" t="s">
        <v>294</v>
      </c>
      <c r="F2732">
        <f>1-924-876-8424</f>
        <v>-10223</v>
      </c>
      <c r="G2732" s="1">
        <v>45185</v>
      </c>
    </row>
    <row r="2733" spans="1:7">
      <c r="A2733" t="s">
        <v>6597</v>
      </c>
      <c r="B2733">
        <v>29</v>
      </c>
      <c r="C2733" t="s">
        <v>6598</v>
      </c>
      <c r="D2733">
        <v>169335</v>
      </c>
      <c r="E2733" t="s">
        <v>36</v>
      </c>
      <c r="F2733" t="s">
        <v>6599</v>
      </c>
      <c r="G2733" s="1">
        <v>44957</v>
      </c>
    </row>
    <row r="2734" spans="1:7">
      <c r="A2734" t="s">
        <v>6600</v>
      </c>
      <c r="B2734">
        <v>63</v>
      </c>
      <c r="D2734">
        <v>62332</v>
      </c>
      <c r="E2734" t="s">
        <v>27</v>
      </c>
      <c r="F2734">
        <v>7586487092</v>
      </c>
      <c r="G2734" s="1">
        <v>45037</v>
      </c>
    </row>
    <row r="2735" spans="1:7">
      <c r="A2735" t="s">
        <v>6601</v>
      </c>
      <c r="B2735">
        <v>45</v>
      </c>
      <c r="C2735" t="s">
        <v>6602</v>
      </c>
      <c r="D2735">
        <v>68090</v>
      </c>
      <c r="E2735" t="s">
        <v>27</v>
      </c>
      <c r="F2735">
        <v>4446206748</v>
      </c>
      <c r="G2735" s="1">
        <v>45251</v>
      </c>
    </row>
    <row r="2736" spans="1:7">
      <c r="B2736">
        <v>78</v>
      </c>
      <c r="C2736" t="s">
        <v>6603</v>
      </c>
      <c r="D2736">
        <v>178469</v>
      </c>
      <c r="E2736" t="s">
        <v>36</v>
      </c>
      <c r="F2736" t="s">
        <v>6604</v>
      </c>
      <c r="G2736" s="1">
        <v>45235</v>
      </c>
    </row>
    <row r="2737" spans="1:7">
      <c r="A2737" t="s">
        <v>6605</v>
      </c>
      <c r="B2737">
        <v>57</v>
      </c>
      <c r="C2737" t="s">
        <v>61</v>
      </c>
      <c r="D2737">
        <v>87616</v>
      </c>
      <c r="E2737" t="s">
        <v>36</v>
      </c>
      <c r="F2737">
        <f>1-531-348-4452</f>
        <v>-5330</v>
      </c>
      <c r="G2737" s="1">
        <v>45004</v>
      </c>
    </row>
    <row r="2738" spans="1:7">
      <c r="A2738" t="s">
        <v>6606</v>
      </c>
      <c r="B2738">
        <v>71</v>
      </c>
      <c r="C2738" t="s">
        <v>6607</v>
      </c>
      <c r="D2738">
        <v>55851</v>
      </c>
      <c r="E2738" t="s">
        <v>12</v>
      </c>
      <c r="F2738">
        <v>4889428336</v>
      </c>
      <c r="G2738" s="1">
        <v>45145</v>
      </c>
    </row>
    <row r="2739" spans="1:7">
      <c r="A2739" t="s">
        <v>6608</v>
      </c>
      <c r="B2739">
        <v>60</v>
      </c>
      <c r="C2739" t="s">
        <v>6609</v>
      </c>
      <c r="D2739">
        <v>163089</v>
      </c>
      <c r="E2739" t="s">
        <v>12</v>
      </c>
      <c r="F2739" t="s">
        <v>6610</v>
      </c>
      <c r="G2739" s="1">
        <v>44974</v>
      </c>
    </row>
    <row r="2740" spans="1:7">
      <c r="A2740" t="s">
        <v>6611</v>
      </c>
      <c r="B2740">
        <v>49</v>
      </c>
      <c r="C2740" t="s">
        <v>6612</v>
      </c>
      <c r="D2740">
        <v>57877</v>
      </c>
      <c r="E2740" t="s">
        <v>36</v>
      </c>
      <c r="F2740" t="s">
        <v>6613</v>
      </c>
      <c r="G2740" s="1">
        <v>44987</v>
      </c>
    </row>
    <row r="2741" spans="1:7">
      <c r="A2741" t="s">
        <v>6614</v>
      </c>
      <c r="B2741">
        <v>54</v>
      </c>
      <c r="C2741" t="s">
        <v>6615</v>
      </c>
      <c r="D2741">
        <v>79877</v>
      </c>
      <c r="E2741" t="s">
        <v>12</v>
      </c>
      <c r="F2741" t="s">
        <v>6616</v>
      </c>
      <c r="G2741" s="1">
        <v>44970</v>
      </c>
    </row>
    <row r="2742" spans="1:7">
      <c r="A2742" t="s">
        <v>6617</v>
      </c>
      <c r="B2742">
        <v>20</v>
      </c>
      <c r="C2742" t="s">
        <v>6618</v>
      </c>
      <c r="D2742">
        <v>31132</v>
      </c>
      <c r="E2742" t="s">
        <v>27</v>
      </c>
      <c r="G2742" s="1">
        <v>45278</v>
      </c>
    </row>
    <row r="2743" spans="1:7">
      <c r="A2743" t="s">
        <v>6619</v>
      </c>
      <c r="B2743">
        <v>55</v>
      </c>
      <c r="C2743" t="s">
        <v>17</v>
      </c>
      <c r="D2743">
        <v>139814</v>
      </c>
      <c r="E2743" t="s">
        <v>27</v>
      </c>
      <c r="F2743">
        <v>1753890647</v>
      </c>
      <c r="G2743" t="s">
        <v>1627</v>
      </c>
    </row>
    <row r="2744" spans="1:7">
      <c r="A2744" t="s">
        <v>6620</v>
      </c>
      <c r="B2744">
        <v>57</v>
      </c>
      <c r="C2744" t="s">
        <v>6621</v>
      </c>
      <c r="D2744">
        <v>125598</v>
      </c>
      <c r="E2744" t="s">
        <v>36</v>
      </c>
      <c r="F2744" t="s">
        <v>6622</v>
      </c>
      <c r="G2744" s="1">
        <v>44979</v>
      </c>
    </row>
    <row r="2745" spans="1:7">
      <c r="A2745" t="s">
        <v>6623</v>
      </c>
      <c r="B2745">
        <v>69</v>
      </c>
      <c r="C2745" t="s">
        <v>6624</v>
      </c>
      <c r="D2745">
        <v>91497</v>
      </c>
      <c r="E2745" t="s">
        <v>12</v>
      </c>
      <c r="F2745">
        <v>9569995483</v>
      </c>
      <c r="G2745" s="1">
        <v>45048</v>
      </c>
    </row>
    <row r="2746" spans="1:7">
      <c r="A2746" t="s">
        <v>6625</v>
      </c>
      <c r="B2746">
        <v>73</v>
      </c>
      <c r="C2746" t="s">
        <v>6626</v>
      </c>
      <c r="D2746">
        <v>178118</v>
      </c>
      <c r="E2746" t="s">
        <v>36</v>
      </c>
      <c r="G2746" s="1">
        <v>44934</v>
      </c>
    </row>
    <row r="2747" spans="1:7">
      <c r="A2747" t="s">
        <v>6627</v>
      </c>
      <c r="B2747">
        <v>50</v>
      </c>
      <c r="C2747" t="s">
        <v>6628</v>
      </c>
      <c r="D2747">
        <v>181385</v>
      </c>
      <c r="E2747" t="s">
        <v>527</v>
      </c>
      <c r="F2747" t="s">
        <v>6629</v>
      </c>
      <c r="G2747" t="s">
        <v>180</v>
      </c>
    </row>
    <row r="2748" spans="1:7">
      <c r="A2748" t="s">
        <v>6630</v>
      </c>
      <c r="B2748">
        <v>999</v>
      </c>
      <c r="C2748" t="s">
        <v>6631</v>
      </c>
      <c r="D2748">
        <v>78639</v>
      </c>
      <c r="E2748" t="s">
        <v>12</v>
      </c>
      <c r="F2748">
        <f>1-209-100-1511</f>
        <v>-1819</v>
      </c>
      <c r="G2748" s="1">
        <v>45134</v>
      </c>
    </row>
    <row r="2749" spans="1:7">
      <c r="A2749" t="s">
        <v>6632</v>
      </c>
      <c r="B2749">
        <v>60</v>
      </c>
      <c r="C2749" t="s">
        <v>6633</v>
      </c>
      <c r="D2749">
        <v>169920</v>
      </c>
      <c r="E2749" t="s">
        <v>9</v>
      </c>
      <c r="F2749" t="s">
        <v>6634</v>
      </c>
      <c r="G2749" s="1">
        <v>45012</v>
      </c>
    </row>
    <row r="2750" spans="1:7">
      <c r="A2750" t="s">
        <v>6635</v>
      </c>
      <c r="B2750">
        <v>77</v>
      </c>
      <c r="C2750" t="s">
        <v>6636</v>
      </c>
      <c r="D2750">
        <v>81024</v>
      </c>
      <c r="E2750" t="s">
        <v>27</v>
      </c>
      <c r="F2750" t="s">
        <v>6637</v>
      </c>
      <c r="G2750" s="1">
        <v>44967</v>
      </c>
    </row>
    <row r="2751" spans="1:7">
      <c r="A2751" t="s">
        <v>6638</v>
      </c>
      <c r="B2751">
        <v>23</v>
      </c>
      <c r="C2751" t="s">
        <v>6639</v>
      </c>
      <c r="D2751">
        <v>83915</v>
      </c>
      <c r="E2751" t="s">
        <v>36</v>
      </c>
      <c r="F2751">
        <v>6864241036</v>
      </c>
      <c r="G2751" s="1">
        <v>45262</v>
      </c>
    </row>
    <row r="2752" spans="1:7">
      <c r="A2752" t="s">
        <v>6640</v>
      </c>
      <c r="B2752">
        <v>69</v>
      </c>
      <c r="C2752" t="s">
        <v>6641</v>
      </c>
      <c r="D2752">
        <v>194006</v>
      </c>
      <c r="E2752" t="s">
        <v>36</v>
      </c>
      <c r="F2752">
        <f>1-319-394-5344</f>
        <v>-6056</v>
      </c>
      <c r="G2752" t="s">
        <v>1459</v>
      </c>
    </row>
    <row r="2753" spans="1:7">
      <c r="A2753" t="s">
        <v>6642</v>
      </c>
      <c r="B2753">
        <v>19</v>
      </c>
      <c r="C2753" t="s">
        <v>6643</v>
      </c>
      <c r="D2753">
        <v>176864</v>
      </c>
      <c r="E2753" t="s">
        <v>27</v>
      </c>
      <c r="F2753" t="s">
        <v>6644</v>
      </c>
      <c r="G2753" s="1">
        <v>45179</v>
      </c>
    </row>
    <row r="2754" spans="1:7">
      <c r="A2754" t="s">
        <v>6645</v>
      </c>
      <c r="B2754">
        <v>65</v>
      </c>
      <c r="C2754" t="s">
        <v>6646</v>
      </c>
      <c r="D2754">
        <v>97819</v>
      </c>
      <c r="E2754" t="s">
        <v>27</v>
      </c>
      <c r="F2754">
        <v>1574347894</v>
      </c>
      <c r="G2754" s="1">
        <v>45085</v>
      </c>
    </row>
    <row r="2755" spans="1:7">
      <c r="A2755" t="s">
        <v>6647</v>
      </c>
      <c r="B2755">
        <v>39</v>
      </c>
      <c r="C2755" t="s">
        <v>115</v>
      </c>
      <c r="D2755">
        <v>136802</v>
      </c>
      <c r="E2755" t="s">
        <v>12</v>
      </c>
      <c r="F2755" t="s">
        <v>6648</v>
      </c>
      <c r="G2755" t="s">
        <v>87</v>
      </c>
    </row>
    <row r="2756" spans="1:7">
      <c r="A2756" t="s">
        <v>6649</v>
      </c>
      <c r="B2756">
        <v>64</v>
      </c>
      <c r="C2756" t="s">
        <v>6650</v>
      </c>
      <c r="D2756">
        <v>34655</v>
      </c>
      <c r="E2756" t="s">
        <v>36</v>
      </c>
      <c r="F2756" t="s">
        <v>6651</v>
      </c>
      <c r="G2756" s="1">
        <v>45081</v>
      </c>
    </row>
    <row r="2757" spans="1:7">
      <c r="A2757" t="s">
        <v>6652</v>
      </c>
      <c r="B2757">
        <v>27</v>
      </c>
      <c r="C2757" t="s">
        <v>6653</v>
      </c>
      <c r="D2757">
        <v>-5000</v>
      </c>
      <c r="E2757" t="s">
        <v>358</v>
      </c>
      <c r="F2757">
        <v>1306386460</v>
      </c>
      <c r="G2757" s="1">
        <v>45072</v>
      </c>
    </row>
    <row r="2758" spans="1:7">
      <c r="A2758" t="s">
        <v>6654</v>
      </c>
      <c r="B2758">
        <v>35</v>
      </c>
      <c r="C2758" t="s">
        <v>6655</v>
      </c>
      <c r="D2758">
        <v>171691</v>
      </c>
      <c r="E2758" t="s">
        <v>9</v>
      </c>
      <c r="F2758" t="s">
        <v>6656</v>
      </c>
      <c r="G2758" s="1">
        <v>45144</v>
      </c>
    </row>
    <row r="2759" spans="1:7">
      <c r="A2759" t="s">
        <v>6657</v>
      </c>
      <c r="B2759">
        <v>70</v>
      </c>
      <c r="C2759" t="s">
        <v>115</v>
      </c>
      <c r="D2759">
        <v>107154</v>
      </c>
      <c r="E2759" t="s">
        <v>9</v>
      </c>
      <c r="F2759" t="s">
        <v>6658</v>
      </c>
      <c r="G2759" s="1">
        <v>45266</v>
      </c>
    </row>
    <row r="2760" spans="1:7">
      <c r="A2760" t="s">
        <v>6659</v>
      </c>
      <c r="B2760">
        <v>30</v>
      </c>
      <c r="C2760" t="s">
        <v>6660</v>
      </c>
      <c r="D2760">
        <v>124192</v>
      </c>
      <c r="E2760" t="s">
        <v>27</v>
      </c>
      <c r="F2760" t="s">
        <v>6661</v>
      </c>
      <c r="G2760" s="1">
        <v>45096</v>
      </c>
    </row>
    <row r="2761" spans="1:7">
      <c r="A2761" t="s">
        <v>6662</v>
      </c>
      <c r="B2761">
        <v>64</v>
      </c>
      <c r="C2761" t="s">
        <v>6663</v>
      </c>
      <c r="D2761">
        <v>163913</v>
      </c>
      <c r="E2761" t="s">
        <v>9</v>
      </c>
      <c r="F2761" t="s">
        <v>6664</v>
      </c>
      <c r="G2761" s="1">
        <v>45263</v>
      </c>
    </row>
    <row r="2762" spans="1:7">
      <c r="A2762" t="s">
        <v>6665</v>
      </c>
      <c r="B2762">
        <v>63</v>
      </c>
      <c r="C2762" t="s">
        <v>6666</v>
      </c>
      <c r="D2762">
        <v>138047</v>
      </c>
      <c r="E2762" t="s">
        <v>12</v>
      </c>
      <c r="F2762" t="s">
        <v>6667</v>
      </c>
      <c r="G2762" s="1">
        <v>44984</v>
      </c>
    </row>
    <row r="2763" spans="1:7">
      <c r="A2763" t="s">
        <v>6668</v>
      </c>
      <c r="B2763">
        <v>43</v>
      </c>
      <c r="C2763" t="s">
        <v>6669</v>
      </c>
      <c r="D2763">
        <v>0</v>
      </c>
      <c r="E2763" t="s">
        <v>27</v>
      </c>
      <c r="F2763" t="s">
        <v>6670</v>
      </c>
      <c r="G2763" s="1">
        <v>45102</v>
      </c>
    </row>
    <row r="2764" spans="1:7">
      <c r="A2764" t="s">
        <v>6671</v>
      </c>
      <c r="B2764">
        <v>61</v>
      </c>
      <c r="C2764" t="s">
        <v>6672</v>
      </c>
      <c r="D2764">
        <v>91554</v>
      </c>
      <c r="E2764" t="s">
        <v>527</v>
      </c>
      <c r="F2764" t="s">
        <v>6673</v>
      </c>
      <c r="G2764" s="1">
        <v>45179</v>
      </c>
    </row>
    <row r="2765" spans="1:7">
      <c r="A2765" t="s">
        <v>6674</v>
      </c>
      <c r="B2765">
        <v>67</v>
      </c>
      <c r="C2765" t="s">
        <v>6675</v>
      </c>
      <c r="D2765">
        <v>72399</v>
      </c>
      <c r="E2765" t="s">
        <v>36</v>
      </c>
      <c r="F2765">
        <v>9411067740</v>
      </c>
      <c r="G2765" s="1">
        <v>45034</v>
      </c>
    </row>
    <row r="2766" spans="1:7">
      <c r="A2766" t="s">
        <v>6676</v>
      </c>
      <c r="B2766">
        <v>28</v>
      </c>
      <c r="C2766" t="s">
        <v>17</v>
      </c>
      <c r="D2766">
        <v>135723</v>
      </c>
      <c r="E2766" t="s">
        <v>9</v>
      </c>
      <c r="F2766">
        <f>1-823-686-7893</f>
        <v>-9401</v>
      </c>
      <c r="G2766" s="1">
        <v>45235</v>
      </c>
    </row>
    <row r="2767" spans="1:7">
      <c r="A2767" t="s">
        <v>6042</v>
      </c>
      <c r="B2767">
        <v>76</v>
      </c>
      <c r="C2767" t="s">
        <v>6677</v>
      </c>
      <c r="D2767">
        <v>171417</v>
      </c>
      <c r="E2767" t="s">
        <v>27</v>
      </c>
      <c r="F2767" t="s">
        <v>6678</v>
      </c>
      <c r="G2767" s="1">
        <v>45038</v>
      </c>
    </row>
    <row r="2768" spans="1:7">
      <c r="A2768" t="s">
        <v>6679</v>
      </c>
      <c r="B2768">
        <v>62</v>
      </c>
      <c r="C2768" t="s">
        <v>6680</v>
      </c>
      <c r="D2768">
        <v>45896</v>
      </c>
      <c r="E2768" t="s">
        <v>27</v>
      </c>
      <c r="G2768" s="1">
        <v>45148</v>
      </c>
    </row>
    <row r="2769" spans="1:7">
      <c r="A2769" t="s">
        <v>6681</v>
      </c>
      <c r="B2769">
        <v>47</v>
      </c>
      <c r="C2769" t="s">
        <v>6682</v>
      </c>
      <c r="D2769">
        <v>130537</v>
      </c>
      <c r="E2769" t="s">
        <v>9</v>
      </c>
      <c r="F2769">
        <f>1-686-600-1070</f>
        <v>-2355</v>
      </c>
      <c r="G2769" s="1">
        <v>44978</v>
      </c>
    </row>
    <row r="2770" spans="1:7">
      <c r="A2770" t="s">
        <v>6683</v>
      </c>
      <c r="B2770">
        <v>62</v>
      </c>
      <c r="C2770" t="s">
        <v>6684</v>
      </c>
      <c r="D2770">
        <v>153607</v>
      </c>
      <c r="E2770" t="s">
        <v>36</v>
      </c>
      <c r="F2770">
        <v>7636535341</v>
      </c>
      <c r="G2770" s="1">
        <v>44993</v>
      </c>
    </row>
    <row r="2771" spans="1:7">
      <c r="A2771" t="s">
        <v>6685</v>
      </c>
      <c r="B2771">
        <v>77</v>
      </c>
      <c r="C2771" t="s">
        <v>6686</v>
      </c>
      <c r="D2771">
        <v>126881</v>
      </c>
      <c r="E2771" t="s">
        <v>9</v>
      </c>
      <c r="F2771" t="s">
        <v>6687</v>
      </c>
      <c r="G2771" s="1">
        <v>45234</v>
      </c>
    </row>
    <row r="2772" spans="1:7">
      <c r="A2772" t="s">
        <v>6688</v>
      </c>
      <c r="B2772">
        <v>45</v>
      </c>
      <c r="C2772" t="s">
        <v>6689</v>
      </c>
      <c r="D2772">
        <v>96641</v>
      </c>
      <c r="E2772" t="s">
        <v>294</v>
      </c>
      <c r="F2772" t="s">
        <v>6690</v>
      </c>
      <c r="G2772" s="1">
        <v>45135</v>
      </c>
    </row>
    <row r="2773" spans="1:7">
      <c r="A2773" t="s">
        <v>658</v>
      </c>
      <c r="B2773">
        <v>35</v>
      </c>
      <c r="C2773" t="s">
        <v>6691</v>
      </c>
      <c r="D2773">
        <v>162283</v>
      </c>
      <c r="E2773" t="s">
        <v>36</v>
      </c>
      <c r="F2773" t="s">
        <v>6692</v>
      </c>
      <c r="G2773" s="1">
        <v>44986</v>
      </c>
    </row>
    <row r="2774" spans="1:7">
      <c r="A2774" t="s">
        <v>6693</v>
      </c>
      <c r="B2774">
        <v>21</v>
      </c>
      <c r="C2774" t="s">
        <v>6694</v>
      </c>
      <c r="D2774">
        <v>50365</v>
      </c>
      <c r="E2774" t="s">
        <v>12</v>
      </c>
      <c r="F2774">
        <v>7567162889</v>
      </c>
      <c r="G2774" s="1">
        <v>45035</v>
      </c>
    </row>
    <row r="2775" spans="1:7">
      <c r="A2775" t="s">
        <v>6695</v>
      </c>
      <c r="B2775">
        <v>36</v>
      </c>
      <c r="D2775">
        <v>164404</v>
      </c>
      <c r="E2775" t="s">
        <v>27</v>
      </c>
      <c r="F2775" t="s">
        <v>6696</v>
      </c>
      <c r="G2775" s="1">
        <v>45070</v>
      </c>
    </row>
    <row r="2776" spans="1:7">
      <c r="A2776" t="s">
        <v>2742</v>
      </c>
      <c r="B2776">
        <v>26</v>
      </c>
      <c r="C2776" t="s">
        <v>6697</v>
      </c>
      <c r="D2776">
        <v>148558</v>
      </c>
      <c r="E2776" t="s">
        <v>90</v>
      </c>
      <c r="F2776" t="s">
        <v>6698</v>
      </c>
      <c r="G2776" s="1">
        <v>45145</v>
      </c>
    </row>
    <row r="2777" spans="1:7">
      <c r="A2777" t="s">
        <v>6699</v>
      </c>
      <c r="B2777">
        <v>56</v>
      </c>
      <c r="C2777" t="s">
        <v>6700</v>
      </c>
      <c r="E2777" t="s">
        <v>27</v>
      </c>
      <c r="F2777" t="s">
        <v>6701</v>
      </c>
      <c r="G2777" s="1">
        <v>45256</v>
      </c>
    </row>
    <row r="2778" spans="1:7">
      <c r="A2778" t="s">
        <v>6702</v>
      </c>
      <c r="B2778">
        <v>47</v>
      </c>
      <c r="C2778" t="s">
        <v>6703</v>
      </c>
      <c r="D2778">
        <v>153489</v>
      </c>
      <c r="E2778" t="s">
        <v>9</v>
      </c>
      <c r="F2778">
        <f>1-949-953-7418</f>
        <v>-9319</v>
      </c>
      <c r="G2778" s="1">
        <v>44962</v>
      </c>
    </row>
    <row r="2779" spans="1:7">
      <c r="A2779" t="s">
        <v>6704</v>
      </c>
      <c r="B2779">
        <v>51</v>
      </c>
      <c r="C2779" t="s">
        <v>6705</v>
      </c>
      <c r="D2779">
        <v>32035</v>
      </c>
      <c r="E2779" t="s">
        <v>9</v>
      </c>
      <c r="F2779" t="s">
        <v>6706</v>
      </c>
      <c r="G2779" t="s">
        <v>422</v>
      </c>
    </row>
    <row r="2780" spans="1:7">
      <c r="B2780">
        <v>54</v>
      </c>
      <c r="D2780">
        <v>195582</v>
      </c>
      <c r="E2780" t="s">
        <v>36</v>
      </c>
      <c r="F2780" t="s">
        <v>6707</v>
      </c>
      <c r="G2780" s="1">
        <v>45123</v>
      </c>
    </row>
    <row r="2781" spans="1:7">
      <c r="A2781" t="s">
        <v>6708</v>
      </c>
      <c r="B2781">
        <v>51</v>
      </c>
      <c r="E2781" t="s">
        <v>49</v>
      </c>
      <c r="F2781">
        <v>6556177919</v>
      </c>
      <c r="G2781" s="1">
        <v>45273</v>
      </c>
    </row>
    <row r="2782" spans="1:7">
      <c r="A2782" t="s">
        <v>6709</v>
      </c>
      <c r="B2782">
        <v>47</v>
      </c>
      <c r="C2782" t="s">
        <v>6710</v>
      </c>
      <c r="D2782">
        <v>184536</v>
      </c>
      <c r="E2782" t="s">
        <v>12</v>
      </c>
      <c r="F2782" t="s">
        <v>6711</v>
      </c>
      <c r="G2782" s="1">
        <v>45235</v>
      </c>
    </row>
    <row r="2783" spans="1:7">
      <c r="A2783" t="s">
        <v>6712</v>
      </c>
      <c r="B2783">
        <v>64</v>
      </c>
      <c r="C2783" t="s">
        <v>6713</v>
      </c>
      <c r="D2783">
        <v>84460</v>
      </c>
      <c r="E2783" t="s">
        <v>9</v>
      </c>
      <c r="F2783">
        <f>1-602-541-3184</f>
        <v>-4326</v>
      </c>
      <c r="G2783" s="1">
        <v>45186</v>
      </c>
    </row>
    <row r="2784" spans="1:7">
      <c r="A2784" t="s">
        <v>6714</v>
      </c>
      <c r="B2784">
        <v>-1</v>
      </c>
      <c r="C2784" t="s">
        <v>6715</v>
      </c>
      <c r="D2784">
        <v>71964</v>
      </c>
      <c r="E2784" t="s">
        <v>36</v>
      </c>
      <c r="F2784" t="s">
        <v>6716</v>
      </c>
      <c r="G2784" s="1">
        <v>45196</v>
      </c>
    </row>
    <row r="2785" spans="1:7">
      <c r="A2785" t="s">
        <v>6717</v>
      </c>
      <c r="B2785">
        <v>26</v>
      </c>
      <c r="C2785" t="s">
        <v>6718</v>
      </c>
      <c r="D2785">
        <v>176025</v>
      </c>
      <c r="E2785" t="s">
        <v>9</v>
      </c>
      <c r="F2785">
        <v>8934658811</v>
      </c>
      <c r="G2785" s="1">
        <v>45015</v>
      </c>
    </row>
    <row r="2786" spans="1:7">
      <c r="A2786" t="s">
        <v>6719</v>
      </c>
      <c r="B2786">
        <v>79</v>
      </c>
      <c r="C2786" t="s">
        <v>6720</v>
      </c>
      <c r="D2786">
        <v>181770</v>
      </c>
      <c r="E2786" t="s">
        <v>27</v>
      </c>
      <c r="F2786" t="s">
        <v>6721</v>
      </c>
      <c r="G2786" s="1">
        <v>45050</v>
      </c>
    </row>
    <row r="2787" spans="1:7">
      <c r="A2787" t="s">
        <v>6722</v>
      </c>
      <c r="B2787">
        <v>31</v>
      </c>
      <c r="C2787" t="s">
        <v>6723</v>
      </c>
      <c r="D2787">
        <v>76015</v>
      </c>
      <c r="E2787" t="s">
        <v>36</v>
      </c>
      <c r="F2787" t="s">
        <v>6724</v>
      </c>
      <c r="G2787" s="1">
        <v>45242</v>
      </c>
    </row>
    <row r="2788" spans="1:7">
      <c r="A2788" t="s">
        <v>6725</v>
      </c>
      <c r="B2788">
        <v>39</v>
      </c>
      <c r="C2788" t="s">
        <v>6726</v>
      </c>
      <c r="D2788">
        <v>180231</v>
      </c>
      <c r="E2788" t="s">
        <v>27</v>
      </c>
      <c r="F2788" t="s">
        <v>6727</v>
      </c>
      <c r="G2788" s="1">
        <v>45135</v>
      </c>
    </row>
    <row r="2789" spans="1:7">
      <c r="A2789" t="s">
        <v>6728</v>
      </c>
      <c r="B2789">
        <v>-999</v>
      </c>
      <c r="C2789" t="s">
        <v>531</v>
      </c>
      <c r="D2789">
        <v>-1</v>
      </c>
      <c r="E2789" t="s">
        <v>532</v>
      </c>
      <c r="G2789" t="s">
        <v>493</v>
      </c>
    </row>
    <row r="2790" spans="1:7">
      <c r="A2790" t="s">
        <v>6729</v>
      </c>
      <c r="B2790">
        <v>55</v>
      </c>
      <c r="C2790" t="s">
        <v>6730</v>
      </c>
      <c r="D2790">
        <v>165639</v>
      </c>
      <c r="E2790" t="s">
        <v>36</v>
      </c>
      <c r="F2790" t="s">
        <v>6731</v>
      </c>
      <c r="G2790" s="1">
        <v>45153</v>
      </c>
    </row>
    <row r="2791" spans="1:7">
      <c r="A2791" t="s">
        <v>6732</v>
      </c>
      <c r="B2791">
        <v>26</v>
      </c>
      <c r="C2791" t="s">
        <v>6733</v>
      </c>
      <c r="D2791">
        <v>192046</v>
      </c>
      <c r="E2791" t="s">
        <v>36</v>
      </c>
      <c r="F2791" t="s">
        <v>6734</v>
      </c>
      <c r="G2791" t="s">
        <v>422</v>
      </c>
    </row>
    <row r="2792" spans="1:7">
      <c r="B2792">
        <v>33</v>
      </c>
      <c r="C2792" t="s">
        <v>6735</v>
      </c>
      <c r="D2792">
        <v>46923</v>
      </c>
      <c r="E2792" t="s">
        <v>49</v>
      </c>
      <c r="F2792">
        <v>2583033048</v>
      </c>
      <c r="G2792" s="1">
        <v>45256</v>
      </c>
    </row>
    <row r="2793" spans="1:7">
      <c r="A2793" t="s">
        <v>6736</v>
      </c>
      <c r="B2793">
        <v>40</v>
      </c>
      <c r="D2793">
        <v>82003</v>
      </c>
      <c r="E2793" t="s">
        <v>27</v>
      </c>
      <c r="F2793">
        <f>1-825-619-9608</f>
        <v>-11051</v>
      </c>
      <c r="G2793" s="1">
        <v>45251</v>
      </c>
    </row>
    <row r="2794" spans="1:7">
      <c r="A2794" t="s">
        <v>6737</v>
      </c>
      <c r="B2794">
        <v>25</v>
      </c>
      <c r="C2794" t="s">
        <v>6738</v>
      </c>
      <c r="D2794">
        <v>45641</v>
      </c>
      <c r="E2794" t="s">
        <v>12</v>
      </c>
      <c r="F2794" t="s">
        <v>6739</v>
      </c>
      <c r="G2794" s="1">
        <v>44972</v>
      </c>
    </row>
    <row r="2795" spans="1:7">
      <c r="A2795" t="s">
        <v>6740</v>
      </c>
      <c r="B2795">
        <v>42</v>
      </c>
      <c r="C2795" t="s">
        <v>6741</v>
      </c>
      <c r="D2795">
        <v>70644</v>
      </c>
      <c r="E2795" t="s">
        <v>27</v>
      </c>
      <c r="F2795">
        <f>1-703-320-8982</f>
        <v>-10004</v>
      </c>
      <c r="G2795" s="1">
        <v>45005</v>
      </c>
    </row>
    <row r="2796" spans="1:7">
      <c r="A2796" t="s">
        <v>6742</v>
      </c>
      <c r="B2796">
        <v>45</v>
      </c>
      <c r="C2796" t="s">
        <v>6743</v>
      </c>
      <c r="D2796">
        <v>120221</v>
      </c>
      <c r="E2796" t="s">
        <v>358</v>
      </c>
      <c r="F2796" t="s">
        <v>6744</v>
      </c>
      <c r="G2796" s="1">
        <v>45159</v>
      </c>
    </row>
    <row r="2797" spans="1:7">
      <c r="A2797" t="s">
        <v>6745</v>
      </c>
      <c r="B2797">
        <v>79</v>
      </c>
      <c r="C2797" t="s">
        <v>6746</v>
      </c>
      <c r="D2797">
        <v>137803</v>
      </c>
      <c r="E2797" t="s">
        <v>9</v>
      </c>
      <c r="F2797" t="s">
        <v>6747</v>
      </c>
      <c r="G2797" s="1">
        <v>45277</v>
      </c>
    </row>
    <row r="2798" spans="1:7">
      <c r="A2798" t="s">
        <v>6748</v>
      </c>
      <c r="B2798">
        <v>55</v>
      </c>
      <c r="C2798" t="s">
        <v>6749</v>
      </c>
      <c r="D2798">
        <v>46562</v>
      </c>
      <c r="E2798" t="s">
        <v>27</v>
      </c>
      <c r="F2798">
        <v>9872881926</v>
      </c>
      <c r="G2798" t="s">
        <v>715</v>
      </c>
    </row>
    <row r="2799" spans="1:7">
      <c r="A2799" t="s">
        <v>6750</v>
      </c>
      <c r="B2799">
        <v>79</v>
      </c>
      <c r="C2799" t="s">
        <v>6751</v>
      </c>
      <c r="D2799">
        <v>136833</v>
      </c>
      <c r="E2799" t="s">
        <v>12</v>
      </c>
      <c r="F2799">
        <f>1-684-799-7230</f>
        <v>-8712</v>
      </c>
      <c r="G2799" s="1">
        <v>45263</v>
      </c>
    </row>
    <row r="2800" spans="1:7">
      <c r="A2800" t="s">
        <v>6752</v>
      </c>
      <c r="B2800">
        <v>68</v>
      </c>
      <c r="C2800" t="s">
        <v>6753</v>
      </c>
      <c r="D2800">
        <v>-20000</v>
      </c>
      <c r="E2800" t="s">
        <v>36</v>
      </c>
      <c r="F2800">
        <v>6769110814</v>
      </c>
      <c r="G2800" s="1">
        <v>45227</v>
      </c>
    </row>
    <row r="2801" spans="1:7">
      <c r="A2801" t="s">
        <v>6754</v>
      </c>
      <c r="B2801">
        <v>41</v>
      </c>
      <c r="C2801" t="s">
        <v>170</v>
      </c>
      <c r="D2801">
        <v>67500</v>
      </c>
      <c r="E2801" t="s">
        <v>27</v>
      </c>
      <c r="F2801" t="s">
        <v>6755</v>
      </c>
      <c r="G2801" s="1">
        <v>45097</v>
      </c>
    </row>
    <row r="2802" spans="1:7">
      <c r="A2802" t="s">
        <v>1332</v>
      </c>
      <c r="B2802">
        <v>24</v>
      </c>
      <c r="C2802" t="s">
        <v>6756</v>
      </c>
      <c r="E2802" t="s">
        <v>27</v>
      </c>
      <c r="F2802" t="s">
        <v>6757</v>
      </c>
      <c r="G2802" s="1">
        <v>45136</v>
      </c>
    </row>
    <row r="2803" spans="1:7">
      <c r="A2803" t="s">
        <v>6758</v>
      </c>
      <c r="B2803">
        <v>46</v>
      </c>
      <c r="C2803" t="s">
        <v>6759</v>
      </c>
      <c r="D2803">
        <v>126176</v>
      </c>
      <c r="E2803" t="s">
        <v>36</v>
      </c>
      <c r="F2803" t="s">
        <v>6760</v>
      </c>
      <c r="G2803" s="1">
        <v>44991</v>
      </c>
    </row>
    <row r="2804" spans="1:7">
      <c r="A2804" t="s">
        <v>6761</v>
      </c>
      <c r="B2804">
        <v>31</v>
      </c>
      <c r="C2804" t="s">
        <v>6762</v>
      </c>
      <c r="D2804">
        <v>83693</v>
      </c>
      <c r="E2804" t="s">
        <v>12</v>
      </c>
      <c r="F2804">
        <f>1-150-828-4474</f>
        <v>-5451</v>
      </c>
      <c r="G2804" s="1">
        <v>45160</v>
      </c>
    </row>
    <row r="2805" spans="1:7">
      <c r="A2805" t="s">
        <v>6763</v>
      </c>
      <c r="B2805">
        <v>77</v>
      </c>
      <c r="C2805" t="s">
        <v>6764</v>
      </c>
      <c r="D2805">
        <v>144316</v>
      </c>
      <c r="E2805" t="s">
        <v>36</v>
      </c>
      <c r="F2805">
        <f>1-444-298-9912</f>
        <v>-10653</v>
      </c>
      <c r="G2805" s="1">
        <v>45089</v>
      </c>
    </row>
    <row r="2806" spans="1:7">
      <c r="A2806" t="s">
        <v>6765</v>
      </c>
      <c r="B2806">
        <v>24</v>
      </c>
      <c r="C2806" t="s">
        <v>6766</v>
      </c>
      <c r="D2806">
        <v>43704</v>
      </c>
      <c r="E2806" t="s">
        <v>9</v>
      </c>
      <c r="F2806">
        <f>1-858-812-8056</f>
        <v>-9725</v>
      </c>
      <c r="G2806" s="1">
        <v>45062</v>
      </c>
    </row>
    <row r="2807" spans="1:7">
      <c r="A2807" t="s">
        <v>6767</v>
      </c>
      <c r="C2807" t="s">
        <v>6768</v>
      </c>
      <c r="D2807">
        <v>-50000</v>
      </c>
      <c r="E2807" t="s">
        <v>36</v>
      </c>
      <c r="F2807" t="s">
        <v>6769</v>
      </c>
      <c r="G2807" s="1">
        <v>45188</v>
      </c>
    </row>
    <row r="2808" spans="1:7">
      <c r="A2808" t="s">
        <v>6770</v>
      </c>
      <c r="B2808">
        <v>31</v>
      </c>
      <c r="D2808">
        <v>109557</v>
      </c>
      <c r="E2808" t="s">
        <v>9</v>
      </c>
      <c r="F2808">
        <v>6549690147</v>
      </c>
      <c r="G2808" s="1">
        <v>45236</v>
      </c>
    </row>
    <row r="2809" spans="1:7">
      <c r="A2809" t="s">
        <v>6771</v>
      </c>
      <c r="C2809" t="s">
        <v>6772</v>
      </c>
      <c r="E2809" t="s">
        <v>9</v>
      </c>
      <c r="F2809" t="s">
        <v>6773</v>
      </c>
      <c r="G2809" t="s">
        <v>87</v>
      </c>
    </row>
    <row r="2810" spans="1:7">
      <c r="A2810" t="s">
        <v>6774</v>
      </c>
      <c r="B2810">
        <v>63</v>
      </c>
      <c r="C2810" t="s">
        <v>6775</v>
      </c>
      <c r="D2810">
        <v>39873</v>
      </c>
      <c r="E2810" t="s">
        <v>36</v>
      </c>
      <c r="F2810" t="s">
        <v>6776</v>
      </c>
      <c r="G2810" s="1">
        <v>45139</v>
      </c>
    </row>
    <row r="2811" spans="1:7">
      <c r="A2811" t="s">
        <v>6777</v>
      </c>
      <c r="B2811">
        <v>57</v>
      </c>
      <c r="C2811" t="s">
        <v>6778</v>
      </c>
      <c r="D2811">
        <v>76233</v>
      </c>
      <c r="E2811" t="s">
        <v>12</v>
      </c>
      <c r="F2811">
        <f>1-462-960-4872</f>
        <v>-6293</v>
      </c>
      <c r="G2811" s="1">
        <v>45267</v>
      </c>
    </row>
    <row r="2812" spans="1:7">
      <c r="B2812">
        <v>29</v>
      </c>
      <c r="C2812" t="s">
        <v>6779</v>
      </c>
      <c r="D2812">
        <v>81360</v>
      </c>
      <c r="E2812" t="s">
        <v>27</v>
      </c>
      <c r="F2812" t="s">
        <v>6780</v>
      </c>
      <c r="G2812" s="1">
        <v>45290</v>
      </c>
    </row>
    <row r="2813" spans="1:7">
      <c r="A2813" t="s">
        <v>6781</v>
      </c>
      <c r="B2813">
        <v>0</v>
      </c>
      <c r="C2813" t="s">
        <v>6782</v>
      </c>
      <c r="D2813">
        <v>122837</v>
      </c>
      <c r="E2813" t="s">
        <v>27</v>
      </c>
      <c r="F2813" t="s">
        <v>6783</v>
      </c>
      <c r="G2813" s="1">
        <v>44978</v>
      </c>
    </row>
    <row r="2814" spans="1:7">
      <c r="A2814" t="s">
        <v>6784</v>
      </c>
      <c r="B2814">
        <v>500</v>
      </c>
      <c r="C2814" t="s">
        <v>6785</v>
      </c>
      <c r="D2814">
        <v>103788</v>
      </c>
      <c r="E2814" t="s">
        <v>27</v>
      </c>
      <c r="F2814" t="s">
        <v>6786</v>
      </c>
      <c r="G2814" s="1">
        <v>45031</v>
      </c>
    </row>
    <row r="2815" spans="1:7">
      <c r="A2815" t="s">
        <v>6787</v>
      </c>
      <c r="B2815">
        <v>76</v>
      </c>
      <c r="C2815" t="s">
        <v>6788</v>
      </c>
      <c r="D2815">
        <v>112597</v>
      </c>
      <c r="E2815" t="s">
        <v>36</v>
      </c>
      <c r="F2815">
        <v>9433197937</v>
      </c>
      <c r="G2815" s="1">
        <v>44990</v>
      </c>
    </row>
    <row r="2816" spans="1:7">
      <c r="A2816" t="s">
        <v>6789</v>
      </c>
      <c r="B2816">
        <v>51</v>
      </c>
      <c r="C2816" t="s">
        <v>6790</v>
      </c>
      <c r="D2816">
        <v>124715</v>
      </c>
      <c r="E2816" t="s">
        <v>358</v>
      </c>
      <c r="F2816" t="s">
        <v>6791</v>
      </c>
      <c r="G2816" s="1">
        <v>44991</v>
      </c>
    </row>
    <row r="2817" spans="1:7">
      <c r="A2817" t="s">
        <v>6792</v>
      </c>
      <c r="B2817">
        <v>70</v>
      </c>
      <c r="C2817" t="s">
        <v>6793</v>
      </c>
      <c r="D2817">
        <v>171779</v>
      </c>
      <c r="E2817" t="s">
        <v>27</v>
      </c>
      <c r="F2817" t="s">
        <v>6794</v>
      </c>
      <c r="G2817" s="1">
        <v>45186</v>
      </c>
    </row>
    <row r="2818" spans="1:7">
      <c r="A2818" t="s">
        <v>6795</v>
      </c>
      <c r="B2818">
        <v>52</v>
      </c>
      <c r="C2818" t="s">
        <v>6796</v>
      </c>
      <c r="D2818">
        <v>116124</v>
      </c>
      <c r="E2818" t="s">
        <v>9</v>
      </c>
      <c r="F2818">
        <f>1-401-432-1938</f>
        <v>-2770</v>
      </c>
      <c r="G2818" s="1">
        <v>45109</v>
      </c>
    </row>
    <row r="2819" spans="1:7">
      <c r="A2819" t="s">
        <v>6797</v>
      </c>
      <c r="B2819">
        <v>51</v>
      </c>
      <c r="C2819" t="s">
        <v>299</v>
      </c>
      <c r="D2819">
        <v>84646</v>
      </c>
      <c r="E2819" t="s">
        <v>18</v>
      </c>
      <c r="F2819">
        <v>4794327780</v>
      </c>
      <c r="G2819" s="1">
        <v>45031</v>
      </c>
    </row>
    <row r="2820" spans="1:7">
      <c r="A2820" t="s">
        <v>6798</v>
      </c>
      <c r="B2820">
        <v>37</v>
      </c>
      <c r="C2820" t="s">
        <v>6799</v>
      </c>
      <c r="D2820">
        <v>46211</v>
      </c>
      <c r="E2820" t="s">
        <v>12</v>
      </c>
      <c r="F2820" t="s">
        <v>6800</v>
      </c>
      <c r="G2820" s="1">
        <v>45198</v>
      </c>
    </row>
    <row r="2821" spans="1:7">
      <c r="A2821" t="s">
        <v>6801</v>
      </c>
      <c r="B2821">
        <v>76</v>
      </c>
      <c r="C2821" t="s">
        <v>6802</v>
      </c>
      <c r="D2821">
        <v>128071</v>
      </c>
      <c r="E2821" t="s">
        <v>27</v>
      </c>
      <c r="F2821" t="s">
        <v>6803</v>
      </c>
      <c r="G2821" s="1">
        <v>44943</v>
      </c>
    </row>
    <row r="2822" spans="1:7">
      <c r="A2822" t="s">
        <v>6804</v>
      </c>
      <c r="B2822">
        <v>25</v>
      </c>
      <c r="C2822" t="s">
        <v>6805</v>
      </c>
      <c r="D2822">
        <v>121074</v>
      </c>
      <c r="E2822" t="s">
        <v>36</v>
      </c>
      <c r="F2822">
        <f>1-883-378-4360</f>
        <v>-5620</v>
      </c>
      <c r="G2822" s="1">
        <v>44969</v>
      </c>
    </row>
    <row r="2823" spans="1:7">
      <c r="A2823" t="s">
        <v>6806</v>
      </c>
      <c r="B2823">
        <v>26</v>
      </c>
      <c r="C2823" t="s">
        <v>389</v>
      </c>
      <c r="D2823">
        <v>129352</v>
      </c>
      <c r="E2823" t="s">
        <v>9</v>
      </c>
      <c r="F2823">
        <f>1-546-795-6283</f>
        <v>-7623</v>
      </c>
      <c r="G2823" s="1">
        <v>44931</v>
      </c>
    </row>
    <row r="2824" spans="1:7">
      <c r="A2824" t="s">
        <v>6807</v>
      </c>
      <c r="B2824">
        <v>27</v>
      </c>
      <c r="C2824" t="s">
        <v>6808</v>
      </c>
      <c r="D2824">
        <v>115178</v>
      </c>
      <c r="E2824" t="s">
        <v>27</v>
      </c>
      <c r="F2824" t="s">
        <v>6809</v>
      </c>
      <c r="G2824" s="1">
        <v>44938</v>
      </c>
    </row>
    <row r="2825" spans="1:7">
      <c r="A2825" t="s">
        <v>6810</v>
      </c>
      <c r="C2825" t="s">
        <v>6811</v>
      </c>
      <c r="D2825">
        <v>143451</v>
      </c>
      <c r="E2825" t="s">
        <v>27</v>
      </c>
      <c r="G2825" s="1">
        <v>45017</v>
      </c>
    </row>
    <row r="2826" spans="1:7">
      <c r="A2826" t="s">
        <v>6812</v>
      </c>
      <c r="B2826">
        <v>76</v>
      </c>
      <c r="C2826" t="s">
        <v>6813</v>
      </c>
      <c r="D2826">
        <v>62821</v>
      </c>
      <c r="E2826" t="s">
        <v>36</v>
      </c>
      <c r="F2826">
        <f>1-772-348-8171</f>
        <v>-9290</v>
      </c>
      <c r="G2826" s="1">
        <v>45032</v>
      </c>
    </row>
    <row r="2827" spans="1:7">
      <c r="A2827" t="s">
        <v>6814</v>
      </c>
      <c r="B2827">
        <v>56</v>
      </c>
      <c r="C2827" t="s">
        <v>6815</v>
      </c>
      <c r="D2827">
        <v>145375</v>
      </c>
      <c r="E2827" t="s">
        <v>36</v>
      </c>
      <c r="F2827" t="s">
        <v>6816</v>
      </c>
      <c r="G2827" s="1">
        <v>45155</v>
      </c>
    </row>
    <row r="2828" spans="1:7">
      <c r="A2828" t="s">
        <v>6817</v>
      </c>
      <c r="B2828">
        <v>53</v>
      </c>
      <c r="D2828">
        <v>183322</v>
      </c>
      <c r="E2828" t="s">
        <v>27</v>
      </c>
      <c r="F2828">
        <v>7367038689</v>
      </c>
      <c r="G2828" s="1">
        <v>45060</v>
      </c>
    </row>
    <row r="2829" spans="1:7">
      <c r="A2829" t="s">
        <v>6818</v>
      </c>
      <c r="B2829">
        <v>48</v>
      </c>
      <c r="C2829" t="s">
        <v>6819</v>
      </c>
      <c r="D2829">
        <v>123448</v>
      </c>
      <c r="E2829" t="s">
        <v>27</v>
      </c>
      <c r="F2829" t="s">
        <v>6820</v>
      </c>
      <c r="G2829" s="1">
        <v>44957</v>
      </c>
    </row>
    <row r="2830" spans="1:7">
      <c r="A2830" t="s">
        <v>6821</v>
      </c>
      <c r="B2830">
        <v>75</v>
      </c>
      <c r="C2830" t="s">
        <v>6822</v>
      </c>
      <c r="D2830">
        <v>132892</v>
      </c>
      <c r="E2830" t="s">
        <v>12</v>
      </c>
      <c r="G2830" s="1">
        <v>45214</v>
      </c>
    </row>
    <row r="2831" spans="1:7">
      <c r="A2831" t="s">
        <v>6823</v>
      </c>
      <c r="B2831">
        <v>60</v>
      </c>
      <c r="C2831" t="s">
        <v>6824</v>
      </c>
      <c r="D2831">
        <v>98798</v>
      </c>
      <c r="E2831" t="s">
        <v>9</v>
      </c>
      <c r="G2831" s="1">
        <v>44995</v>
      </c>
    </row>
    <row r="2832" spans="1:7">
      <c r="A2832" t="s">
        <v>1048</v>
      </c>
      <c r="C2832" t="s">
        <v>6825</v>
      </c>
      <c r="D2832">
        <v>74825</v>
      </c>
      <c r="E2832" t="s">
        <v>27</v>
      </c>
      <c r="F2832">
        <v>3598217672</v>
      </c>
      <c r="G2832" s="1">
        <v>45130</v>
      </c>
    </row>
    <row r="2833" spans="1:7">
      <c r="A2833" t="s">
        <v>2017</v>
      </c>
      <c r="B2833">
        <v>39</v>
      </c>
      <c r="C2833" t="s">
        <v>170</v>
      </c>
      <c r="D2833">
        <v>146854</v>
      </c>
      <c r="E2833" t="s">
        <v>9</v>
      </c>
      <c r="F2833">
        <v>9146212299</v>
      </c>
      <c r="G2833" s="1">
        <v>45268</v>
      </c>
    </row>
    <row r="2834" spans="1:7">
      <c r="A2834" t="s">
        <v>6826</v>
      </c>
      <c r="B2834">
        <v>58</v>
      </c>
      <c r="C2834" t="s">
        <v>6827</v>
      </c>
      <c r="D2834">
        <v>179634</v>
      </c>
      <c r="E2834" t="s">
        <v>36</v>
      </c>
      <c r="F2834">
        <f>1-937-705-5405</f>
        <v>-7046</v>
      </c>
      <c r="G2834" s="1">
        <v>44977</v>
      </c>
    </row>
    <row r="2835" spans="1:7">
      <c r="A2835" t="s">
        <v>6828</v>
      </c>
      <c r="B2835">
        <v>51</v>
      </c>
      <c r="C2835" t="s">
        <v>61</v>
      </c>
      <c r="D2835">
        <v>153777</v>
      </c>
      <c r="E2835" t="s">
        <v>12</v>
      </c>
      <c r="F2835" t="s">
        <v>6829</v>
      </c>
      <c r="G2835" s="1">
        <v>44963</v>
      </c>
    </row>
    <row r="2836" spans="1:7">
      <c r="A2836" t="s">
        <v>6830</v>
      </c>
      <c r="B2836">
        <v>200</v>
      </c>
      <c r="E2836" t="s">
        <v>12</v>
      </c>
      <c r="F2836" t="s">
        <v>6831</v>
      </c>
      <c r="G2836" s="1">
        <v>45044</v>
      </c>
    </row>
    <row r="2837" spans="1:7">
      <c r="A2837" t="s">
        <v>6832</v>
      </c>
      <c r="B2837">
        <v>38</v>
      </c>
      <c r="C2837" t="s">
        <v>6833</v>
      </c>
      <c r="D2837">
        <v>143768</v>
      </c>
      <c r="E2837" t="s">
        <v>27</v>
      </c>
      <c r="F2837" t="s">
        <v>6834</v>
      </c>
      <c r="G2837" s="1">
        <v>44942</v>
      </c>
    </row>
    <row r="2838" spans="1:7">
      <c r="A2838" t="s">
        <v>6835</v>
      </c>
      <c r="B2838">
        <v>57</v>
      </c>
      <c r="E2838" t="s">
        <v>36</v>
      </c>
      <c r="F2838" t="s">
        <v>6836</v>
      </c>
      <c r="G2838" s="1">
        <v>45197</v>
      </c>
    </row>
    <row r="2839" spans="1:7">
      <c r="A2839" t="s">
        <v>6837</v>
      </c>
      <c r="B2839">
        <v>38</v>
      </c>
      <c r="D2839">
        <v>137227</v>
      </c>
      <c r="E2839" t="s">
        <v>27</v>
      </c>
      <c r="F2839" t="s">
        <v>6838</v>
      </c>
      <c r="G2839" s="1">
        <v>45013</v>
      </c>
    </row>
    <row r="2840" spans="1:7">
      <c r="A2840" t="s">
        <v>6839</v>
      </c>
      <c r="B2840">
        <v>-1</v>
      </c>
      <c r="C2840" t="s">
        <v>6840</v>
      </c>
      <c r="D2840">
        <v>149496</v>
      </c>
      <c r="E2840" t="s">
        <v>27</v>
      </c>
      <c r="F2840">
        <f>1-405-293-5249</f>
        <v>-5946</v>
      </c>
      <c r="G2840" s="1">
        <v>44998</v>
      </c>
    </row>
    <row r="2841" spans="1:7">
      <c r="A2841" t="s">
        <v>6841</v>
      </c>
      <c r="B2841">
        <v>44</v>
      </c>
      <c r="C2841" t="s">
        <v>6842</v>
      </c>
      <c r="D2841">
        <v>-10000</v>
      </c>
      <c r="E2841" t="s">
        <v>12</v>
      </c>
      <c r="F2841" t="s">
        <v>6843</v>
      </c>
      <c r="G2841" s="1">
        <v>45067</v>
      </c>
    </row>
    <row r="2842" spans="1:7">
      <c r="A2842" t="s">
        <v>6844</v>
      </c>
      <c r="B2842">
        <v>77</v>
      </c>
      <c r="C2842" t="s">
        <v>6845</v>
      </c>
      <c r="D2842">
        <v>116807</v>
      </c>
      <c r="E2842" t="s">
        <v>9</v>
      </c>
      <c r="F2842" t="s">
        <v>6846</v>
      </c>
      <c r="G2842" s="1">
        <v>44932</v>
      </c>
    </row>
    <row r="2843" spans="1:7">
      <c r="A2843" t="s">
        <v>6847</v>
      </c>
      <c r="B2843">
        <v>31</v>
      </c>
      <c r="C2843" t="s">
        <v>6848</v>
      </c>
      <c r="D2843">
        <v>-10000</v>
      </c>
      <c r="E2843" t="s">
        <v>9</v>
      </c>
      <c r="F2843">
        <v>6810639622</v>
      </c>
      <c r="G2843" s="1">
        <v>45187</v>
      </c>
    </row>
    <row r="2844" spans="1:7">
      <c r="A2844" t="s">
        <v>6849</v>
      </c>
      <c r="B2844">
        <v>48</v>
      </c>
      <c r="D2844">
        <v>111515</v>
      </c>
      <c r="E2844" t="s">
        <v>36</v>
      </c>
      <c r="F2844" t="s">
        <v>6850</v>
      </c>
      <c r="G2844" s="1">
        <v>44959</v>
      </c>
    </row>
    <row r="2845" spans="1:7">
      <c r="A2845" t="s">
        <v>6851</v>
      </c>
      <c r="B2845">
        <v>71</v>
      </c>
      <c r="C2845" t="s">
        <v>6852</v>
      </c>
      <c r="D2845">
        <v>156479</v>
      </c>
      <c r="E2845" t="s">
        <v>27</v>
      </c>
      <c r="F2845" t="s">
        <v>6853</v>
      </c>
      <c r="G2845" s="1">
        <v>45032</v>
      </c>
    </row>
    <row r="2846" spans="1:7">
      <c r="A2846" t="s">
        <v>4348</v>
      </c>
      <c r="B2846">
        <v>64</v>
      </c>
      <c r="C2846" t="s">
        <v>6854</v>
      </c>
      <c r="D2846">
        <v>115990</v>
      </c>
      <c r="E2846" t="s">
        <v>12</v>
      </c>
      <c r="F2846" t="s">
        <v>6855</v>
      </c>
      <c r="G2846" s="1">
        <v>44932</v>
      </c>
    </row>
    <row r="2847" spans="1:7">
      <c r="A2847" t="s">
        <v>6856</v>
      </c>
      <c r="B2847">
        <v>77</v>
      </c>
      <c r="C2847" t="s">
        <v>6857</v>
      </c>
      <c r="E2847" t="s">
        <v>36</v>
      </c>
      <c r="F2847">
        <v>8720349513</v>
      </c>
      <c r="G2847" s="1">
        <v>45147</v>
      </c>
    </row>
    <row r="2848" spans="1:7">
      <c r="A2848" t="s">
        <v>6858</v>
      </c>
      <c r="B2848">
        <v>19</v>
      </c>
      <c r="C2848" t="s">
        <v>6859</v>
      </c>
      <c r="D2848">
        <v>158949</v>
      </c>
      <c r="E2848" t="s">
        <v>27</v>
      </c>
      <c r="F2848" t="s">
        <v>6860</v>
      </c>
      <c r="G2848" s="1">
        <v>44936</v>
      </c>
    </row>
    <row r="2849" spans="1:7">
      <c r="A2849" t="s">
        <v>2716</v>
      </c>
      <c r="B2849">
        <v>55</v>
      </c>
      <c r="C2849" t="s">
        <v>6861</v>
      </c>
      <c r="D2849">
        <v>108972</v>
      </c>
      <c r="E2849" t="s">
        <v>36</v>
      </c>
      <c r="F2849" t="s">
        <v>6862</v>
      </c>
      <c r="G2849" s="1">
        <v>45126</v>
      </c>
    </row>
    <row r="2850" spans="1:7">
      <c r="A2850" t="s">
        <v>6863</v>
      </c>
      <c r="B2850">
        <v>43</v>
      </c>
      <c r="C2850" t="s">
        <v>6864</v>
      </c>
      <c r="D2850">
        <v>78442</v>
      </c>
      <c r="E2850" t="s">
        <v>36</v>
      </c>
      <c r="F2850">
        <v>6333405410</v>
      </c>
      <c r="G2850" s="1">
        <v>44991</v>
      </c>
    </row>
    <row r="2851" spans="1:7">
      <c r="A2851" t="s">
        <v>6865</v>
      </c>
      <c r="B2851">
        <v>59</v>
      </c>
      <c r="C2851" t="s">
        <v>594</v>
      </c>
      <c r="D2851">
        <v>168419</v>
      </c>
      <c r="E2851" t="s">
        <v>12</v>
      </c>
      <c r="F2851" t="s">
        <v>6866</v>
      </c>
      <c r="G2851" s="1">
        <v>44932</v>
      </c>
    </row>
    <row r="2852" spans="1:7">
      <c r="A2852" t="s">
        <v>6867</v>
      </c>
      <c r="B2852">
        <v>49</v>
      </c>
      <c r="D2852">
        <v>177717</v>
      </c>
      <c r="E2852" t="s">
        <v>12</v>
      </c>
      <c r="F2852">
        <v>3732670325</v>
      </c>
      <c r="G2852" s="1">
        <v>45066</v>
      </c>
    </row>
    <row r="2853" spans="1:7">
      <c r="A2853" t="s">
        <v>6868</v>
      </c>
      <c r="B2853">
        <v>32</v>
      </c>
      <c r="C2853" t="s">
        <v>61</v>
      </c>
      <c r="D2853">
        <v>110308</v>
      </c>
      <c r="E2853" t="s">
        <v>36</v>
      </c>
      <c r="F2853" t="s">
        <v>6869</v>
      </c>
      <c r="G2853" s="1">
        <v>44941</v>
      </c>
    </row>
    <row r="2854" spans="1:7">
      <c r="A2854" t="s">
        <v>6870</v>
      </c>
      <c r="C2854" t="s">
        <v>6871</v>
      </c>
      <c r="D2854">
        <v>169810</v>
      </c>
      <c r="E2854" t="s">
        <v>36</v>
      </c>
      <c r="F2854" t="s">
        <v>6872</v>
      </c>
      <c r="G2854" s="1">
        <v>45143</v>
      </c>
    </row>
    <row r="2855" spans="1:7">
      <c r="A2855" t="s">
        <v>6873</v>
      </c>
      <c r="B2855">
        <v>999</v>
      </c>
      <c r="C2855" t="s">
        <v>6874</v>
      </c>
      <c r="D2855">
        <v>-10000</v>
      </c>
      <c r="E2855" t="s">
        <v>9</v>
      </c>
      <c r="F2855" t="s">
        <v>6875</v>
      </c>
      <c r="G2855" s="1">
        <v>45047</v>
      </c>
    </row>
    <row r="2856" spans="1:7">
      <c r="A2856" t="s">
        <v>6876</v>
      </c>
      <c r="B2856">
        <v>36</v>
      </c>
      <c r="C2856" t="s">
        <v>170</v>
      </c>
      <c r="D2856">
        <v>42467</v>
      </c>
      <c r="E2856" t="s">
        <v>36</v>
      </c>
      <c r="F2856" t="s">
        <v>6877</v>
      </c>
      <c r="G2856" s="1">
        <v>44943</v>
      </c>
    </row>
    <row r="2857" spans="1:7">
      <c r="A2857" t="s">
        <v>6878</v>
      </c>
      <c r="B2857">
        <v>33</v>
      </c>
      <c r="C2857" t="s">
        <v>6879</v>
      </c>
      <c r="D2857">
        <v>180305</v>
      </c>
      <c r="E2857" t="s">
        <v>12</v>
      </c>
      <c r="F2857" t="s">
        <v>6880</v>
      </c>
      <c r="G2857" s="1">
        <v>45185</v>
      </c>
    </row>
    <row r="2858" spans="1:7">
      <c r="A2858" t="s">
        <v>6881</v>
      </c>
      <c r="B2858">
        <v>18</v>
      </c>
      <c r="C2858" t="s">
        <v>6882</v>
      </c>
      <c r="E2858" t="s">
        <v>12</v>
      </c>
      <c r="F2858" t="s">
        <v>6883</v>
      </c>
      <c r="G2858" s="1">
        <v>45110</v>
      </c>
    </row>
    <row r="2859" spans="1:7">
      <c r="A2859" t="s">
        <v>6884</v>
      </c>
      <c r="B2859">
        <v>20</v>
      </c>
      <c r="C2859" t="s">
        <v>6885</v>
      </c>
      <c r="D2859">
        <v>45735</v>
      </c>
      <c r="E2859" t="s">
        <v>27</v>
      </c>
      <c r="F2859" t="s">
        <v>6886</v>
      </c>
      <c r="G2859" s="1">
        <v>45253</v>
      </c>
    </row>
    <row r="2860" spans="1:7">
      <c r="A2860" t="s">
        <v>6887</v>
      </c>
      <c r="B2860">
        <v>38</v>
      </c>
      <c r="C2860" t="s">
        <v>6888</v>
      </c>
      <c r="E2860" t="s">
        <v>36</v>
      </c>
      <c r="F2860" t="s">
        <v>6889</v>
      </c>
      <c r="G2860" s="1">
        <v>45046</v>
      </c>
    </row>
    <row r="2861" spans="1:7">
      <c r="A2861" t="s">
        <v>6890</v>
      </c>
      <c r="B2861">
        <v>0</v>
      </c>
      <c r="C2861" t="s">
        <v>6891</v>
      </c>
      <c r="D2861">
        <v>151688</v>
      </c>
      <c r="E2861" t="s">
        <v>9</v>
      </c>
      <c r="F2861">
        <v>9232015048</v>
      </c>
      <c r="G2861" s="1">
        <v>45010</v>
      </c>
    </row>
    <row r="2862" spans="1:7">
      <c r="A2862" t="s">
        <v>6892</v>
      </c>
      <c r="B2862">
        <v>59</v>
      </c>
      <c r="C2862" t="s">
        <v>6893</v>
      </c>
      <c r="D2862">
        <v>86117</v>
      </c>
      <c r="E2862" t="s">
        <v>12</v>
      </c>
      <c r="F2862" t="s">
        <v>6894</v>
      </c>
      <c r="G2862" s="1">
        <v>45208</v>
      </c>
    </row>
    <row r="2863" spans="1:7">
      <c r="A2863" t="s">
        <v>6895</v>
      </c>
      <c r="B2863">
        <v>62</v>
      </c>
      <c r="C2863" t="s">
        <v>6896</v>
      </c>
      <c r="D2863">
        <v>176161</v>
      </c>
      <c r="E2863" t="s">
        <v>36</v>
      </c>
      <c r="F2863" t="s">
        <v>6897</v>
      </c>
      <c r="G2863" s="1">
        <v>45131</v>
      </c>
    </row>
    <row r="2864" spans="1:7">
      <c r="A2864" t="s">
        <v>6898</v>
      </c>
      <c r="B2864">
        <v>65</v>
      </c>
      <c r="C2864" t="s">
        <v>6899</v>
      </c>
      <c r="D2864">
        <v>103591</v>
      </c>
      <c r="E2864" t="s">
        <v>36</v>
      </c>
      <c r="F2864">
        <v>8060506476</v>
      </c>
      <c r="G2864" s="1">
        <v>44975</v>
      </c>
    </row>
    <row r="2865" spans="1:7">
      <c r="A2865" t="s">
        <v>6900</v>
      </c>
      <c r="B2865">
        <v>44</v>
      </c>
      <c r="C2865" t="s">
        <v>6901</v>
      </c>
      <c r="D2865">
        <v>42497</v>
      </c>
      <c r="E2865" t="s">
        <v>12</v>
      </c>
      <c r="F2865" t="s">
        <v>6902</v>
      </c>
      <c r="G2865" s="1">
        <v>44993</v>
      </c>
    </row>
    <row r="2866" spans="1:7">
      <c r="A2866" t="s">
        <v>6903</v>
      </c>
      <c r="B2866">
        <v>65</v>
      </c>
      <c r="C2866" t="s">
        <v>6904</v>
      </c>
      <c r="D2866">
        <v>49643</v>
      </c>
      <c r="E2866" t="s">
        <v>9</v>
      </c>
      <c r="F2866" t="s">
        <v>6905</v>
      </c>
      <c r="G2866" s="1">
        <v>45179</v>
      </c>
    </row>
    <row r="2867" spans="1:7">
      <c r="A2867" t="s">
        <v>6906</v>
      </c>
      <c r="B2867">
        <v>999</v>
      </c>
      <c r="D2867">
        <v>174378</v>
      </c>
      <c r="E2867" t="s">
        <v>36</v>
      </c>
      <c r="F2867" t="s">
        <v>6907</v>
      </c>
      <c r="G2867" s="1">
        <v>45283</v>
      </c>
    </row>
    <row r="2868" spans="1:7">
      <c r="A2868" t="s">
        <v>6908</v>
      </c>
      <c r="B2868">
        <v>36</v>
      </c>
      <c r="C2868" t="s">
        <v>6909</v>
      </c>
      <c r="D2868">
        <v>139028</v>
      </c>
      <c r="E2868" t="s">
        <v>36</v>
      </c>
      <c r="F2868" t="s">
        <v>6910</v>
      </c>
      <c r="G2868" s="1">
        <v>45262</v>
      </c>
    </row>
    <row r="2869" spans="1:7">
      <c r="A2869" t="s">
        <v>6911</v>
      </c>
      <c r="B2869">
        <v>47</v>
      </c>
      <c r="C2869" t="s">
        <v>6912</v>
      </c>
      <c r="D2869">
        <v>90390</v>
      </c>
      <c r="E2869" t="s">
        <v>9</v>
      </c>
      <c r="F2869">
        <f>1-744-167-2376</f>
        <v>-3286</v>
      </c>
      <c r="G2869" s="1">
        <v>45012</v>
      </c>
    </row>
    <row r="2870" spans="1:7">
      <c r="A2870" t="s">
        <v>2171</v>
      </c>
      <c r="B2870">
        <v>68</v>
      </c>
      <c r="C2870" t="s">
        <v>6913</v>
      </c>
      <c r="D2870">
        <v>-10000</v>
      </c>
      <c r="E2870" t="s">
        <v>36</v>
      </c>
      <c r="G2870" s="1">
        <v>45117</v>
      </c>
    </row>
    <row r="2871" spans="1:7">
      <c r="A2871" t="s">
        <v>6914</v>
      </c>
      <c r="B2871">
        <v>73</v>
      </c>
      <c r="C2871" t="s">
        <v>6915</v>
      </c>
      <c r="D2871">
        <v>158924</v>
      </c>
      <c r="E2871" t="s">
        <v>27</v>
      </c>
      <c r="F2871" t="s">
        <v>6916</v>
      </c>
      <c r="G2871" s="1">
        <v>45030</v>
      </c>
    </row>
    <row r="2872" spans="1:7">
      <c r="A2872" t="s">
        <v>6917</v>
      </c>
      <c r="B2872">
        <v>38</v>
      </c>
      <c r="C2872" t="s">
        <v>6918</v>
      </c>
      <c r="D2872">
        <v>179172</v>
      </c>
      <c r="E2872" t="s">
        <v>12</v>
      </c>
      <c r="G2872" s="1">
        <v>44927</v>
      </c>
    </row>
    <row r="2873" spans="1:7">
      <c r="A2873" t="s">
        <v>6919</v>
      </c>
      <c r="B2873">
        <v>42</v>
      </c>
      <c r="C2873" t="s">
        <v>6920</v>
      </c>
      <c r="D2873">
        <v>152439</v>
      </c>
      <c r="E2873" t="s">
        <v>9</v>
      </c>
      <c r="F2873" t="s">
        <v>6921</v>
      </c>
      <c r="G2873" s="1">
        <v>45096</v>
      </c>
    </row>
    <row r="2874" spans="1:7">
      <c r="B2874">
        <v>64</v>
      </c>
      <c r="C2874" t="s">
        <v>6922</v>
      </c>
      <c r="D2874">
        <v>161040</v>
      </c>
      <c r="E2874" t="s">
        <v>358</v>
      </c>
      <c r="F2874" t="s">
        <v>6923</v>
      </c>
      <c r="G2874" s="1">
        <v>45154</v>
      </c>
    </row>
    <row r="2875" spans="1:7">
      <c r="A2875" t="s">
        <v>6924</v>
      </c>
      <c r="B2875">
        <v>25</v>
      </c>
      <c r="D2875">
        <v>166355</v>
      </c>
      <c r="E2875" t="s">
        <v>36</v>
      </c>
      <c r="F2875">
        <f>1-442-499-3064</f>
        <v>-4004</v>
      </c>
      <c r="G2875" s="1">
        <v>45199</v>
      </c>
    </row>
    <row r="2876" spans="1:7">
      <c r="A2876" t="s">
        <v>4269</v>
      </c>
      <c r="B2876">
        <v>79</v>
      </c>
      <c r="C2876" t="s">
        <v>6925</v>
      </c>
      <c r="D2876">
        <v>120369</v>
      </c>
      <c r="E2876" t="s">
        <v>27</v>
      </c>
      <c r="F2876" t="s">
        <v>6926</v>
      </c>
      <c r="G2876" s="1">
        <v>45260</v>
      </c>
    </row>
    <row r="2877" spans="1:7">
      <c r="A2877" t="s">
        <v>6927</v>
      </c>
      <c r="B2877">
        <v>68</v>
      </c>
      <c r="C2877" t="s">
        <v>6928</v>
      </c>
      <c r="D2877">
        <v>150419</v>
      </c>
      <c r="E2877" t="s">
        <v>27</v>
      </c>
      <c r="F2877" t="s">
        <v>6929</v>
      </c>
      <c r="G2877" s="1">
        <v>45035</v>
      </c>
    </row>
    <row r="2878" spans="1:7">
      <c r="A2878" t="s">
        <v>6930</v>
      </c>
      <c r="B2878">
        <v>19</v>
      </c>
      <c r="D2878">
        <v>192008</v>
      </c>
      <c r="E2878" t="s">
        <v>9</v>
      </c>
      <c r="F2878">
        <v>8777794369</v>
      </c>
      <c r="G2878" s="1">
        <v>45022</v>
      </c>
    </row>
    <row r="2879" spans="1:7">
      <c r="A2879" t="s">
        <v>6931</v>
      </c>
      <c r="B2879">
        <v>68</v>
      </c>
      <c r="C2879" t="s">
        <v>6932</v>
      </c>
      <c r="D2879">
        <v>198735</v>
      </c>
      <c r="E2879" t="s">
        <v>12</v>
      </c>
      <c r="G2879" s="1">
        <v>45051</v>
      </c>
    </row>
    <row r="2880" spans="1:7">
      <c r="A2880" t="s">
        <v>6088</v>
      </c>
      <c r="B2880">
        <v>36</v>
      </c>
      <c r="C2880" t="s">
        <v>6933</v>
      </c>
      <c r="E2880" t="s">
        <v>36</v>
      </c>
      <c r="F2880" t="s">
        <v>6934</v>
      </c>
      <c r="G2880" s="1">
        <v>44947</v>
      </c>
    </row>
    <row r="2881" spans="1:7">
      <c r="A2881" t="s">
        <v>6927</v>
      </c>
      <c r="B2881">
        <v>31</v>
      </c>
      <c r="C2881" t="s">
        <v>6935</v>
      </c>
      <c r="E2881" t="s">
        <v>36</v>
      </c>
      <c r="F2881" t="s">
        <v>6936</v>
      </c>
      <c r="G2881" s="1">
        <v>45231</v>
      </c>
    </row>
    <row r="2882" spans="1:7">
      <c r="A2882" t="s">
        <v>6937</v>
      </c>
      <c r="C2882" t="s">
        <v>6938</v>
      </c>
      <c r="D2882">
        <v>108422</v>
      </c>
      <c r="E2882" t="s">
        <v>12</v>
      </c>
      <c r="F2882" t="s">
        <v>6939</v>
      </c>
      <c r="G2882" s="1">
        <v>45085</v>
      </c>
    </row>
    <row r="2883" spans="1:7">
      <c r="A2883" t="s">
        <v>6940</v>
      </c>
      <c r="B2883">
        <v>-10</v>
      </c>
      <c r="C2883" t="s">
        <v>6941</v>
      </c>
      <c r="E2883" t="s">
        <v>27</v>
      </c>
      <c r="F2883" t="s">
        <v>6942</v>
      </c>
      <c r="G2883" s="1">
        <v>44961</v>
      </c>
    </row>
    <row r="2884" spans="1:7">
      <c r="A2884" t="s">
        <v>6943</v>
      </c>
      <c r="B2884">
        <v>150</v>
      </c>
      <c r="C2884" t="s">
        <v>6944</v>
      </c>
      <c r="D2884">
        <v>120365</v>
      </c>
      <c r="E2884" t="s">
        <v>12</v>
      </c>
      <c r="F2884">
        <f>1-202-976-5364</f>
        <v>-6541</v>
      </c>
      <c r="G2884" s="1">
        <v>45177</v>
      </c>
    </row>
    <row r="2885" spans="1:7">
      <c r="A2885" t="s">
        <v>6945</v>
      </c>
      <c r="B2885">
        <v>43</v>
      </c>
      <c r="D2885">
        <v>0</v>
      </c>
      <c r="E2885" t="s">
        <v>9</v>
      </c>
      <c r="F2885">
        <v>8190081923</v>
      </c>
      <c r="G2885" s="1">
        <v>45187</v>
      </c>
    </row>
    <row r="2886" spans="1:7">
      <c r="A2886" t="s">
        <v>6946</v>
      </c>
      <c r="B2886">
        <v>18</v>
      </c>
      <c r="C2886" t="s">
        <v>6947</v>
      </c>
      <c r="D2886">
        <v>148089</v>
      </c>
      <c r="E2886" t="s">
        <v>12</v>
      </c>
      <c r="F2886" t="s">
        <v>6948</v>
      </c>
      <c r="G2886" s="1">
        <v>45097</v>
      </c>
    </row>
    <row r="2887" spans="1:7">
      <c r="A2887" t="s">
        <v>6949</v>
      </c>
      <c r="B2887">
        <v>36</v>
      </c>
      <c r="C2887" t="s">
        <v>6950</v>
      </c>
      <c r="D2887">
        <v>90282</v>
      </c>
      <c r="E2887" t="s">
        <v>9</v>
      </c>
      <c r="F2887" t="s">
        <v>6951</v>
      </c>
      <c r="G2887" s="1">
        <v>45025</v>
      </c>
    </row>
    <row r="2888" spans="1:7">
      <c r="A2888" t="s">
        <v>6952</v>
      </c>
      <c r="B2888">
        <v>68</v>
      </c>
      <c r="C2888" t="s">
        <v>6953</v>
      </c>
      <c r="D2888">
        <v>198751</v>
      </c>
      <c r="E2888" t="s">
        <v>12</v>
      </c>
      <c r="F2888" t="s">
        <v>6954</v>
      </c>
      <c r="G2888" s="1">
        <v>44997</v>
      </c>
    </row>
    <row r="2889" spans="1:7">
      <c r="A2889" t="s">
        <v>6955</v>
      </c>
      <c r="B2889">
        <v>37</v>
      </c>
      <c r="C2889" t="s">
        <v>6956</v>
      </c>
      <c r="D2889">
        <v>132499</v>
      </c>
      <c r="E2889" t="s">
        <v>36</v>
      </c>
      <c r="F2889" t="s">
        <v>6957</v>
      </c>
      <c r="G2889" s="1">
        <v>45148</v>
      </c>
    </row>
    <row r="2890" spans="1:7">
      <c r="A2890" t="s">
        <v>6958</v>
      </c>
      <c r="B2890">
        <v>21</v>
      </c>
      <c r="C2890" t="s">
        <v>6959</v>
      </c>
      <c r="D2890">
        <v>162201</v>
      </c>
      <c r="E2890" t="s">
        <v>27</v>
      </c>
      <c r="F2890">
        <f>1-197-220-4909</f>
        <v>-5325</v>
      </c>
      <c r="G2890" s="1">
        <v>45199</v>
      </c>
    </row>
    <row r="2891" spans="1:7">
      <c r="A2891" t="s">
        <v>6960</v>
      </c>
      <c r="B2891">
        <v>31</v>
      </c>
      <c r="C2891" t="s">
        <v>6961</v>
      </c>
      <c r="D2891">
        <v>82495</v>
      </c>
      <c r="E2891" t="s">
        <v>36</v>
      </c>
      <c r="F2891" t="s">
        <v>6962</v>
      </c>
      <c r="G2891" s="1">
        <v>45084</v>
      </c>
    </row>
    <row r="2892" spans="1:7">
      <c r="A2892" t="s">
        <v>6963</v>
      </c>
      <c r="B2892">
        <v>41</v>
      </c>
      <c r="D2892">
        <v>194404</v>
      </c>
      <c r="E2892" t="s">
        <v>12</v>
      </c>
      <c r="F2892" t="s">
        <v>6964</v>
      </c>
      <c r="G2892" s="1">
        <v>44947</v>
      </c>
    </row>
    <row r="2893" spans="1:7">
      <c r="A2893" t="s">
        <v>6965</v>
      </c>
      <c r="B2893">
        <v>25</v>
      </c>
      <c r="C2893" t="s">
        <v>6966</v>
      </c>
      <c r="D2893">
        <v>147449</v>
      </c>
      <c r="E2893" t="s">
        <v>358</v>
      </c>
      <c r="F2893" t="s">
        <v>6967</v>
      </c>
      <c r="G2893" s="1">
        <v>44932</v>
      </c>
    </row>
    <row r="2894" spans="1:7">
      <c r="A2894" t="s">
        <v>6968</v>
      </c>
      <c r="B2894">
        <v>78</v>
      </c>
      <c r="C2894" t="s">
        <v>6969</v>
      </c>
      <c r="D2894">
        <v>33327</v>
      </c>
      <c r="E2894" t="s">
        <v>12</v>
      </c>
      <c r="F2894" t="s">
        <v>6970</v>
      </c>
      <c r="G2894" s="1">
        <v>44987</v>
      </c>
    </row>
    <row r="2895" spans="1:7">
      <c r="A2895" t="s">
        <v>6971</v>
      </c>
      <c r="B2895">
        <v>54</v>
      </c>
      <c r="C2895" t="s">
        <v>6972</v>
      </c>
      <c r="D2895">
        <v>65554</v>
      </c>
      <c r="E2895" t="s">
        <v>9</v>
      </c>
      <c r="F2895" t="s">
        <v>6973</v>
      </c>
      <c r="G2895" s="1">
        <v>45075</v>
      </c>
    </row>
    <row r="2896" spans="1:7">
      <c r="A2896" t="s">
        <v>5326</v>
      </c>
      <c r="B2896">
        <v>22</v>
      </c>
      <c r="C2896" t="s">
        <v>6974</v>
      </c>
      <c r="D2896">
        <v>115366</v>
      </c>
      <c r="E2896" t="s">
        <v>36</v>
      </c>
      <c r="F2896" t="s">
        <v>6975</v>
      </c>
      <c r="G2896" s="1">
        <v>44940</v>
      </c>
    </row>
    <row r="2897" spans="1:7">
      <c r="B2897">
        <v>21</v>
      </c>
      <c r="C2897" t="s">
        <v>6976</v>
      </c>
      <c r="D2897">
        <v>193515</v>
      </c>
      <c r="E2897" t="s">
        <v>294</v>
      </c>
      <c r="F2897">
        <v>3650675666</v>
      </c>
      <c r="G2897" s="1">
        <v>44977</v>
      </c>
    </row>
    <row r="2898" spans="1:7">
      <c r="A2898" t="s">
        <v>6977</v>
      </c>
      <c r="B2898">
        <v>39</v>
      </c>
      <c r="C2898" t="s">
        <v>6978</v>
      </c>
      <c r="D2898">
        <v>96809</v>
      </c>
      <c r="E2898" t="s">
        <v>12</v>
      </c>
      <c r="F2898" t="s">
        <v>6979</v>
      </c>
      <c r="G2898" s="1">
        <v>45225</v>
      </c>
    </row>
    <row r="2899" spans="1:7">
      <c r="A2899" t="s">
        <v>6980</v>
      </c>
      <c r="B2899">
        <v>19</v>
      </c>
      <c r="C2899" t="s">
        <v>6981</v>
      </c>
      <c r="D2899">
        <v>54600</v>
      </c>
      <c r="E2899" t="s">
        <v>9</v>
      </c>
      <c r="F2899" t="s">
        <v>6982</v>
      </c>
      <c r="G2899" s="1">
        <v>45218</v>
      </c>
    </row>
    <row r="2900" spans="1:7">
      <c r="A2900" t="s">
        <v>6983</v>
      </c>
      <c r="B2900">
        <v>61</v>
      </c>
      <c r="C2900" t="s">
        <v>6984</v>
      </c>
      <c r="D2900">
        <v>57990</v>
      </c>
      <c r="E2900" t="s">
        <v>27</v>
      </c>
      <c r="F2900" t="s">
        <v>6985</v>
      </c>
      <c r="G2900" s="1">
        <v>45116</v>
      </c>
    </row>
    <row r="2901" spans="1:7">
      <c r="A2901" t="s">
        <v>6986</v>
      </c>
      <c r="B2901">
        <v>51</v>
      </c>
      <c r="C2901" t="s">
        <v>6987</v>
      </c>
      <c r="E2901" t="s">
        <v>36</v>
      </c>
      <c r="F2901" t="s">
        <v>6988</v>
      </c>
      <c r="G2901" s="1">
        <v>45209</v>
      </c>
    </row>
    <row r="2902" spans="1:7">
      <c r="A2902" t="s">
        <v>6989</v>
      </c>
      <c r="B2902">
        <v>30</v>
      </c>
      <c r="C2902" t="s">
        <v>6990</v>
      </c>
      <c r="D2902">
        <v>157572</v>
      </c>
      <c r="E2902" t="s">
        <v>12</v>
      </c>
      <c r="G2902" s="1">
        <v>44938</v>
      </c>
    </row>
    <row r="2903" spans="1:7">
      <c r="A2903" t="s">
        <v>6991</v>
      </c>
      <c r="B2903">
        <v>39</v>
      </c>
      <c r="C2903" t="s">
        <v>6992</v>
      </c>
      <c r="D2903">
        <v>105057</v>
      </c>
      <c r="E2903" t="s">
        <v>27</v>
      </c>
      <c r="F2903" t="s">
        <v>6993</v>
      </c>
      <c r="G2903" s="1">
        <v>44942</v>
      </c>
    </row>
    <row r="2904" spans="1:7">
      <c r="A2904" t="s">
        <v>6994</v>
      </c>
      <c r="B2904">
        <v>39</v>
      </c>
      <c r="C2904" t="s">
        <v>6995</v>
      </c>
      <c r="D2904">
        <v>121563</v>
      </c>
      <c r="E2904" t="s">
        <v>9</v>
      </c>
      <c r="F2904" t="s">
        <v>6996</v>
      </c>
      <c r="G2904" s="1">
        <v>44927</v>
      </c>
    </row>
    <row r="2905" spans="1:7">
      <c r="A2905" t="s">
        <v>6997</v>
      </c>
      <c r="B2905">
        <v>46</v>
      </c>
      <c r="C2905" t="s">
        <v>6998</v>
      </c>
      <c r="D2905">
        <v>31539</v>
      </c>
      <c r="E2905" t="s">
        <v>12</v>
      </c>
      <c r="F2905" t="s">
        <v>6999</v>
      </c>
      <c r="G2905" s="1">
        <v>45263</v>
      </c>
    </row>
    <row r="2906" spans="1:7">
      <c r="A2906" t="s">
        <v>7000</v>
      </c>
      <c r="B2906">
        <v>35</v>
      </c>
      <c r="C2906" t="s">
        <v>7001</v>
      </c>
      <c r="D2906">
        <v>45762</v>
      </c>
      <c r="E2906" t="s">
        <v>12</v>
      </c>
      <c r="F2906" t="s">
        <v>7002</v>
      </c>
      <c r="G2906" s="1">
        <v>45235</v>
      </c>
    </row>
    <row r="2907" spans="1:7">
      <c r="A2907" t="s">
        <v>7003</v>
      </c>
      <c r="B2907">
        <v>21</v>
      </c>
      <c r="C2907" t="s">
        <v>7004</v>
      </c>
      <c r="D2907">
        <v>73856</v>
      </c>
      <c r="E2907" t="s">
        <v>12</v>
      </c>
      <c r="F2907">
        <f>1-971-884-2931</f>
        <v>-4785</v>
      </c>
      <c r="G2907" s="1">
        <v>45001</v>
      </c>
    </row>
    <row r="2908" spans="1:7">
      <c r="A2908" t="s">
        <v>384</v>
      </c>
      <c r="B2908">
        <v>42</v>
      </c>
      <c r="C2908" t="s">
        <v>7005</v>
      </c>
      <c r="D2908">
        <v>93232</v>
      </c>
      <c r="E2908" t="s">
        <v>36</v>
      </c>
      <c r="F2908" t="s">
        <v>7006</v>
      </c>
      <c r="G2908" s="1">
        <v>44976</v>
      </c>
    </row>
    <row r="2909" spans="1:7">
      <c r="A2909" t="s">
        <v>7007</v>
      </c>
      <c r="B2909">
        <v>66</v>
      </c>
      <c r="C2909" t="s">
        <v>7008</v>
      </c>
      <c r="E2909" t="s">
        <v>36</v>
      </c>
      <c r="F2909" t="s">
        <v>7009</v>
      </c>
      <c r="G2909" s="1">
        <v>45143</v>
      </c>
    </row>
    <row r="2910" spans="1:7">
      <c r="A2910" t="s">
        <v>7010</v>
      </c>
      <c r="B2910">
        <v>-50</v>
      </c>
      <c r="C2910" t="s">
        <v>7011</v>
      </c>
      <c r="D2910">
        <v>50008</v>
      </c>
      <c r="E2910" t="s">
        <v>27</v>
      </c>
      <c r="F2910" t="s">
        <v>7012</v>
      </c>
      <c r="G2910" s="1">
        <v>45224</v>
      </c>
    </row>
    <row r="2911" spans="1:7">
      <c r="A2911" t="s">
        <v>7013</v>
      </c>
      <c r="B2911">
        <v>25</v>
      </c>
      <c r="C2911" t="s">
        <v>7014</v>
      </c>
      <c r="D2911">
        <v>136843</v>
      </c>
      <c r="E2911" t="s">
        <v>9</v>
      </c>
      <c r="F2911" t="s">
        <v>7015</v>
      </c>
      <c r="G2911" s="1">
        <v>44932</v>
      </c>
    </row>
    <row r="2912" spans="1:7">
      <c r="B2912">
        <v>34</v>
      </c>
      <c r="C2912" t="s">
        <v>7016</v>
      </c>
      <c r="D2912">
        <v>164854</v>
      </c>
      <c r="E2912" t="s">
        <v>36</v>
      </c>
      <c r="F2912">
        <f>1-888-293-4681</f>
        <v>-5861</v>
      </c>
      <c r="G2912" s="1">
        <v>45138</v>
      </c>
    </row>
    <row r="2913" spans="1:7">
      <c r="A2913" t="s">
        <v>7017</v>
      </c>
      <c r="B2913">
        <v>36</v>
      </c>
      <c r="C2913" t="s">
        <v>7018</v>
      </c>
      <c r="D2913">
        <v>197415</v>
      </c>
      <c r="E2913" t="s">
        <v>12</v>
      </c>
      <c r="F2913" t="s">
        <v>7019</v>
      </c>
      <c r="G2913" s="1">
        <v>45081</v>
      </c>
    </row>
    <row r="2914" spans="1:7">
      <c r="A2914" t="s">
        <v>7020</v>
      </c>
      <c r="B2914">
        <v>73</v>
      </c>
      <c r="C2914" t="s">
        <v>7021</v>
      </c>
      <c r="D2914">
        <v>107028</v>
      </c>
      <c r="E2914" t="s">
        <v>36</v>
      </c>
      <c r="F2914" t="s">
        <v>7022</v>
      </c>
      <c r="G2914" s="1">
        <v>44928</v>
      </c>
    </row>
    <row r="2915" spans="1:7">
      <c r="A2915" t="s">
        <v>7023</v>
      </c>
      <c r="B2915">
        <v>57</v>
      </c>
      <c r="C2915" t="s">
        <v>7024</v>
      </c>
      <c r="D2915">
        <v>39221</v>
      </c>
      <c r="E2915" t="s">
        <v>90</v>
      </c>
      <c r="F2915" t="s">
        <v>7025</v>
      </c>
      <c r="G2915" s="1">
        <v>45112</v>
      </c>
    </row>
    <row r="2916" spans="1:7">
      <c r="A2916" t="s">
        <v>7026</v>
      </c>
      <c r="B2916">
        <v>52</v>
      </c>
      <c r="D2916">
        <v>85087</v>
      </c>
      <c r="E2916" t="s">
        <v>12</v>
      </c>
      <c r="F2916" t="s">
        <v>7027</v>
      </c>
      <c r="G2916" s="1">
        <v>45072</v>
      </c>
    </row>
    <row r="2917" spans="1:7">
      <c r="A2917" t="s">
        <v>7028</v>
      </c>
      <c r="B2917">
        <v>21</v>
      </c>
      <c r="C2917" t="s">
        <v>518</v>
      </c>
      <c r="D2917">
        <v>174771</v>
      </c>
      <c r="E2917" t="s">
        <v>873</v>
      </c>
      <c r="F2917">
        <f>1-589-777-9029</f>
        <v>-10394</v>
      </c>
      <c r="G2917" s="1">
        <v>45136</v>
      </c>
    </row>
    <row r="2918" spans="1:7">
      <c r="A2918" t="s">
        <v>7029</v>
      </c>
      <c r="B2918">
        <v>300</v>
      </c>
      <c r="C2918" t="s">
        <v>7030</v>
      </c>
      <c r="E2918" t="s">
        <v>27</v>
      </c>
      <c r="F2918" t="s">
        <v>7031</v>
      </c>
      <c r="G2918" s="1">
        <v>45028</v>
      </c>
    </row>
    <row r="2919" spans="1:7">
      <c r="A2919" t="s">
        <v>2518</v>
      </c>
      <c r="B2919">
        <v>64</v>
      </c>
      <c r="C2919" t="s">
        <v>7032</v>
      </c>
      <c r="D2919">
        <v>54519</v>
      </c>
      <c r="E2919" t="s">
        <v>27</v>
      </c>
      <c r="F2919" t="s">
        <v>7033</v>
      </c>
      <c r="G2919" s="1">
        <v>45173</v>
      </c>
    </row>
    <row r="2920" spans="1:7">
      <c r="A2920" t="s">
        <v>7034</v>
      </c>
      <c r="B2920">
        <v>64</v>
      </c>
      <c r="E2920" t="s">
        <v>12</v>
      </c>
      <c r="F2920">
        <f>1-299-994-6954</f>
        <v>-8246</v>
      </c>
      <c r="G2920" s="1">
        <v>45008</v>
      </c>
    </row>
    <row r="2921" spans="1:7">
      <c r="A2921" t="s">
        <v>7035</v>
      </c>
      <c r="B2921">
        <v>46</v>
      </c>
      <c r="D2921">
        <v>111780</v>
      </c>
      <c r="E2921" t="s">
        <v>9</v>
      </c>
      <c r="F2921" t="s">
        <v>7036</v>
      </c>
      <c r="G2921" s="1">
        <v>45148</v>
      </c>
    </row>
    <row r="2922" spans="1:7">
      <c r="A2922" t="s">
        <v>7037</v>
      </c>
      <c r="B2922">
        <v>61</v>
      </c>
      <c r="C2922" t="s">
        <v>7038</v>
      </c>
      <c r="D2922">
        <v>106478</v>
      </c>
      <c r="E2922" t="s">
        <v>12</v>
      </c>
      <c r="F2922">
        <f>1-747-447-7913</f>
        <v>-9106</v>
      </c>
      <c r="G2922" s="1">
        <v>45152</v>
      </c>
    </row>
    <row r="2923" spans="1:7">
      <c r="A2923" t="s">
        <v>7039</v>
      </c>
      <c r="B2923">
        <v>49</v>
      </c>
      <c r="C2923" t="s">
        <v>7040</v>
      </c>
      <c r="D2923">
        <v>129003</v>
      </c>
      <c r="E2923" t="s">
        <v>90</v>
      </c>
      <c r="F2923" t="s">
        <v>7041</v>
      </c>
      <c r="G2923" s="1">
        <v>45277</v>
      </c>
    </row>
    <row r="2924" spans="1:7">
      <c r="A2924" t="s">
        <v>7042</v>
      </c>
      <c r="B2924">
        <v>32</v>
      </c>
      <c r="C2924" t="s">
        <v>7043</v>
      </c>
      <c r="D2924">
        <v>150507</v>
      </c>
      <c r="E2924" t="s">
        <v>294</v>
      </c>
      <c r="F2924" t="s">
        <v>7044</v>
      </c>
      <c r="G2924" s="1">
        <v>45257</v>
      </c>
    </row>
    <row r="2925" spans="1:7">
      <c r="A2925" t="s">
        <v>7045</v>
      </c>
      <c r="B2925">
        <v>55</v>
      </c>
      <c r="C2925" t="s">
        <v>7046</v>
      </c>
      <c r="D2925">
        <v>113291</v>
      </c>
      <c r="E2925" t="s">
        <v>9</v>
      </c>
      <c r="F2925" t="s">
        <v>7047</v>
      </c>
      <c r="G2925" s="1">
        <v>45140</v>
      </c>
    </row>
    <row r="2926" spans="1:7">
      <c r="A2926" t="s">
        <v>7048</v>
      </c>
      <c r="B2926">
        <v>22</v>
      </c>
      <c r="C2926" t="s">
        <v>7049</v>
      </c>
      <c r="D2926">
        <v>50862</v>
      </c>
      <c r="E2926" t="s">
        <v>27</v>
      </c>
      <c r="F2926" t="s">
        <v>7050</v>
      </c>
      <c r="G2926" s="1">
        <v>45086</v>
      </c>
    </row>
    <row r="2927" spans="1:7">
      <c r="A2927" t="s">
        <v>7051</v>
      </c>
      <c r="B2927">
        <v>38</v>
      </c>
      <c r="C2927" t="s">
        <v>7052</v>
      </c>
      <c r="E2927" t="s">
        <v>9</v>
      </c>
      <c r="F2927" t="s">
        <v>7053</v>
      </c>
      <c r="G2927" s="1">
        <v>45140</v>
      </c>
    </row>
    <row r="2928" spans="1:7">
      <c r="A2928" t="s">
        <v>7054</v>
      </c>
      <c r="B2928">
        <v>29</v>
      </c>
      <c r="C2928" t="s">
        <v>7055</v>
      </c>
      <c r="D2928">
        <v>77406</v>
      </c>
      <c r="E2928" t="s">
        <v>358</v>
      </c>
      <c r="F2928" t="s">
        <v>7056</v>
      </c>
      <c r="G2928" s="1">
        <v>45226</v>
      </c>
    </row>
    <row r="2929" spans="1:7">
      <c r="A2929" t="s">
        <v>7057</v>
      </c>
      <c r="B2929">
        <v>58</v>
      </c>
      <c r="C2929" t="s">
        <v>7058</v>
      </c>
      <c r="D2929">
        <v>40728</v>
      </c>
      <c r="E2929" t="s">
        <v>9</v>
      </c>
      <c r="F2929" t="s">
        <v>7059</v>
      </c>
      <c r="G2929" s="1">
        <v>45017</v>
      </c>
    </row>
    <row r="2930" spans="1:7">
      <c r="A2930" t="s">
        <v>7060</v>
      </c>
      <c r="B2930">
        <v>28</v>
      </c>
      <c r="C2930" t="s">
        <v>7061</v>
      </c>
      <c r="D2930">
        <v>162473</v>
      </c>
      <c r="E2930" t="s">
        <v>36</v>
      </c>
      <c r="F2930" t="s">
        <v>7062</v>
      </c>
      <c r="G2930" t="s">
        <v>3963</v>
      </c>
    </row>
    <row r="2931" spans="1:7">
      <c r="A2931" t="s">
        <v>7063</v>
      </c>
      <c r="B2931">
        <v>24</v>
      </c>
      <c r="C2931" t="s">
        <v>7064</v>
      </c>
      <c r="D2931">
        <v>177026</v>
      </c>
      <c r="E2931" t="s">
        <v>27</v>
      </c>
      <c r="F2931">
        <f>1-700-342-9076</f>
        <v>-10117</v>
      </c>
      <c r="G2931" s="1">
        <v>45068</v>
      </c>
    </row>
    <row r="2932" spans="1:7">
      <c r="A2932" t="s">
        <v>7065</v>
      </c>
      <c r="B2932">
        <v>23</v>
      </c>
      <c r="C2932" t="s">
        <v>7066</v>
      </c>
      <c r="D2932">
        <v>70695</v>
      </c>
      <c r="E2932" t="s">
        <v>294</v>
      </c>
      <c r="F2932" t="s">
        <v>7067</v>
      </c>
      <c r="G2932" s="1">
        <v>44995</v>
      </c>
    </row>
    <row r="2933" spans="1:7">
      <c r="A2933" t="s">
        <v>7068</v>
      </c>
      <c r="B2933">
        <v>61</v>
      </c>
      <c r="C2933" t="s">
        <v>7069</v>
      </c>
      <c r="D2933">
        <v>150779</v>
      </c>
      <c r="E2933" t="s">
        <v>36</v>
      </c>
      <c r="F2933">
        <f>1-426-377-3319</f>
        <v>-4121</v>
      </c>
      <c r="G2933" s="1">
        <v>45217</v>
      </c>
    </row>
    <row r="2934" spans="1:7">
      <c r="A2934" t="s">
        <v>7070</v>
      </c>
      <c r="B2934">
        <v>67</v>
      </c>
      <c r="D2934">
        <v>64397</v>
      </c>
      <c r="E2934" t="s">
        <v>36</v>
      </c>
      <c r="F2934">
        <f>1-725-250-7618</f>
        <v>-8592</v>
      </c>
      <c r="G2934" s="1">
        <v>44971</v>
      </c>
    </row>
    <row r="2935" spans="1:7">
      <c r="A2935" t="s">
        <v>7071</v>
      </c>
      <c r="B2935">
        <v>-5</v>
      </c>
      <c r="C2935" t="s">
        <v>7072</v>
      </c>
      <c r="D2935">
        <v>161025</v>
      </c>
      <c r="E2935" t="s">
        <v>12</v>
      </c>
      <c r="F2935" t="s">
        <v>7073</v>
      </c>
      <c r="G2935" s="1">
        <v>44956</v>
      </c>
    </row>
    <row r="2936" spans="1:7">
      <c r="A2936" t="s">
        <v>7074</v>
      </c>
      <c r="B2936">
        <v>50</v>
      </c>
      <c r="C2936" t="s">
        <v>7075</v>
      </c>
      <c r="D2936">
        <v>61601</v>
      </c>
      <c r="E2936" t="s">
        <v>9</v>
      </c>
      <c r="F2936" t="s">
        <v>7076</v>
      </c>
      <c r="G2936" s="1">
        <v>45281</v>
      </c>
    </row>
    <row r="2937" spans="1:7">
      <c r="A2937" t="s">
        <v>2435</v>
      </c>
      <c r="B2937">
        <v>34</v>
      </c>
      <c r="C2937" t="s">
        <v>7077</v>
      </c>
      <c r="D2937">
        <v>50923</v>
      </c>
      <c r="E2937" t="s">
        <v>27</v>
      </c>
      <c r="F2937" t="s">
        <v>7078</v>
      </c>
      <c r="G2937" s="1">
        <v>45020</v>
      </c>
    </row>
    <row r="2938" spans="1:7">
      <c r="A2938" t="s">
        <v>7079</v>
      </c>
      <c r="B2938">
        <v>79</v>
      </c>
      <c r="C2938" t="s">
        <v>7080</v>
      </c>
      <c r="D2938">
        <v>160466</v>
      </c>
      <c r="E2938" t="s">
        <v>27</v>
      </c>
      <c r="F2938" t="s">
        <v>7081</v>
      </c>
      <c r="G2938" s="1">
        <v>45004</v>
      </c>
    </row>
    <row r="2939" spans="1:7">
      <c r="A2939" t="s">
        <v>7082</v>
      </c>
      <c r="B2939">
        <v>130</v>
      </c>
      <c r="C2939" t="s">
        <v>7083</v>
      </c>
      <c r="D2939">
        <v>93079</v>
      </c>
      <c r="E2939" t="s">
        <v>12</v>
      </c>
      <c r="F2939">
        <f>1-348-953-5234</f>
        <v>-6534</v>
      </c>
      <c r="G2939" s="1">
        <v>45051</v>
      </c>
    </row>
    <row r="2940" spans="1:7">
      <c r="A2940" t="s">
        <v>7084</v>
      </c>
      <c r="B2940">
        <v>61</v>
      </c>
      <c r="C2940" t="s">
        <v>7085</v>
      </c>
      <c r="D2940">
        <v>178394</v>
      </c>
      <c r="E2940" t="s">
        <v>36</v>
      </c>
      <c r="F2940">
        <f>1-189-934-6598</f>
        <v>-7720</v>
      </c>
      <c r="G2940" s="1">
        <v>45154</v>
      </c>
    </row>
    <row r="2941" spans="1:7">
      <c r="A2941" t="s">
        <v>7086</v>
      </c>
      <c r="B2941">
        <v>53</v>
      </c>
      <c r="C2941" t="s">
        <v>7087</v>
      </c>
      <c r="D2941">
        <v>83364</v>
      </c>
      <c r="E2941" t="s">
        <v>12</v>
      </c>
      <c r="F2941" t="s">
        <v>7088</v>
      </c>
      <c r="G2941" s="1">
        <v>44969</v>
      </c>
    </row>
    <row r="2942" spans="1:7">
      <c r="A2942" t="s">
        <v>7089</v>
      </c>
      <c r="B2942">
        <v>31</v>
      </c>
      <c r="C2942" t="s">
        <v>7090</v>
      </c>
      <c r="D2942">
        <v>167293</v>
      </c>
      <c r="E2942" t="s">
        <v>9</v>
      </c>
      <c r="F2942" t="s">
        <v>7091</v>
      </c>
      <c r="G2942" s="1">
        <v>45015</v>
      </c>
    </row>
    <row r="2943" spans="1:7">
      <c r="A2943" t="s">
        <v>7092</v>
      </c>
      <c r="B2943">
        <v>250</v>
      </c>
      <c r="C2943" t="s">
        <v>7093</v>
      </c>
      <c r="D2943">
        <v>198798</v>
      </c>
      <c r="E2943" t="s">
        <v>9</v>
      </c>
      <c r="F2943" t="s">
        <v>7094</v>
      </c>
      <c r="G2943" s="1">
        <v>45107</v>
      </c>
    </row>
    <row r="2944" spans="1:7">
      <c r="A2944" t="s">
        <v>7095</v>
      </c>
      <c r="B2944">
        <v>24</v>
      </c>
      <c r="C2944" t="s">
        <v>7096</v>
      </c>
      <c r="D2944">
        <v>86116</v>
      </c>
      <c r="E2944" t="s">
        <v>27</v>
      </c>
      <c r="F2944">
        <f>1-771-305-1232</f>
        <v>-2307</v>
      </c>
      <c r="G2944" s="1">
        <v>45027</v>
      </c>
    </row>
    <row r="2945" spans="1:7">
      <c r="A2945" t="s">
        <v>7097</v>
      </c>
      <c r="B2945">
        <v>39</v>
      </c>
      <c r="C2945" t="s">
        <v>7098</v>
      </c>
      <c r="D2945">
        <v>69178</v>
      </c>
      <c r="E2945" t="s">
        <v>36</v>
      </c>
      <c r="F2945" t="s">
        <v>7099</v>
      </c>
      <c r="G2945" s="1">
        <v>44953</v>
      </c>
    </row>
    <row r="2946" spans="1:7">
      <c r="A2946" t="s">
        <v>7100</v>
      </c>
      <c r="B2946">
        <v>-100</v>
      </c>
      <c r="C2946" t="s">
        <v>7101</v>
      </c>
      <c r="D2946">
        <v>93217</v>
      </c>
      <c r="E2946" t="s">
        <v>9</v>
      </c>
      <c r="F2946">
        <f>1-829-178-2103</f>
        <v>-3109</v>
      </c>
      <c r="G2946" s="1">
        <v>44966</v>
      </c>
    </row>
    <row r="2947" spans="1:7">
      <c r="A2947" t="s">
        <v>7102</v>
      </c>
      <c r="B2947">
        <v>20</v>
      </c>
      <c r="C2947" t="s">
        <v>7103</v>
      </c>
      <c r="D2947">
        <v>30192</v>
      </c>
      <c r="E2947" t="s">
        <v>27</v>
      </c>
      <c r="F2947" t="s">
        <v>7104</v>
      </c>
      <c r="G2947" s="1">
        <v>45131</v>
      </c>
    </row>
    <row r="2948" spans="1:7">
      <c r="A2948" t="s">
        <v>7105</v>
      </c>
      <c r="B2948">
        <v>24</v>
      </c>
      <c r="C2948" t="s">
        <v>7106</v>
      </c>
      <c r="D2948">
        <v>130088</v>
      </c>
      <c r="E2948" t="s">
        <v>36</v>
      </c>
      <c r="F2948" t="s">
        <v>7107</v>
      </c>
      <c r="G2948" s="1">
        <v>44995</v>
      </c>
    </row>
    <row r="2949" spans="1:7">
      <c r="A2949" t="s">
        <v>7108</v>
      </c>
      <c r="B2949">
        <v>43</v>
      </c>
      <c r="C2949" t="s">
        <v>169</v>
      </c>
      <c r="D2949">
        <v>122759</v>
      </c>
      <c r="E2949" t="s">
        <v>9</v>
      </c>
      <c r="F2949" t="s">
        <v>7109</v>
      </c>
      <c r="G2949" s="1">
        <v>45287</v>
      </c>
    </row>
    <row r="2950" spans="1:7">
      <c r="B2950">
        <v>34</v>
      </c>
      <c r="C2950" t="s">
        <v>7110</v>
      </c>
      <c r="D2950">
        <v>58511</v>
      </c>
      <c r="E2950" t="s">
        <v>358</v>
      </c>
      <c r="F2950">
        <v>9234930973</v>
      </c>
      <c r="G2950" s="1">
        <v>45163</v>
      </c>
    </row>
    <row r="2951" spans="1:7">
      <c r="A2951" t="s">
        <v>7111</v>
      </c>
      <c r="B2951">
        <v>0</v>
      </c>
      <c r="C2951" t="s">
        <v>7112</v>
      </c>
      <c r="D2951">
        <v>108291</v>
      </c>
      <c r="E2951" t="s">
        <v>36</v>
      </c>
      <c r="F2951">
        <v>4683031554</v>
      </c>
      <c r="G2951" s="1">
        <v>44975</v>
      </c>
    </row>
    <row r="2952" spans="1:7">
      <c r="A2952" t="s">
        <v>7113</v>
      </c>
      <c r="B2952">
        <v>78</v>
      </c>
      <c r="C2952" t="s">
        <v>7114</v>
      </c>
      <c r="D2952">
        <v>78733</v>
      </c>
      <c r="E2952" t="s">
        <v>27</v>
      </c>
      <c r="F2952" t="s">
        <v>7115</v>
      </c>
      <c r="G2952" s="1">
        <v>45118</v>
      </c>
    </row>
    <row r="2953" spans="1:7">
      <c r="A2953" t="s">
        <v>7116</v>
      </c>
      <c r="B2953">
        <v>77</v>
      </c>
      <c r="C2953" t="s">
        <v>169</v>
      </c>
      <c r="D2953">
        <v>49008</v>
      </c>
      <c r="E2953" t="s">
        <v>9</v>
      </c>
      <c r="F2953" t="s">
        <v>7117</v>
      </c>
      <c r="G2953" s="1">
        <v>45026</v>
      </c>
    </row>
    <row r="2954" spans="1:7">
      <c r="A2954" t="s">
        <v>7118</v>
      </c>
      <c r="B2954">
        <v>150</v>
      </c>
      <c r="C2954" t="s">
        <v>7119</v>
      </c>
      <c r="D2954">
        <v>130422</v>
      </c>
      <c r="E2954" t="s">
        <v>36</v>
      </c>
      <c r="G2954" s="1">
        <v>45210</v>
      </c>
    </row>
    <row r="2955" spans="1:7">
      <c r="A2955" t="s">
        <v>6088</v>
      </c>
      <c r="B2955">
        <v>79</v>
      </c>
      <c r="D2955">
        <v>0</v>
      </c>
      <c r="E2955" t="s">
        <v>12</v>
      </c>
      <c r="F2955">
        <f>1-413-400-7571</f>
        <v>-8383</v>
      </c>
      <c r="G2955" s="1">
        <v>45165</v>
      </c>
    </row>
    <row r="2956" spans="1:7">
      <c r="A2956" t="s">
        <v>7120</v>
      </c>
      <c r="B2956">
        <v>21</v>
      </c>
      <c r="C2956" t="s">
        <v>7121</v>
      </c>
      <c r="D2956">
        <v>179092</v>
      </c>
      <c r="E2956" t="s">
        <v>27</v>
      </c>
      <c r="F2956" t="s">
        <v>7122</v>
      </c>
      <c r="G2956" s="1">
        <v>45211</v>
      </c>
    </row>
    <row r="2957" spans="1:7">
      <c r="A2957" t="s">
        <v>7123</v>
      </c>
      <c r="B2957">
        <v>50</v>
      </c>
      <c r="C2957" t="s">
        <v>7124</v>
      </c>
      <c r="D2957">
        <v>124533</v>
      </c>
      <c r="E2957" t="s">
        <v>27</v>
      </c>
      <c r="F2957">
        <f>1-695-591-3824</f>
        <v>-5109</v>
      </c>
      <c r="G2957" s="1">
        <v>45156</v>
      </c>
    </row>
    <row r="2958" spans="1:7">
      <c r="A2958" t="s">
        <v>7125</v>
      </c>
      <c r="B2958">
        <v>75</v>
      </c>
      <c r="C2958" t="s">
        <v>7126</v>
      </c>
      <c r="D2958">
        <v>163653</v>
      </c>
      <c r="E2958" t="s">
        <v>294</v>
      </c>
      <c r="F2958">
        <v>1436611598</v>
      </c>
      <c r="G2958" s="1">
        <v>45117</v>
      </c>
    </row>
    <row r="2959" spans="1:7">
      <c r="A2959" t="s">
        <v>6801</v>
      </c>
      <c r="B2959">
        <v>51</v>
      </c>
      <c r="C2959" t="s">
        <v>7127</v>
      </c>
      <c r="D2959">
        <v>106872</v>
      </c>
      <c r="E2959" t="s">
        <v>12</v>
      </c>
      <c r="F2959" t="s">
        <v>7128</v>
      </c>
      <c r="G2959" s="1">
        <v>44998</v>
      </c>
    </row>
    <row r="2960" spans="1:7">
      <c r="A2960" t="s">
        <v>7129</v>
      </c>
      <c r="B2960">
        <v>43</v>
      </c>
      <c r="C2960" t="s">
        <v>7130</v>
      </c>
      <c r="D2960">
        <v>53989</v>
      </c>
      <c r="E2960" t="s">
        <v>36</v>
      </c>
      <c r="F2960">
        <v>4480721612</v>
      </c>
      <c r="G2960" s="1">
        <v>45102</v>
      </c>
    </row>
    <row r="2961" spans="1:7">
      <c r="A2961" t="s">
        <v>7131</v>
      </c>
      <c r="B2961">
        <v>0</v>
      </c>
      <c r="C2961" t="s">
        <v>7132</v>
      </c>
      <c r="D2961">
        <v>82335</v>
      </c>
      <c r="E2961" t="s">
        <v>9</v>
      </c>
      <c r="F2961" t="s">
        <v>7133</v>
      </c>
      <c r="G2961" s="1">
        <v>45263</v>
      </c>
    </row>
    <row r="2962" spans="1:7">
      <c r="A2962" t="s">
        <v>7134</v>
      </c>
      <c r="B2962">
        <v>42</v>
      </c>
      <c r="C2962" t="s">
        <v>169</v>
      </c>
      <c r="D2962">
        <v>63783</v>
      </c>
      <c r="E2962" t="s">
        <v>36</v>
      </c>
      <c r="F2962">
        <f>1-316-927-6129</f>
        <v>-7371</v>
      </c>
      <c r="G2962" s="1">
        <v>45221</v>
      </c>
    </row>
    <row r="2963" spans="1:7">
      <c r="A2963" t="s">
        <v>7135</v>
      </c>
      <c r="B2963">
        <v>55</v>
      </c>
      <c r="D2963">
        <v>137594</v>
      </c>
      <c r="E2963" t="s">
        <v>27</v>
      </c>
      <c r="F2963" t="s">
        <v>7136</v>
      </c>
      <c r="G2963" s="1">
        <v>45012</v>
      </c>
    </row>
    <row r="2964" spans="1:7">
      <c r="A2964" t="s">
        <v>7137</v>
      </c>
      <c r="B2964">
        <v>79</v>
      </c>
      <c r="C2964" t="s">
        <v>7138</v>
      </c>
      <c r="D2964">
        <v>135982</v>
      </c>
      <c r="E2964" t="s">
        <v>12</v>
      </c>
      <c r="F2964">
        <f>1-209-166-4471</f>
        <v>-4845</v>
      </c>
      <c r="G2964" s="1">
        <v>45045</v>
      </c>
    </row>
    <row r="2965" spans="1:7">
      <c r="A2965" t="s">
        <v>7139</v>
      </c>
      <c r="B2965">
        <v>32</v>
      </c>
      <c r="C2965" t="s">
        <v>7140</v>
      </c>
      <c r="D2965">
        <v>74980</v>
      </c>
      <c r="E2965" t="s">
        <v>9</v>
      </c>
      <c r="F2965" t="s">
        <v>7141</v>
      </c>
      <c r="G2965" s="1">
        <v>45171</v>
      </c>
    </row>
    <row r="2966" spans="1:7">
      <c r="A2966" t="s">
        <v>7142</v>
      </c>
      <c r="B2966">
        <v>0</v>
      </c>
      <c r="C2966" t="s">
        <v>7143</v>
      </c>
      <c r="D2966">
        <v>75124</v>
      </c>
      <c r="E2966" t="s">
        <v>27</v>
      </c>
      <c r="F2966" t="s">
        <v>7144</v>
      </c>
      <c r="G2966" s="1">
        <v>45233</v>
      </c>
    </row>
    <row r="2967" spans="1:7">
      <c r="A2967" t="s">
        <v>7145</v>
      </c>
      <c r="B2967">
        <v>66</v>
      </c>
      <c r="C2967" t="s">
        <v>7146</v>
      </c>
      <c r="D2967">
        <v>103369</v>
      </c>
      <c r="E2967" t="s">
        <v>9</v>
      </c>
      <c r="F2967" t="s">
        <v>7147</v>
      </c>
      <c r="G2967" s="1">
        <v>44941</v>
      </c>
    </row>
    <row r="2968" spans="1:7">
      <c r="A2968" t="s">
        <v>7148</v>
      </c>
      <c r="B2968">
        <v>40</v>
      </c>
      <c r="C2968" t="s">
        <v>7149</v>
      </c>
      <c r="E2968" t="s">
        <v>9</v>
      </c>
      <c r="F2968" t="s">
        <v>7150</v>
      </c>
      <c r="G2968" s="1">
        <v>45276</v>
      </c>
    </row>
    <row r="2969" spans="1:7">
      <c r="A2969" t="s">
        <v>4913</v>
      </c>
      <c r="B2969">
        <v>53</v>
      </c>
      <c r="C2969" t="s">
        <v>7151</v>
      </c>
      <c r="D2969">
        <v>38026</v>
      </c>
      <c r="E2969" t="s">
        <v>27</v>
      </c>
      <c r="F2969" t="s">
        <v>7152</v>
      </c>
      <c r="G2969" s="1">
        <v>45225</v>
      </c>
    </row>
    <row r="2970" spans="1:7">
      <c r="A2970" t="s">
        <v>7153</v>
      </c>
      <c r="B2970">
        <v>66</v>
      </c>
      <c r="C2970" t="s">
        <v>7154</v>
      </c>
      <c r="D2970">
        <v>0</v>
      </c>
      <c r="E2970" t="s">
        <v>12</v>
      </c>
      <c r="F2970" t="s">
        <v>7155</v>
      </c>
      <c r="G2970" s="1">
        <v>45153</v>
      </c>
    </row>
    <row r="2971" spans="1:7">
      <c r="A2971" t="s">
        <v>7156</v>
      </c>
      <c r="B2971">
        <v>72</v>
      </c>
      <c r="D2971">
        <v>171835</v>
      </c>
      <c r="E2971" t="s">
        <v>27</v>
      </c>
      <c r="F2971">
        <v>5998943805</v>
      </c>
      <c r="G2971" s="1">
        <v>45038</v>
      </c>
    </row>
    <row r="2972" spans="1:7">
      <c r="A2972" t="s">
        <v>7157</v>
      </c>
      <c r="B2972">
        <v>32</v>
      </c>
      <c r="C2972" t="s">
        <v>7158</v>
      </c>
      <c r="D2972">
        <v>110165</v>
      </c>
      <c r="E2972" t="s">
        <v>36</v>
      </c>
      <c r="F2972" t="s">
        <v>7159</v>
      </c>
      <c r="G2972" s="1">
        <v>45068</v>
      </c>
    </row>
    <row r="2973" spans="1:7">
      <c r="A2973" t="s">
        <v>7160</v>
      </c>
      <c r="B2973">
        <v>52</v>
      </c>
      <c r="C2973" t="s">
        <v>7161</v>
      </c>
      <c r="D2973">
        <v>109878</v>
      </c>
      <c r="E2973" t="s">
        <v>9</v>
      </c>
      <c r="F2973">
        <v>9159416252</v>
      </c>
      <c r="G2973" t="s">
        <v>493</v>
      </c>
    </row>
    <row r="2974" spans="1:7">
      <c r="A2974" t="s">
        <v>7162</v>
      </c>
      <c r="B2974">
        <v>0</v>
      </c>
      <c r="C2974" t="s">
        <v>7163</v>
      </c>
      <c r="D2974">
        <v>185976</v>
      </c>
      <c r="E2974" t="s">
        <v>36</v>
      </c>
      <c r="F2974" t="s">
        <v>7164</v>
      </c>
      <c r="G2974" s="1">
        <v>45247</v>
      </c>
    </row>
    <row r="2975" spans="1:7">
      <c r="A2975" t="s">
        <v>7165</v>
      </c>
      <c r="B2975">
        <v>51</v>
      </c>
      <c r="C2975" t="s">
        <v>7166</v>
      </c>
      <c r="D2975">
        <v>170167</v>
      </c>
      <c r="E2975" t="s">
        <v>12</v>
      </c>
      <c r="F2975" t="s">
        <v>7167</v>
      </c>
      <c r="G2975" t="s">
        <v>483</v>
      </c>
    </row>
    <row r="2976" spans="1:7">
      <c r="A2976" t="s">
        <v>7168</v>
      </c>
      <c r="B2976">
        <v>50</v>
      </c>
      <c r="D2976">
        <v>-1000</v>
      </c>
      <c r="E2976" t="s">
        <v>9</v>
      </c>
      <c r="G2976" s="1">
        <v>44983</v>
      </c>
    </row>
    <row r="2977" spans="1:7">
      <c r="A2977" t="s">
        <v>7169</v>
      </c>
      <c r="B2977">
        <v>72</v>
      </c>
      <c r="C2977" t="s">
        <v>7170</v>
      </c>
      <c r="D2977">
        <v>169227</v>
      </c>
      <c r="E2977" t="s">
        <v>9</v>
      </c>
      <c r="F2977">
        <v>5930425078</v>
      </c>
      <c r="G2977" s="1">
        <v>45144</v>
      </c>
    </row>
    <row r="2978" spans="1:7">
      <c r="A2978" t="s">
        <v>7171</v>
      </c>
      <c r="B2978">
        <v>31</v>
      </c>
      <c r="C2978" t="s">
        <v>169</v>
      </c>
      <c r="D2978">
        <v>71830</v>
      </c>
      <c r="E2978" t="s">
        <v>9</v>
      </c>
      <c r="G2978" s="1">
        <v>44995</v>
      </c>
    </row>
    <row r="2979" spans="1:7">
      <c r="A2979" t="s">
        <v>7172</v>
      </c>
      <c r="B2979">
        <v>46</v>
      </c>
      <c r="C2979" t="s">
        <v>7173</v>
      </c>
      <c r="D2979">
        <v>36305</v>
      </c>
      <c r="E2979" t="s">
        <v>9</v>
      </c>
      <c r="F2979" t="s">
        <v>7174</v>
      </c>
      <c r="G2979" s="1">
        <v>44945</v>
      </c>
    </row>
    <row r="2980" spans="1:7">
      <c r="A2980" t="s">
        <v>7175</v>
      </c>
      <c r="B2980">
        <v>31</v>
      </c>
      <c r="D2980">
        <v>180653</v>
      </c>
      <c r="E2980" t="s">
        <v>36</v>
      </c>
      <c r="F2980" t="s">
        <v>7176</v>
      </c>
      <c r="G2980" s="1">
        <v>45043</v>
      </c>
    </row>
    <row r="2981" spans="1:7">
      <c r="A2981" t="s">
        <v>7177</v>
      </c>
      <c r="B2981">
        <v>32</v>
      </c>
      <c r="C2981" t="s">
        <v>7178</v>
      </c>
      <c r="D2981">
        <v>185063</v>
      </c>
      <c r="E2981" t="s">
        <v>27</v>
      </c>
      <c r="F2981" t="s">
        <v>7179</v>
      </c>
      <c r="G2981" s="1">
        <v>45158</v>
      </c>
    </row>
    <row r="2982" spans="1:7">
      <c r="A2982" t="s">
        <v>7180</v>
      </c>
      <c r="B2982">
        <v>-5</v>
      </c>
      <c r="C2982" t="s">
        <v>7181</v>
      </c>
      <c r="D2982">
        <v>30717</v>
      </c>
      <c r="E2982" t="s">
        <v>27</v>
      </c>
      <c r="F2982" t="s">
        <v>7182</v>
      </c>
      <c r="G2982" s="1">
        <v>45160</v>
      </c>
    </row>
    <row r="2983" spans="1:7">
      <c r="A2983" t="s">
        <v>7183</v>
      </c>
      <c r="B2983">
        <v>22</v>
      </c>
      <c r="C2983" t="s">
        <v>7184</v>
      </c>
      <c r="D2983">
        <v>166491</v>
      </c>
      <c r="E2983" t="s">
        <v>27</v>
      </c>
      <c r="F2983" t="s">
        <v>7185</v>
      </c>
      <c r="G2983" s="1">
        <v>45120</v>
      </c>
    </row>
    <row r="2984" spans="1:7">
      <c r="A2984" t="s">
        <v>7186</v>
      </c>
      <c r="B2984">
        <v>41</v>
      </c>
      <c r="C2984" t="s">
        <v>7187</v>
      </c>
      <c r="D2984">
        <v>149042</v>
      </c>
      <c r="E2984" t="s">
        <v>49</v>
      </c>
      <c r="F2984" t="s">
        <v>7188</v>
      </c>
      <c r="G2984" s="1">
        <v>45183</v>
      </c>
    </row>
    <row r="2985" spans="1:7">
      <c r="A2985" t="s">
        <v>7189</v>
      </c>
      <c r="B2985">
        <v>64</v>
      </c>
      <c r="C2985" t="s">
        <v>7190</v>
      </c>
      <c r="D2985">
        <v>192947</v>
      </c>
      <c r="E2985" t="s">
        <v>12</v>
      </c>
      <c r="F2985" t="s">
        <v>7191</v>
      </c>
      <c r="G2985" s="1">
        <v>45228</v>
      </c>
    </row>
    <row r="2986" spans="1:7">
      <c r="A2986" t="s">
        <v>7192</v>
      </c>
      <c r="B2986">
        <v>24</v>
      </c>
      <c r="C2986" t="s">
        <v>7193</v>
      </c>
      <c r="D2986">
        <v>172867</v>
      </c>
      <c r="E2986" t="s">
        <v>9</v>
      </c>
      <c r="F2986" t="s">
        <v>7194</v>
      </c>
      <c r="G2986" s="1">
        <v>45141</v>
      </c>
    </row>
    <row r="2987" spans="1:7">
      <c r="A2987" t="s">
        <v>7195</v>
      </c>
      <c r="B2987">
        <v>53</v>
      </c>
      <c r="C2987" t="s">
        <v>7196</v>
      </c>
      <c r="D2987">
        <v>186635</v>
      </c>
      <c r="E2987" t="s">
        <v>9</v>
      </c>
      <c r="F2987" t="s">
        <v>7197</v>
      </c>
      <c r="G2987" s="1">
        <v>45279</v>
      </c>
    </row>
    <row r="2988" spans="1:7">
      <c r="A2988" t="s">
        <v>123</v>
      </c>
      <c r="B2988">
        <v>200</v>
      </c>
      <c r="C2988" t="s">
        <v>7198</v>
      </c>
      <c r="D2988">
        <v>106240</v>
      </c>
      <c r="E2988" t="s">
        <v>36</v>
      </c>
      <c r="F2988">
        <v>5825033229</v>
      </c>
      <c r="G2988" t="s">
        <v>180</v>
      </c>
    </row>
    <row r="2989" spans="1:7">
      <c r="A2989" t="s">
        <v>7199</v>
      </c>
      <c r="B2989">
        <v>40</v>
      </c>
      <c r="C2989" t="s">
        <v>7200</v>
      </c>
      <c r="D2989">
        <v>79156</v>
      </c>
      <c r="E2989" t="s">
        <v>27</v>
      </c>
      <c r="F2989" t="s">
        <v>7201</v>
      </c>
      <c r="G2989" s="1">
        <v>45085</v>
      </c>
    </row>
    <row r="2990" spans="1:7">
      <c r="A2990" t="s">
        <v>7202</v>
      </c>
      <c r="B2990">
        <v>130</v>
      </c>
      <c r="C2990" t="s">
        <v>7203</v>
      </c>
      <c r="D2990">
        <v>122446</v>
      </c>
      <c r="E2990" t="s">
        <v>12</v>
      </c>
      <c r="F2990" t="s">
        <v>7204</v>
      </c>
      <c r="G2990" s="1">
        <v>45177</v>
      </c>
    </row>
    <row r="2991" spans="1:7">
      <c r="A2991" t="s">
        <v>7205</v>
      </c>
      <c r="B2991">
        <v>42</v>
      </c>
      <c r="C2991" t="s">
        <v>7206</v>
      </c>
      <c r="D2991">
        <v>54976</v>
      </c>
      <c r="E2991" t="s">
        <v>27</v>
      </c>
      <c r="G2991" s="1">
        <v>45105</v>
      </c>
    </row>
    <row r="2992" spans="1:7">
      <c r="A2992" t="s">
        <v>7207</v>
      </c>
      <c r="C2992" t="s">
        <v>7208</v>
      </c>
      <c r="D2992">
        <v>151866</v>
      </c>
      <c r="F2992" t="s">
        <v>7209</v>
      </c>
      <c r="G2992" s="1">
        <v>45174</v>
      </c>
    </row>
    <row r="2993" spans="1:7">
      <c r="A2993" t="s">
        <v>7210</v>
      </c>
      <c r="B2993">
        <v>-999</v>
      </c>
      <c r="C2993" t="s">
        <v>531</v>
      </c>
      <c r="D2993">
        <v>-1</v>
      </c>
      <c r="E2993" t="s">
        <v>532</v>
      </c>
      <c r="G2993" t="s">
        <v>493</v>
      </c>
    </row>
    <row r="2994" spans="1:7">
      <c r="B2994">
        <v>73</v>
      </c>
      <c r="C2994" t="s">
        <v>7211</v>
      </c>
      <c r="E2994" t="s">
        <v>9</v>
      </c>
      <c r="F2994">
        <f>1-923-912-2415</f>
        <v>-4249</v>
      </c>
      <c r="G2994" s="1">
        <v>45111</v>
      </c>
    </row>
    <row r="2995" spans="1:7">
      <c r="A2995" t="s">
        <v>79</v>
      </c>
      <c r="B2995">
        <v>41</v>
      </c>
      <c r="C2995" t="s">
        <v>7212</v>
      </c>
      <c r="D2995">
        <v>101126</v>
      </c>
      <c r="E2995" t="s">
        <v>12</v>
      </c>
      <c r="G2995" s="1">
        <v>45246</v>
      </c>
    </row>
    <row r="2996" spans="1:7">
      <c r="B2996">
        <v>18</v>
      </c>
      <c r="C2996" t="s">
        <v>7213</v>
      </c>
      <c r="D2996">
        <v>139430</v>
      </c>
      <c r="E2996" t="s">
        <v>27</v>
      </c>
      <c r="F2996" t="s">
        <v>7214</v>
      </c>
      <c r="G2996" s="1">
        <v>44942</v>
      </c>
    </row>
    <row r="2997" spans="1:7">
      <c r="A2997" t="s">
        <v>6362</v>
      </c>
      <c r="B2997">
        <v>999</v>
      </c>
      <c r="C2997" t="s">
        <v>7215</v>
      </c>
      <c r="D2997">
        <v>99443</v>
      </c>
      <c r="E2997" t="s">
        <v>36</v>
      </c>
      <c r="F2997" t="s">
        <v>7216</v>
      </c>
      <c r="G2997" s="1">
        <v>45154</v>
      </c>
    </row>
    <row r="2998" spans="1:7">
      <c r="A2998" t="s">
        <v>7217</v>
      </c>
      <c r="B2998">
        <v>20</v>
      </c>
      <c r="C2998" t="s">
        <v>7218</v>
      </c>
      <c r="D2998">
        <v>197248</v>
      </c>
      <c r="E2998" t="s">
        <v>9</v>
      </c>
      <c r="F2998">
        <v>7301985407</v>
      </c>
      <c r="G2998" s="1">
        <v>45187</v>
      </c>
    </row>
    <row r="2999" spans="1:7">
      <c r="A2999" t="s">
        <v>7219</v>
      </c>
      <c r="B2999">
        <v>28</v>
      </c>
      <c r="C2999" t="s">
        <v>7220</v>
      </c>
      <c r="E2999" t="s">
        <v>12</v>
      </c>
      <c r="G2999" s="1">
        <v>45207</v>
      </c>
    </row>
    <row r="3000" spans="1:7">
      <c r="A3000" t="s">
        <v>7221</v>
      </c>
      <c r="B3000">
        <v>21</v>
      </c>
      <c r="C3000" t="s">
        <v>7222</v>
      </c>
      <c r="D3000">
        <v>53147</v>
      </c>
      <c r="E3000" t="s">
        <v>12</v>
      </c>
      <c r="F3000">
        <f>1-553-757-7736</f>
        <v>-9045</v>
      </c>
      <c r="G3000" s="1">
        <v>45031</v>
      </c>
    </row>
    <row r="3001" spans="1:7">
      <c r="B3001">
        <v>53</v>
      </c>
      <c r="C3001" t="s">
        <v>7223</v>
      </c>
      <c r="D3001">
        <v>71139</v>
      </c>
      <c r="E3001" t="s">
        <v>9</v>
      </c>
      <c r="F3001">
        <v>2147210900</v>
      </c>
      <c r="G3001" s="1">
        <v>45277</v>
      </c>
    </row>
    <row r="3002" spans="1:7">
      <c r="A3002" t="s">
        <v>7224</v>
      </c>
      <c r="B3002">
        <v>61</v>
      </c>
      <c r="C3002" t="s">
        <v>7225</v>
      </c>
      <c r="D3002">
        <v>90186</v>
      </c>
      <c r="E3002" t="s">
        <v>9</v>
      </c>
      <c r="F3002" t="s">
        <v>7226</v>
      </c>
      <c r="G3002" s="1">
        <v>45072</v>
      </c>
    </row>
    <row r="3003" spans="1:7">
      <c r="A3003" t="s">
        <v>7227</v>
      </c>
      <c r="B3003">
        <v>28</v>
      </c>
      <c r="C3003" t="s">
        <v>445</v>
      </c>
      <c r="D3003">
        <v>70633</v>
      </c>
      <c r="E3003" t="s">
        <v>27</v>
      </c>
      <c r="F3003" t="s">
        <v>7228</v>
      </c>
      <c r="G3003" s="1">
        <v>45137</v>
      </c>
    </row>
    <row r="3004" spans="1:7">
      <c r="A3004" t="s">
        <v>7229</v>
      </c>
      <c r="B3004">
        <v>41</v>
      </c>
      <c r="C3004" t="s">
        <v>7230</v>
      </c>
      <c r="E3004" t="s">
        <v>36</v>
      </c>
      <c r="F3004" t="s">
        <v>7231</v>
      </c>
      <c r="G3004" s="1">
        <v>45107</v>
      </c>
    </row>
    <row r="3005" spans="1:7">
      <c r="A3005" t="s">
        <v>7232</v>
      </c>
      <c r="B3005">
        <v>51</v>
      </c>
      <c r="C3005" t="s">
        <v>7233</v>
      </c>
      <c r="D3005">
        <v>129468</v>
      </c>
      <c r="E3005" t="s">
        <v>36</v>
      </c>
      <c r="G3005" s="1">
        <v>45118</v>
      </c>
    </row>
    <row r="3006" spans="1:7">
      <c r="A3006" t="s">
        <v>7234</v>
      </c>
      <c r="B3006">
        <v>42</v>
      </c>
      <c r="C3006" t="s">
        <v>7235</v>
      </c>
      <c r="D3006">
        <v>95333</v>
      </c>
      <c r="E3006" t="s">
        <v>9</v>
      </c>
      <c r="F3006" t="s">
        <v>7236</v>
      </c>
      <c r="G3006" s="1">
        <v>45211</v>
      </c>
    </row>
    <row r="3007" spans="1:7">
      <c r="A3007" t="s">
        <v>7237</v>
      </c>
      <c r="B3007">
        <v>21</v>
      </c>
      <c r="C3007" t="s">
        <v>7238</v>
      </c>
      <c r="D3007">
        <v>85856</v>
      </c>
      <c r="E3007" t="s">
        <v>12</v>
      </c>
      <c r="F3007">
        <f>1-571-939-9856</f>
        <v>-11365</v>
      </c>
      <c r="G3007" s="1">
        <v>45066</v>
      </c>
    </row>
    <row r="3008" spans="1:7">
      <c r="A3008" t="s">
        <v>7239</v>
      </c>
      <c r="B3008">
        <v>43</v>
      </c>
      <c r="C3008" t="s">
        <v>7240</v>
      </c>
      <c r="D3008">
        <v>136471</v>
      </c>
      <c r="E3008" t="s">
        <v>9</v>
      </c>
      <c r="F3008">
        <f>1-472-176-9163</f>
        <v>-9810</v>
      </c>
      <c r="G3008" s="1">
        <v>44962</v>
      </c>
    </row>
    <row r="3009" spans="1:7">
      <c r="A3009" t="s">
        <v>7241</v>
      </c>
      <c r="B3009">
        <v>50</v>
      </c>
      <c r="C3009" t="s">
        <v>7242</v>
      </c>
      <c r="E3009" t="s">
        <v>36</v>
      </c>
      <c r="F3009" t="s">
        <v>7243</v>
      </c>
      <c r="G3009" s="1">
        <v>45182</v>
      </c>
    </row>
    <row r="3010" spans="1:7">
      <c r="A3010" t="s">
        <v>7244</v>
      </c>
      <c r="B3010">
        <v>-100</v>
      </c>
      <c r="C3010" t="s">
        <v>7245</v>
      </c>
      <c r="E3010" t="s">
        <v>9</v>
      </c>
      <c r="F3010" t="s">
        <v>7246</v>
      </c>
      <c r="G3010" s="1">
        <v>44934</v>
      </c>
    </row>
    <row r="3011" spans="1:7">
      <c r="A3011" t="s">
        <v>7247</v>
      </c>
      <c r="B3011">
        <v>68</v>
      </c>
      <c r="C3011" t="s">
        <v>7248</v>
      </c>
      <c r="D3011">
        <v>175406</v>
      </c>
      <c r="E3011" t="s">
        <v>12</v>
      </c>
      <c r="F3011" t="s">
        <v>7249</v>
      </c>
      <c r="G3011" t="s">
        <v>301</v>
      </c>
    </row>
    <row r="3012" spans="1:7">
      <c r="A3012" t="s">
        <v>7250</v>
      </c>
      <c r="B3012">
        <v>62</v>
      </c>
      <c r="C3012" t="s">
        <v>7251</v>
      </c>
      <c r="D3012">
        <v>153099</v>
      </c>
      <c r="E3012" t="s">
        <v>9</v>
      </c>
      <c r="F3012" t="s">
        <v>7252</v>
      </c>
      <c r="G3012" s="1">
        <v>45165</v>
      </c>
    </row>
    <row r="3013" spans="1:7">
      <c r="A3013" t="s">
        <v>7253</v>
      </c>
      <c r="B3013">
        <v>20</v>
      </c>
      <c r="C3013" t="s">
        <v>299</v>
      </c>
      <c r="E3013" t="s">
        <v>9</v>
      </c>
      <c r="F3013">
        <v>1335079305</v>
      </c>
      <c r="G3013" s="1">
        <v>45075</v>
      </c>
    </row>
    <row r="3014" spans="1:7">
      <c r="A3014" t="s">
        <v>7254</v>
      </c>
      <c r="B3014">
        <v>200</v>
      </c>
      <c r="C3014" t="s">
        <v>7255</v>
      </c>
      <c r="D3014">
        <v>110077</v>
      </c>
      <c r="E3014" t="s">
        <v>36</v>
      </c>
      <c r="F3014" t="s">
        <v>7256</v>
      </c>
      <c r="G3014" s="1">
        <v>45270</v>
      </c>
    </row>
    <row r="3015" spans="1:7">
      <c r="A3015" t="s">
        <v>7257</v>
      </c>
      <c r="B3015">
        <v>21</v>
      </c>
      <c r="E3015" t="s">
        <v>9</v>
      </c>
      <c r="F3015" t="s">
        <v>7258</v>
      </c>
      <c r="G3015" s="1">
        <v>45182</v>
      </c>
    </row>
    <row r="3016" spans="1:7">
      <c r="A3016" t="s">
        <v>7259</v>
      </c>
      <c r="B3016">
        <v>500</v>
      </c>
      <c r="C3016" t="s">
        <v>7260</v>
      </c>
      <c r="D3016">
        <v>117838</v>
      </c>
      <c r="E3016" t="s">
        <v>9</v>
      </c>
      <c r="F3016" t="s">
        <v>7261</v>
      </c>
      <c r="G3016" s="1">
        <v>44994</v>
      </c>
    </row>
    <row r="3017" spans="1:7">
      <c r="A3017" t="s">
        <v>7262</v>
      </c>
      <c r="B3017">
        <v>35</v>
      </c>
      <c r="D3017">
        <v>172157</v>
      </c>
      <c r="E3017" t="s">
        <v>9</v>
      </c>
      <c r="F3017" t="s">
        <v>7263</v>
      </c>
      <c r="G3017" s="1">
        <v>44932</v>
      </c>
    </row>
    <row r="3018" spans="1:7">
      <c r="A3018" t="s">
        <v>7264</v>
      </c>
      <c r="B3018">
        <v>27</v>
      </c>
      <c r="C3018" t="s">
        <v>7265</v>
      </c>
      <c r="D3018">
        <v>30294</v>
      </c>
      <c r="E3018" t="s">
        <v>27</v>
      </c>
      <c r="F3018" t="s">
        <v>7266</v>
      </c>
      <c r="G3018" s="1">
        <v>45252</v>
      </c>
    </row>
    <row r="3019" spans="1:7">
      <c r="A3019" t="s">
        <v>7267</v>
      </c>
      <c r="B3019">
        <v>57</v>
      </c>
      <c r="C3019" t="s">
        <v>7268</v>
      </c>
      <c r="D3019">
        <v>75740</v>
      </c>
      <c r="E3019" t="s">
        <v>36</v>
      </c>
      <c r="F3019" t="s">
        <v>7269</v>
      </c>
      <c r="G3019" s="1">
        <v>44933</v>
      </c>
    </row>
    <row r="3020" spans="1:7">
      <c r="A3020" t="s">
        <v>7270</v>
      </c>
      <c r="B3020">
        <v>22</v>
      </c>
      <c r="C3020" t="s">
        <v>7271</v>
      </c>
      <c r="D3020">
        <v>142333</v>
      </c>
      <c r="E3020" t="s">
        <v>36</v>
      </c>
      <c r="F3020">
        <v>2157960656</v>
      </c>
      <c r="G3020" s="1">
        <v>45200</v>
      </c>
    </row>
    <row r="3021" spans="1:7">
      <c r="A3021" t="s">
        <v>7272</v>
      </c>
      <c r="B3021">
        <v>47</v>
      </c>
      <c r="D3021">
        <v>116598</v>
      </c>
      <c r="E3021" t="s">
        <v>12</v>
      </c>
      <c r="F3021">
        <v>8698070838</v>
      </c>
      <c r="G3021" s="1">
        <v>44939</v>
      </c>
    </row>
    <row r="3022" spans="1:7">
      <c r="A3022" t="s">
        <v>7273</v>
      </c>
      <c r="B3022">
        <v>38</v>
      </c>
      <c r="C3022" t="s">
        <v>7274</v>
      </c>
      <c r="D3022">
        <v>77997</v>
      </c>
      <c r="E3022" t="s">
        <v>27</v>
      </c>
      <c r="F3022" t="s">
        <v>7275</v>
      </c>
      <c r="G3022" s="1">
        <v>45219</v>
      </c>
    </row>
    <row r="3023" spans="1:7">
      <c r="A3023" t="s">
        <v>7276</v>
      </c>
      <c r="B3023">
        <v>76</v>
      </c>
      <c r="C3023" t="s">
        <v>7277</v>
      </c>
      <c r="D3023">
        <v>153711</v>
      </c>
      <c r="E3023" t="s">
        <v>27</v>
      </c>
      <c r="F3023" t="s">
        <v>7278</v>
      </c>
      <c r="G3023" s="1">
        <v>44969</v>
      </c>
    </row>
    <row r="3024" spans="1:7">
      <c r="A3024" t="s">
        <v>7279</v>
      </c>
      <c r="B3024">
        <v>76</v>
      </c>
      <c r="C3024" t="s">
        <v>7280</v>
      </c>
      <c r="D3024">
        <v>196963</v>
      </c>
      <c r="E3024" t="s">
        <v>12</v>
      </c>
      <c r="G3024" s="1">
        <v>45024</v>
      </c>
    </row>
    <row r="3025" spans="1:7">
      <c r="A3025" t="s">
        <v>7281</v>
      </c>
      <c r="B3025">
        <v>44</v>
      </c>
      <c r="D3025">
        <v>89902</v>
      </c>
      <c r="E3025" t="s">
        <v>12</v>
      </c>
      <c r="F3025" t="s">
        <v>7282</v>
      </c>
      <c r="G3025" t="s">
        <v>422</v>
      </c>
    </row>
    <row r="3026" spans="1:7">
      <c r="A3026" t="s">
        <v>7283</v>
      </c>
      <c r="B3026">
        <v>-25</v>
      </c>
      <c r="C3026" t="s">
        <v>7284</v>
      </c>
      <c r="D3026">
        <v>70096</v>
      </c>
      <c r="E3026" t="s">
        <v>27</v>
      </c>
      <c r="F3026">
        <v>2774920001</v>
      </c>
      <c r="G3026" s="1">
        <v>45130</v>
      </c>
    </row>
    <row r="3027" spans="1:7">
      <c r="A3027" t="s">
        <v>7285</v>
      </c>
      <c r="B3027">
        <v>52</v>
      </c>
      <c r="C3027" t="s">
        <v>61</v>
      </c>
      <c r="E3027" t="s">
        <v>36</v>
      </c>
      <c r="F3027" t="s">
        <v>7286</v>
      </c>
      <c r="G3027" s="1">
        <v>45181</v>
      </c>
    </row>
    <row r="3028" spans="1:7">
      <c r="A3028" t="s">
        <v>7287</v>
      </c>
      <c r="B3028">
        <v>250</v>
      </c>
      <c r="D3028">
        <v>66182</v>
      </c>
      <c r="E3028" t="s">
        <v>36</v>
      </c>
      <c r="F3028" t="s">
        <v>7288</v>
      </c>
      <c r="G3028" s="1">
        <v>44989</v>
      </c>
    </row>
    <row r="3029" spans="1:7">
      <c r="A3029" t="s">
        <v>7289</v>
      </c>
      <c r="B3029">
        <v>37</v>
      </c>
      <c r="C3029" t="s">
        <v>7290</v>
      </c>
      <c r="D3029">
        <v>0</v>
      </c>
      <c r="E3029" t="s">
        <v>873</v>
      </c>
      <c r="F3029" t="s">
        <v>7291</v>
      </c>
      <c r="G3029" s="1">
        <v>45268</v>
      </c>
    </row>
    <row r="3030" spans="1:7">
      <c r="A3030" t="s">
        <v>7292</v>
      </c>
      <c r="B3030">
        <v>64</v>
      </c>
      <c r="C3030" t="s">
        <v>7293</v>
      </c>
      <c r="D3030">
        <v>145945</v>
      </c>
      <c r="E3030" t="s">
        <v>12</v>
      </c>
      <c r="F3030">
        <v>8398297717</v>
      </c>
      <c r="G3030" s="1">
        <v>44941</v>
      </c>
    </row>
    <row r="3031" spans="1:7">
      <c r="A3031" t="s">
        <v>7294</v>
      </c>
      <c r="B3031">
        <v>67</v>
      </c>
      <c r="C3031" t="s">
        <v>7295</v>
      </c>
      <c r="D3031">
        <v>117697</v>
      </c>
      <c r="E3031" t="s">
        <v>9</v>
      </c>
      <c r="F3031" t="s">
        <v>7296</v>
      </c>
      <c r="G3031" s="1">
        <v>45135</v>
      </c>
    </row>
    <row r="3032" spans="1:7">
      <c r="A3032" t="s">
        <v>7297</v>
      </c>
      <c r="B3032">
        <v>23</v>
      </c>
      <c r="C3032" t="s">
        <v>7298</v>
      </c>
      <c r="D3032">
        <v>123664</v>
      </c>
      <c r="E3032" t="s">
        <v>36</v>
      </c>
      <c r="F3032">
        <v>2860212181</v>
      </c>
      <c r="G3032" s="1">
        <v>45235</v>
      </c>
    </row>
    <row r="3033" spans="1:7">
      <c r="A3033" t="s">
        <v>7299</v>
      </c>
      <c r="B3033">
        <v>-5</v>
      </c>
      <c r="C3033" t="s">
        <v>7300</v>
      </c>
      <c r="E3033" t="s">
        <v>358</v>
      </c>
      <c r="F3033">
        <f>1-225-891-6134</f>
        <v>-7249</v>
      </c>
      <c r="G3033" s="1">
        <v>45035</v>
      </c>
    </row>
    <row r="3034" spans="1:7">
      <c r="A3034" t="s">
        <v>7301</v>
      </c>
      <c r="B3034">
        <v>79</v>
      </c>
      <c r="C3034" t="s">
        <v>7302</v>
      </c>
      <c r="D3034">
        <v>128618</v>
      </c>
      <c r="E3034" t="s">
        <v>12</v>
      </c>
      <c r="F3034">
        <v>3366002146</v>
      </c>
      <c r="G3034" s="1">
        <v>45104</v>
      </c>
    </row>
    <row r="3035" spans="1:7">
      <c r="A3035" t="s">
        <v>7303</v>
      </c>
      <c r="B3035">
        <v>60</v>
      </c>
      <c r="C3035" t="s">
        <v>7304</v>
      </c>
      <c r="D3035">
        <v>39265</v>
      </c>
      <c r="E3035" t="s">
        <v>36</v>
      </c>
      <c r="F3035" t="s">
        <v>7305</v>
      </c>
      <c r="G3035" t="s">
        <v>422</v>
      </c>
    </row>
    <row r="3036" spans="1:7">
      <c r="A3036" t="s">
        <v>7306</v>
      </c>
      <c r="B3036">
        <v>20</v>
      </c>
      <c r="C3036" t="s">
        <v>7307</v>
      </c>
      <c r="D3036">
        <v>41397</v>
      </c>
      <c r="E3036" t="s">
        <v>36</v>
      </c>
      <c r="F3036" t="s">
        <v>7308</v>
      </c>
      <c r="G3036" s="1">
        <v>45023</v>
      </c>
    </row>
    <row r="3037" spans="1:7">
      <c r="A3037" t="s">
        <v>7309</v>
      </c>
      <c r="B3037">
        <v>38</v>
      </c>
      <c r="C3037" t="s">
        <v>61</v>
      </c>
      <c r="D3037">
        <v>82953</v>
      </c>
      <c r="E3037" t="s">
        <v>12</v>
      </c>
      <c r="F3037">
        <v>5736461116</v>
      </c>
      <c r="G3037" s="1">
        <v>45214</v>
      </c>
    </row>
    <row r="3038" spans="1:7">
      <c r="A3038" t="s">
        <v>7310</v>
      </c>
      <c r="B3038">
        <v>46</v>
      </c>
      <c r="C3038" t="s">
        <v>7311</v>
      </c>
      <c r="D3038">
        <v>58172</v>
      </c>
      <c r="E3038" t="s">
        <v>12</v>
      </c>
      <c r="F3038" t="s">
        <v>7312</v>
      </c>
      <c r="G3038" s="1">
        <v>45241</v>
      </c>
    </row>
    <row r="3039" spans="1:7">
      <c r="A3039" t="s">
        <v>7313</v>
      </c>
      <c r="B3039">
        <v>19</v>
      </c>
      <c r="C3039" t="s">
        <v>7314</v>
      </c>
      <c r="D3039">
        <v>48931</v>
      </c>
      <c r="E3039" t="s">
        <v>12</v>
      </c>
      <c r="F3039">
        <f>1-813-109-9401</f>
        <v>-10322</v>
      </c>
      <c r="G3039" s="1">
        <v>45280</v>
      </c>
    </row>
    <row r="3040" spans="1:7">
      <c r="A3040" t="s">
        <v>7315</v>
      </c>
      <c r="B3040">
        <v>71</v>
      </c>
      <c r="D3040">
        <v>95439</v>
      </c>
      <c r="E3040" t="s">
        <v>36</v>
      </c>
      <c r="F3040" t="s">
        <v>7316</v>
      </c>
      <c r="G3040" s="1">
        <v>45236</v>
      </c>
    </row>
    <row r="3041" spans="1:7">
      <c r="A3041" t="s">
        <v>7317</v>
      </c>
      <c r="B3041">
        <v>0</v>
      </c>
      <c r="C3041" t="s">
        <v>7318</v>
      </c>
      <c r="D3041">
        <v>107355</v>
      </c>
      <c r="E3041" t="s">
        <v>36</v>
      </c>
      <c r="F3041" t="s">
        <v>7319</v>
      </c>
      <c r="G3041" s="1">
        <v>45056</v>
      </c>
    </row>
    <row r="3042" spans="1:7">
      <c r="A3042" t="s">
        <v>7320</v>
      </c>
      <c r="B3042">
        <v>0</v>
      </c>
      <c r="C3042" t="s">
        <v>7321</v>
      </c>
      <c r="D3042">
        <v>66413</v>
      </c>
      <c r="E3042" t="s">
        <v>36</v>
      </c>
      <c r="F3042" t="s">
        <v>7322</v>
      </c>
      <c r="G3042" s="1">
        <v>44955</v>
      </c>
    </row>
    <row r="3043" spans="1:7">
      <c r="A3043" t="s">
        <v>7323</v>
      </c>
      <c r="B3043">
        <v>25</v>
      </c>
      <c r="C3043" t="s">
        <v>7324</v>
      </c>
      <c r="D3043">
        <v>196765</v>
      </c>
      <c r="E3043" t="s">
        <v>9</v>
      </c>
      <c r="F3043" t="s">
        <v>7325</v>
      </c>
      <c r="G3043" s="1">
        <v>45096</v>
      </c>
    </row>
    <row r="3044" spans="1:7">
      <c r="A3044" t="s">
        <v>7326</v>
      </c>
      <c r="B3044">
        <v>40</v>
      </c>
      <c r="C3044" t="s">
        <v>7327</v>
      </c>
      <c r="D3044">
        <v>67260</v>
      </c>
      <c r="E3044" t="s">
        <v>27</v>
      </c>
      <c r="F3044" t="s">
        <v>7328</v>
      </c>
      <c r="G3044" s="1">
        <v>44932</v>
      </c>
    </row>
    <row r="3045" spans="1:7">
      <c r="A3045" t="s">
        <v>7329</v>
      </c>
      <c r="B3045">
        <v>27</v>
      </c>
      <c r="C3045" t="s">
        <v>7330</v>
      </c>
      <c r="D3045">
        <v>151219</v>
      </c>
      <c r="E3045" t="s">
        <v>27</v>
      </c>
      <c r="F3045" t="s">
        <v>7331</v>
      </c>
      <c r="G3045" s="1">
        <v>45097</v>
      </c>
    </row>
    <row r="3046" spans="1:7">
      <c r="A3046" t="s">
        <v>7332</v>
      </c>
      <c r="B3046">
        <v>76</v>
      </c>
      <c r="C3046" t="s">
        <v>7333</v>
      </c>
      <c r="D3046">
        <v>138714</v>
      </c>
      <c r="E3046" t="s">
        <v>12</v>
      </c>
      <c r="G3046" s="1">
        <v>45149</v>
      </c>
    </row>
    <row r="3047" spans="1:7">
      <c r="A3047" t="s">
        <v>7334</v>
      </c>
      <c r="B3047">
        <v>64</v>
      </c>
      <c r="C3047" t="s">
        <v>7335</v>
      </c>
      <c r="D3047">
        <v>152019</v>
      </c>
      <c r="E3047" t="s">
        <v>9</v>
      </c>
      <c r="F3047" t="s">
        <v>7336</v>
      </c>
      <c r="G3047" s="1">
        <v>45039</v>
      </c>
    </row>
    <row r="3048" spans="1:7">
      <c r="A3048" t="s">
        <v>2063</v>
      </c>
      <c r="B3048">
        <v>53</v>
      </c>
      <c r="C3048" t="s">
        <v>7337</v>
      </c>
      <c r="E3048" t="s">
        <v>36</v>
      </c>
      <c r="F3048" t="s">
        <v>7338</v>
      </c>
      <c r="G3048" t="s">
        <v>81</v>
      </c>
    </row>
    <row r="3049" spans="1:7">
      <c r="A3049" t="s">
        <v>4173</v>
      </c>
      <c r="B3049">
        <v>24</v>
      </c>
      <c r="C3049" t="s">
        <v>7339</v>
      </c>
      <c r="D3049">
        <v>118916</v>
      </c>
      <c r="E3049" t="s">
        <v>9</v>
      </c>
      <c r="F3049" t="s">
        <v>7340</v>
      </c>
      <c r="G3049" s="1">
        <v>45001</v>
      </c>
    </row>
    <row r="3050" spans="1:7">
      <c r="A3050" t="s">
        <v>7341</v>
      </c>
      <c r="B3050">
        <v>55</v>
      </c>
      <c r="C3050" t="s">
        <v>7342</v>
      </c>
      <c r="D3050">
        <v>194109</v>
      </c>
      <c r="E3050" t="s">
        <v>12</v>
      </c>
      <c r="F3050" t="s">
        <v>7343</v>
      </c>
      <c r="G3050" s="1">
        <v>45035</v>
      </c>
    </row>
    <row r="3051" spans="1:7">
      <c r="A3051" t="s">
        <v>7344</v>
      </c>
      <c r="B3051">
        <v>28</v>
      </c>
      <c r="C3051" t="s">
        <v>7345</v>
      </c>
      <c r="D3051">
        <v>46984</v>
      </c>
      <c r="E3051" t="s">
        <v>12</v>
      </c>
      <c r="F3051" t="s">
        <v>7346</v>
      </c>
      <c r="G3051" s="1">
        <v>44998</v>
      </c>
    </row>
    <row r="3052" spans="1:7">
      <c r="B3052">
        <v>-5</v>
      </c>
      <c r="C3052" t="s">
        <v>7347</v>
      </c>
      <c r="D3052">
        <v>64650</v>
      </c>
      <c r="E3052" t="s">
        <v>9</v>
      </c>
      <c r="F3052" t="s">
        <v>7348</v>
      </c>
      <c r="G3052" t="s">
        <v>87</v>
      </c>
    </row>
    <row r="3053" spans="1:7">
      <c r="A3053" t="s">
        <v>7349</v>
      </c>
      <c r="B3053">
        <v>23</v>
      </c>
      <c r="C3053" t="s">
        <v>7350</v>
      </c>
      <c r="D3053">
        <v>77645</v>
      </c>
      <c r="E3053" t="s">
        <v>36</v>
      </c>
      <c r="F3053" t="s">
        <v>7351</v>
      </c>
      <c r="G3053" s="1">
        <v>45034</v>
      </c>
    </row>
    <row r="3054" spans="1:7">
      <c r="A3054" t="s">
        <v>7352</v>
      </c>
      <c r="B3054">
        <v>42</v>
      </c>
      <c r="C3054" t="s">
        <v>7353</v>
      </c>
      <c r="D3054">
        <v>179886</v>
      </c>
      <c r="E3054" t="s">
        <v>9</v>
      </c>
      <c r="F3054" t="s">
        <v>7354</v>
      </c>
      <c r="G3054" s="1">
        <v>45277</v>
      </c>
    </row>
    <row r="3055" spans="1:7">
      <c r="A3055" t="s">
        <v>7355</v>
      </c>
      <c r="B3055">
        <v>62</v>
      </c>
      <c r="C3055" t="s">
        <v>7356</v>
      </c>
      <c r="D3055">
        <v>175787</v>
      </c>
      <c r="E3055" t="s">
        <v>9</v>
      </c>
      <c r="F3055">
        <f>1-285-493-8932</f>
        <v>-9709</v>
      </c>
      <c r="G3055" s="1">
        <v>44933</v>
      </c>
    </row>
    <row r="3056" spans="1:7">
      <c r="A3056" t="s">
        <v>7357</v>
      </c>
      <c r="B3056">
        <v>19</v>
      </c>
      <c r="C3056" t="s">
        <v>7358</v>
      </c>
      <c r="D3056">
        <v>53091</v>
      </c>
      <c r="E3056" t="s">
        <v>27</v>
      </c>
      <c r="F3056" t="s">
        <v>7359</v>
      </c>
      <c r="G3056" s="1">
        <v>44984</v>
      </c>
    </row>
    <row r="3057" spans="1:7">
      <c r="A3057" t="s">
        <v>7360</v>
      </c>
      <c r="B3057">
        <v>78</v>
      </c>
      <c r="C3057" t="s">
        <v>7361</v>
      </c>
      <c r="D3057">
        <v>45605</v>
      </c>
      <c r="E3057" t="s">
        <v>9</v>
      </c>
      <c r="F3057">
        <v>7537032807</v>
      </c>
      <c r="G3057" t="s">
        <v>371</v>
      </c>
    </row>
    <row r="3058" spans="1:7">
      <c r="A3058" t="s">
        <v>7362</v>
      </c>
      <c r="B3058">
        <v>49</v>
      </c>
      <c r="D3058">
        <v>184682</v>
      </c>
      <c r="E3058" t="s">
        <v>9</v>
      </c>
      <c r="F3058">
        <f>1-616-898-8349</f>
        <v>-9862</v>
      </c>
      <c r="G3058" s="1">
        <v>44929</v>
      </c>
    </row>
    <row r="3059" spans="1:7">
      <c r="A3059" t="s">
        <v>902</v>
      </c>
      <c r="B3059">
        <v>43</v>
      </c>
      <c r="C3059" t="s">
        <v>903</v>
      </c>
      <c r="D3059">
        <v>46351</v>
      </c>
      <c r="E3059" t="s">
        <v>36</v>
      </c>
      <c r="F3059">
        <v>1875155003</v>
      </c>
      <c r="G3059" s="1">
        <v>45278</v>
      </c>
    </row>
    <row r="3060" spans="1:7">
      <c r="A3060" t="s">
        <v>7363</v>
      </c>
      <c r="B3060">
        <v>77</v>
      </c>
      <c r="C3060" t="s">
        <v>7364</v>
      </c>
      <c r="D3060">
        <v>-20000</v>
      </c>
      <c r="E3060" t="s">
        <v>27</v>
      </c>
      <c r="F3060" t="s">
        <v>7365</v>
      </c>
      <c r="G3060" s="1">
        <v>45115</v>
      </c>
    </row>
    <row r="3061" spans="1:7">
      <c r="A3061" t="s">
        <v>7366</v>
      </c>
      <c r="B3061">
        <v>37</v>
      </c>
      <c r="C3061" t="s">
        <v>7367</v>
      </c>
      <c r="D3061">
        <v>64758</v>
      </c>
      <c r="E3061" t="s">
        <v>36</v>
      </c>
      <c r="F3061" t="s">
        <v>7368</v>
      </c>
      <c r="G3061" s="1">
        <v>45183</v>
      </c>
    </row>
    <row r="3062" spans="1:7">
      <c r="A3062" t="s">
        <v>7369</v>
      </c>
      <c r="B3062">
        <v>19</v>
      </c>
      <c r="C3062" t="s">
        <v>7370</v>
      </c>
      <c r="D3062">
        <v>191945</v>
      </c>
      <c r="E3062" t="s">
        <v>9</v>
      </c>
      <c r="F3062" t="s">
        <v>7371</v>
      </c>
      <c r="G3062" s="1">
        <v>45116</v>
      </c>
    </row>
    <row r="3063" spans="1:7">
      <c r="A3063" t="s">
        <v>7372</v>
      </c>
      <c r="B3063">
        <v>59</v>
      </c>
      <c r="C3063" t="s">
        <v>7373</v>
      </c>
      <c r="D3063">
        <v>198197</v>
      </c>
      <c r="E3063" t="s">
        <v>27</v>
      </c>
      <c r="F3063" t="s">
        <v>7374</v>
      </c>
      <c r="G3063" s="1">
        <v>45220</v>
      </c>
    </row>
    <row r="3064" spans="1:7">
      <c r="A3064" t="s">
        <v>7375</v>
      </c>
      <c r="B3064">
        <v>-25</v>
      </c>
      <c r="C3064" t="s">
        <v>7376</v>
      </c>
      <c r="E3064" t="s">
        <v>12</v>
      </c>
      <c r="F3064" t="s">
        <v>7377</v>
      </c>
      <c r="G3064" s="1">
        <v>45010</v>
      </c>
    </row>
    <row r="3065" spans="1:7">
      <c r="A3065" t="s">
        <v>7378</v>
      </c>
      <c r="B3065">
        <v>42</v>
      </c>
      <c r="C3065" t="s">
        <v>7379</v>
      </c>
      <c r="D3065">
        <v>56616</v>
      </c>
      <c r="E3065" t="s">
        <v>12</v>
      </c>
      <c r="F3065">
        <f>1-314-804-2622</f>
        <v>-3739</v>
      </c>
      <c r="G3065" s="1">
        <v>45152</v>
      </c>
    </row>
    <row r="3066" spans="1:7">
      <c r="A3066" t="s">
        <v>7380</v>
      </c>
      <c r="B3066">
        <v>35</v>
      </c>
      <c r="D3066">
        <v>147595</v>
      </c>
      <c r="E3066" t="s">
        <v>9</v>
      </c>
      <c r="F3066" t="s">
        <v>7381</v>
      </c>
      <c r="G3066" s="1">
        <v>45038</v>
      </c>
    </row>
    <row r="3067" spans="1:7">
      <c r="A3067" t="s">
        <v>7382</v>
      </c>
      <c r="B3067">
        <v>30</v>
      </c>
      <c r="C3067" t="s">
        <v>7383</v>
      </c>
      <c r="D3067">
        <v>63722</v>
      </c>
      <c r="E3067" t="s">
        <v>12</v>
      </c>
      <c r="F3067">
        <f>1-202-281-5819</f>
        <v>-6301</v>
      </c>
      <c r="G3067" s="1">
        <v>45258</v>
      </c>
    </row>
    <row r="3068" spans="1:7">
      <c r="A3068" t="s">
        <v>7384</v>
      </c>
      <c r="B3068">
        <v>29</v>
      </c>
      <c r="C3068" t="s">
        <v>518</v>
      </c>
      <c r="D3068">
        <v>142255</v>
      </c>
      <c r="E3068" t="s">
        <v>12</v>
      </c>
      <c r="F3068" t="s">
        <v>7385</v>
      </c>
      <c r="G3068" s="1">
        <v>45160</v>
      </c>
    </row>
    <row r="3069" spans="1:7">
      <c r="A3069" t="s">
        <v>7386</v>
      </c>
      <c r="B3069">
        <v>51</v>
      </c>
      <c r="C3069" t="s">
        <v>7387</v>
      </c>
      <c r="D3069">
        <v>139906</v>
      </c>
      <c r="E3069" t="s">
        <v>36</v>
      </c>
      <c r="F3069" t="s">
        <v>7388</v>
      </c>
      <c r="G3069" s="1">
        <v>45055</v>
      </c>
    </row>
    <row r="3070" spans="1:7">
      <c r="A3070" t="s">
        <v>7389</v>
      </c>
      <c r="B3070">
        <v>51</v>
      </c>
      <c r="C3070" t="s">
        <v>7390</v>
      </c>
      <c r="D3070">
        <v>163316</v>
      </c>
      <c r="E3070" t="s">
        <v>36</v>
      </c>
      <c r="F3070" t="s">
        <v>7391</v>
      </c>
      <c r="G3070" s="1">
        <v>45157</v>
      </c>
    </row>
    <row r="3071" spans="1:7">
      <c r="A3071" t="s">
        <v>7392</v>
      </c>
      <c r="B3071">
        <v>79</v>
      </c>
      <c r="C3071" t="s">
        <v>478</v>
      </c>
      <c r="D3071">
        <v>150209</v>
      </c>
      <c r="E3071" t="s">
        <v>27</v>
      </c>
      <c r="F3071">
        <v>9997051069</v>
      </c>
      <c r="G3071" s="1">
        <v>45104</v>
      </c>
    </row>
    <row r="3072" spans="1:7">
      <c r="A3072" t="s">
        <v>7393</v>
      </c>
      <c r="B3072">
        <v>69</v>
      </c>
      <c r="C3072" t="s">
        <v>518</v>
      </c>
      <c r="D3072">
        <v>184912</v>
      </c>
      <c r="E3072" t="s">
        <v>27</v>
      </c>
      <c r="F3072">
        <f>1-532-731-9821</f>
        <v>-11083</v>
      </c>
      <c r="G3072" s="1">
        <v>45058</v>
      </c>
    </row>
    <row r="3073" spans="1:7">
      <c r="A3073" t="s">
        <v>7394</v>
      </c>
      <c r="B3073">
        <v>250</v>
      </c>
      <c r="C3073" t="s">
        <v>7395</v>
      </c>
      <c r="D3073">
        <v>155829</v>
      </c>
      <c r="E3073" t="s">
        <v>27</v>
      </c>
      <c r="F3073" t="s">
        <v>7396</v>
      </c>
      <c r="G3073" s="1">
        <v>45158</v>
      </c>
    </row>
    <row r="3074" spans="1:7">
      <c r="A3074" t="s">
        <v>7397</v>
      </c>
      <c r="B3074">
        <v>45</v>
      </c>
      <c r="C3074" t="s">
        <v>7398</v>
      </c>
      <c r="D3074">
        <v>66386</v>
      </c>
      <c r="E3074" t="s">
        <v>36</v>
      </c>
      <c r="F3074">
        <f>1-830-256-3898</f>
        <v>-4983</v>
      </c>
      <c r="G3074" s="1">
        <v>45263</v>
      </c>
    </row>
    <row r="3075" spans="1:7">
      <c r="A3075" t="s">
        <v>7399</v>
      </c>
      <c r="B3075">
        <v>0</v>
      </c>
      <c r="C3075" t="s">
        <v>7400</v>
      </c>
      <c r="D3075">
        <v>115945</v>
      </c>
      <c r="E3075" t="s">
        <v>36</v>
      </c>
      <c r="F3075" t="s">
        <v>7401</v>
      </c>
      <c r="G3075" s="1">
        <v>45059</v>
      </c>
    </row>
    <row r="3076" spans="1:7">
      <c r="A3076" t="s">
        <v>1034</v>
      </c>
      <c r="B3076">
        <v>36</v>
      </c>
      <c r="C3076" t="s">
        <v>7402</v>
      </c>
      <c r="E3076" t="s">
        <v>9</v>
      </c>
      <c r="F3076">
        <f>1-776-361-9828</f>
        <v>-10964</v>
      </c>
      <c r="G3076" s="1">
        <v>44991</v>
      </c>
    </row>
    <row r="3077" spans="1:7">
      <c r="A3077" t="s">
        <v>7403</v>
      </c>
      <c r="B3077">
        <v>34</v>
      </c>
      <c r="C3077" t="s">
        <v>7404</v>
      </c>
      <c r="D3077">
        <v>44122</v>
      </c>
      <c r="E3077" t="s">
        <v>9</v>
      </c>
      <c r="F3077">
        <v>5598615444</v>
      </c>
      <c r="G3077" s="1">
        <v>44944</v>
      </c>
    </row>
    <row r="3078" spans="1:7">
      <c r="A3078" t="s">
        <v>7405</v>
      </c>
      <c r="B3078">
        <v>70</v>
      </c>
      <c r="C3078" t="s">
        <v>7406</v>
      </c>
      <c r="D3078">
        <v>110021</v>
      </c>
      <c r="E3078" t="s">
        <v>9</v>
      </c>
      <c r="F3078" t="s">
        <v>7407</v>
      </c>
      <c r="G3078" s="1">
        <v>44968</v>
      </c>
    </row>
    <row r="3079" spans="1:7">
      <c r="A3079" t="s">
        <v>7408</v>
      </c>
      <c r="B3079">
        <v>73</v>
      </c>
      <c r="C3079" t="s">
        <v>7409</v>
      </c>
      <c r="D3079">
        <v>31881</v>
      </c>
      <c r="E3079" t="s">
        <v>9</v>
      </c>
      <c r="F3079" t="s">
        <v>7410</v>
      </c>
      <c r="G3079" t="s">
        <v>180</v>
      </c>
    </row>
    <row r="3080" spans="1:7">
      <c r="A3080" t="s">
        <v>7411</v>
      </c>
      <c r="B3080">
        <v>36</v>
      </c>
      <c r="C3080" t="s">
        <v>7412</v>
      </c>
      <c r="D3080">
        <v>68032</v>
      </c>
      <c r="E3080" t="s">
        <v>49</v>
      </c>
      <c r="F3080" t="s">
        <v>7413</v>
      </c>
      <c r="G3080" s="1">
        <v>45045</v>
      </c>
    </row>
    <row r="3081" spans="1:7">
      <c r="A3081" t="s">
        <v>4134</v>
      </c>
      <c r="B3081">
        <v>-5</v>
      </c>
      <c r="D3081">
        <v>161742</v>
      </c>
      <c r="E3081" t="s">
        <v>27</v>
      </c>
      <c r="F3081" t="s">
        <v>4135</v>
      </c>
      <c r="G3081" s="1">
        <v>45253</v>
      </c>
    </row>
    <row r="3082" spans="1:7">
      <c r="A3082" t="s">
        <v>7414</v>
      </c>
      <c r="B3082">
        <v>73</v>
      </c>
      <c r="C3082" t="s">
        <v>7415</v>
      </c>
      <c r="D3082">
        <v>31737</v>
      </c>
      <c r="E3082" t="s">
        <v>27</v>
      </c>
      <c r="F3082" t="s">
        <v>7416</v>
      </c>
      <c r="G3082" s="1">
        <v>45153</v>
      </c>
    </row>
    <row r="3083" spans="1:7">
      <c r="A3083" t="s">
        <v>7417</v>
      </c>
      <c r="B3083">
        <v>36</v>
      </c>
      <c r="D3083">
        <v>41353</v>
      </c>
      <c r="E3083" t="s">
        <v>9</v>
      </c>
      <c r="F3083" t="s">
        <v>7418</v>
      </c>
      <c r="G3083" s="1">
        <v>45165</v>
      </c>
    </row>
    <row r="3084" spans="1:7">
      <c r="A3084" t="s">
        <v>7419</v>
      </c>
      <c r="B3084">
        <v>74</v>
      </c>
      <c r="C3084" t="s">
        <v>7420</v>
      </c>
      <c r="E3084" t="s">
        <v>12</v>
      </c>
      <c r="F3084" t="s">
        <v>7421</v>
      </c>
      <c r="G3084" s="1">
        <v>45200</v>
      </c>
    </row>
    <row r="3085" spans="1:7">
      <c r="A3085" t="s">
        <v>7422</v>
      </c>
      <c r="B3085">
        <v>58</v>
      </c>
      <c r="D3085">
        <v>31168</v>
      </c>
      <c r="E3085" t="s">
        <v>36</v>
      </c>
      <c r="F3085">
        <f>1-699-437-8422</f>
        <v>-9557</v>
      </c>
      <c r="G3085" s="1">
        <v>45187</v>
      </c>
    </row>
    <row r="3086" spans="1:7">
      <c r="A3086" t="s">
        <v>7423</v>
      </c>
      <c r="B3086">
        <v>18</v>
      </c>
      <c r="C3086" t="s">
        <v>7424</v>
      </c>
      <c r="D3086">
        <v>90710</v>
      </c>
      <c r="E3086" t="s">
        <v>36</v>
      </c>
      <c r="F3086">
        <f>1-714-533-2478</f>
        <v>-3724</v>
      </c>
      <c r="G3086" s="1">
        <v>44927</v>
      </c>
    </row>
    <row r="3087" spans="1:7">
      <c r="A3087" t="s">
        <v>926</v>
      </c>
      <c r="C3087" t="s">
        <v>7425</v>
      </c>
      <c r="D3087">
        <v>128273</v>
      </c>
      <c r="E3087" t="s">
        <v>36</v>
      </c>
      <c r="F3087" t="s">
        <v>7426</v>
      </c>
      <c r="G3087" s="1">
        <v>45079</v>
      </c>
    </row>
    <row r="3088" spans="1:7">
      <c r="A3088" t="s">
        <v>7427</v>
      </c>
      <c r="B3088">
        <v>36</v>
      </c>
      <c r="C3088" t="s">
        <v>7428</v>
      </c>
      <c r="D3088">
        <v>162886</v>
      </c>
      <c r="E3088" t="s">
        <v>36</v>
      </c>
      <c r="F3088" t="s">
        <v>7429</v>
      </c>
      <c r="G3088" s="1">
        <v>45053</v>
      </c>
    </row>
    <row r="3089" spans="1:7">
      <c r="A3089" t="s">
        <v>7430</v>
      </c>
      <c r="B3089">
        <v>51</v>
      </c>
      <c r="C3089" t="s">
        <v>169</v>
      </c>
      <c r="D3089">
        <v>194957</v>
      </c>
      <c r="E3089" t="s">
        <v>36</v>
      </c>
      <c r="F3089">
        <v>3610575957</v>
      </c>
      <c r="G3089" s="1">
        <v>44941</v>
      </c>
    </row>
    <row r="3090" spans="1:7">
      <c r="A3090" t="s">
        <v>7431</v>
      </c>
      <c r="B3090">
        <v>63</v>
      </c>
      <c r="E3090" t="s">
        <v>12</v>
      </c>
      <c r="F3090" t="s">
        <v>7432</v>
      </c>
      <c r="G3090" s="1">
        <v>45199</v>
      </c>
    </row>
    <row r="3091" spans="1:7">
      <c r="A3091" t="s">
        <v>7433</v>
      </c>
      <c r="B3091">
        <v>19</v>
      </c>
      <c r="C3091" t="s">
        <v>7434</v>
      </c>
      <c r="D3091">
        <v>110152</v>
      </c>
      <c r="E3091" t="s">
        <v>9</v>
      </c>
      <c r="F3091" t="s">
        <v>7435</v>
      </c>
      <c r="G3091" s="1">
        <v>45001</v>
      </c>
    </row>
    <row r="3092" spans="1:7">
      <c r="A3092" t="s">
        <v>7436</v>
      </c>
      <c r="B3092">
        <v>26</v>
      </c>
      <c r="C3092" t="s">
        <v>7437</v>
      </c>
      <c r="D3092">
        <v>61417</v>
      </c>
      <c r="E3092" t="s">
        <v>12</v>
      </c>
      <c r="F3092">
        <f>1-539-231-7396</f>
        <v>-8165</v>
      </c>
      <c r="G3092" s="1">
        <v>44975</v>
      </c>
    </row>
    <row r="3093" spans="1:7">
      <c r="A3093" t="s">
        <v>7438</v>
      </c>
      <c r="B3093">
        <v>57</v>
      </c>
      <c r="D3093">
        <v>52908</v>
      </c>
      <c r="E3093" t="s">
        <v>36</v>
      </c>
      <c r="F3093" t="s">
        <v>7439</v>
      </c>
      <c r="G3093" s="1">
        <v>45111</v>
      </c>
    </row>
    <row r="3094" spans="1:7">
      <c r="A3094" t="s">
        <v>7440</v>
      </c>
      <c r="B3094">
        <v>28</v>
      </c>
      <c r="C3094" t="s">
        <v>7441</v>
      </c>
      <c r="D3094">
        <v>86652</v>
      </c>
      <c r="E3094" t="s">
        <v>36</v>
      </c>
      <c r="F3094">
        <v>8085106052</v>
      </c>
      <c r="G3094" s="1">
        <v>45188</v>
      </c>
    </row>
    <row r="3095" spans="1:7">
      <c r="A3095" t="s">
        <v>7442</v>
      </c>
      <c r="B3095">
        <v>51</v>
      </c>
      <c r="C3095" t="s">
        <v>61</v>
      </c>
      <c r="D3095">
        <v>171382</v>
      </c>
      <c r="E3095" t="s">
        <v>12</v>
      </c>
      <c r="F3095" t="s">
        <v>7443</v>
      </c>
      <c r="G3095" s="1">
        <v>45242</v>
      </c>
    </row>
    <row r="3096" spans="1:7">
      <c r="A3096" t="s">
        <v>7444</v>
      </c>
      <c r="B3096">
        <v>62</v>
      </c>
      <c r="C3096" t="s">
        <v>445</v>
      </c>
      <c r="D3096">
        <v>102684</v>
      </c>
      <c r="E3096" t="s">
        <v>36</v>
      </c>
      <c r="F3096">
        <v>3694168784</v>
      </c>
      <c r="G3096" s="1">
        <v>45273</v>
      </c>
    </row>
    <row r="3097" spans="1:7">
      <c r="A3097" t="s">
        <v>7445</v>
      </c>
      <c r="B3097">
        <v>47</v>
      </c>
      <c r="D3097">
        <v>-50000</v>
      </c>
      <c r="E3097" t="s">
        <v>27</v>
      </c>
      <c r="F3097">
        <v>8401739069</v>
      </c>
      <c r="G3097" s="1">
        <v>44969</v>
      </c>
    </row>
    <row r="3098" spans="1:7">
      <c r="B3098">
        <v>43</v>
      </c>
      <c r="C3098" t="s">
        <v>7446</v>
      </c>
      <c r="D3098">
        <v>191050</v>
      </c>
      <c r="E3098" t="s">
        <v>9</v>
      </c>
      <c r="F3098" t="s">
        <v>7447</v>
      </c>
      <c r="G3098" s="1">
        <v>45012</v>
      </c>
    </row>
    <row r="3099" spans="1:7">
      <c r="A3099" t="s">
        <v>7448</v>
      </c>
      <c r="B3099">
        <v>37</v>
      </c>
      <c r="C3099" t="s">
        <v>17</v>
      </c>
      <c r="D3099">
        <v>196375</v>
      </c>
      <c r="E3099" t="s">
        <v>36</v>
      </c>
      <c r="F3099" t="s">
        <v>7449</v>
      </c>
      <c r="G3099" s="1">
        <v>45181</v>
      </c>
    </row>
    <row r="3100" spans="1:7">
      <c r="A3100" t="s">
        <v>7450</v>
      </c>
      <c r="B3100">
        <v>57</v>
      </c>
      <c r="C3100" t="s">
        <v>7451</v>
      </c>
      <c r="D3100">
        <v>98312</v>
      </c>
      <c r="E3100" t="s">
        <v>36</v>
      </c>
      <c r="F3100" t="s">
        <v>7452</v>
      </c>
      <c r="G3100" t="s">
        <v>87</v>
      </c>
    </row>
    <row r="3101" spans="1:7">
      <c r="A3101" t="s">
        <v>7453</v>
      </c>
      <c r="B3101">
        <v>41</v>
      </c>
      <c r="C3101" t="s">
        <v>7454</v>
      </c>
      <c r="D3101">
        <v>87196</v>
      </c>
      <c r="E3101" t="s">
        <v>9</v>
      </c>
      <c r="F3101" t="s">
        <v>7455</v>
      </c>
      <c r="G3101" s="1">
        <v>44999</v>
      </c>
    </row>
    <row r="3102" spans="1:7">
      <c r="A3102" t="s">
        <v>7456</v>
      </c>
      <c r="B3102">
        <v>49</v>
      </c>
      <c r="C3102" t="s">
        <v>7457</v>
      </c>
      <c r="D3102">
        <v>111938</v>
      </c>
      <c r="E3102" t="s">
        <v>12</v>
      </c>
      <c r="F3102" t="s">
        <v>7458</v>
      </c>
      <c r="G3102" s="1">
        <v>45273</v>
      </c>
    </row>
    <row r="3103" spans="1:7">
      <c r="A3103" t="s">
        <v>7459</v>
      </c>
      <c r="B3103">
        <v>28</v>
      </c>
      <c r="C3103" t="s">
        <v>478</v>
      </c>
      <c r="E3103" t="s">
        <v>12</v>
      </c>
      <c r="F3103" t="s">
        <v>7460</v>
      </c>
      <c r="G3103" s="1">
        <v>44997</v>
      </c>
    </row>
    <row r="3104" spans="1:7">
      <c r="A3104" t="s">
        <v>7461</v>
      </c>
      <c r="B3104">
        <v>26</v>
      </c>
      <c r="C3104" t="s">
        <v>7462</v>
      </c>
      <c r="D3104">
        <v>106870</v>
      </c>
      <c r="E3104" t="s">
        <v>9</v>
      </c>
      <c r="F3104" t="s">
        <v>7463</v>
      </c>
      <c r="G3104" s="1">
        <v>45217</v>
      </c>
    </row>
    <row r="3105" spans="1:7">
      <c r="A3105" t="s">
        <v>7464</v>
      </c>
      <c r="B3105">
        <v>66</v>
      </c>
      <c r="C3105" t="s">
        <v>7465</v>
      </c>
      <c r="D3105">
        <v>194760</v>
      </c>
      <c r="E3105" t="s">
        <v>12</v>
      </c>
      <c r="G3105" t="s">
        <v>422</v>
      </c>
    </row>
    <row r="3106" spans="1:7">
      <c r="A3106" t="s">
        <v>7466</v>
      </c>
      <c r="B3106">
        <v>54</v>
      </c>
      <c r="C3106" t="s">
        <v>7467</v>
      </c>
      <c r="D3106">
        <v>71247</v>
      </c>
      <c r="E3106" t="s">
        <v>294</v>
      </c>
      <c r="F3106" t="s">
        <v>7468</v>
      </c>
      <c r="G3106" s="1">
        <v>45181</v>
      </c>
    </row>
    <row r="3107" spans="1:7">
      <c r="A3107" t="s">
        <v>7469</v>
      </c>
      <c r="B3107">
        <v>71</v>
      </c>
      <c r="C3107" t="s">
        <v>7470</v>
      </c>
      <c r="D3107">
        <v>68170</v>
      </c>
      <c r="E3107" t="s">
        <v>27</v>
      </c>
      <c r="F3107" t="s">
        <v>7471</v>
      </c>
      <c r="G3107" s="1">
        <v>45017</v>
      </c>
    </row>
    <row r="3108" spans="1:7">
      <c r="A3108" t="s">
        <v>7472</v>
      </c>
      <c r="B3108">
        <v>250</v>
      </c>
      <c r="C3108" t="s">
        <v>7473</v>
      </c>
      <c r="D3108">
        <v>176800</v>
      </c>
      <c r="E3108" t="s">
        <v>27</v>
      </c>
      <c r="F3108">
        <f>1-449-101-8881</f>
        <v>-9430</v>
      </c>
      <c r="G3108" s="1">
        <v>44936</v>
      </c>
    </row>
    <row r="3109" spans="1:7">
      <c r="A3109" t="s">
        <v>3356</v>
      </c>
      <c r="B3109">
        <v>39</v>
      </c>
      <c r="C3109" t="s">
        <v>7474</v>
      </c>
      <c r="D3109">
        <v>117438</v>
      </c>
      <c r="E3109" t="s">
        <v>9</v>
      </c>
      <c r="F3109">
        <v>9771852156</v>
      </c>
      <c r="G3109" s="1">
        <v>44999</v>
      </c>
    </row>
    <row r="3110" spans="1:7">
      <c r="A3110" t="s">
        <v>7475</v>
      </c>
      <c r="B3110">
        <v>53</v>
      </c>
      <c r="C3110" t="s">
        <v>7476</v>
      </c>
      <c r="D3110">
        <v>115280</v>
      </c>
      <c r="E3110" t="s">
        <v>36</v>
      </c>
      <c r="F3110" t="s">
        <v>7477</v>
      </c>
      <c r="G3110" s="1">
        <v>45111</v>
      </c>
    </row>
    <row r="3111" spans="1:7">
      <c r="A3111" t="s">
        <v>7478</v>
      </c>
      <c r="B3111">
        <v>29</v>
      </c>
      <c r="C3111" t="s">
        <v>7479</v>
      </c>
      <c r="D3111">
        <v>-50000</v>
      </c>
      <c r="E3111" t="s">
        <v>36</v>
      </c>
      <c r="F3111" t="s">
        <v>7480</v>
      </c>
      <c r="G3111" s="1">
        <v>45166</v>
      </c>
    </row>
    <row r="3112" spans="1:7">
      <c r="A3112" t="s">
        <v>7481</v>
      </c>
      <c r="B3112">
        <v>46</v>
      </c>
      <c r="C3112" t="s">
        <v>7482</v>
      </c>
      <c r="D3112">
        <v>165994</v>
      </c>
      <c r="E3112" t="s">
        <v>27</v>
      </c>
      <c r="F3112" t="s">
        <v>7483</v>
      </c>
      <c r="G3112" s="1">
        <v>45190</v>
      </c>
    </row>
    <row r="3113" spans="1:7">
      <c r="A3113" t="s">
        <v>7484</v>
      </c>
      <c r="B3113">
        <v>66</v>
      </c>
      <c r="C3113" t="s">
        <v>7485</v>
      </c>
      <c r="D3113">
        <v>190497</v>
      </c>
      <c r="E3113" t="s">
        <v>9</v>
      </c>
      <c r="F3113">
        <f>1-946-998-9691</f>
        <v>-11634</v>
      </c>
      <c r="G3113" s="1">
        <v>44940</v>
      </c>
    </row>
    <row r="3114" spans="1:7">
      <c r="A3114" t="s">
        <v>7486</v>
      </c>
      <c r="B3114">
        <v>48</v>
      </c>
      <c r="C3114" t="s">
        <v>7487</v>
      </c>
      <c r="D3114">
        <v>171625</v>
      </c>
      <c r="E3114" t="s">
        <v>12</v>
      </c>
      <c r="F3114">
        <f>1-693-620-7990</f>
        <v>-9302</v>
      </c>
      <c r="G3114" s="1">
        <v>45128</v>
      </c>
    </row>
    <row r="3115" spans="1:7">
      <c r="A3115" t="s">
        <v>7488</v>
      </c>
      <c r="B3115">
        <v>57</v>
      </c>
      <c r="C3115" t="s">
        <v>61</v>
      </c>
      <c r="D3115">
        <v>50039</v>
      </c>
      <c r="E3115" t="s">
        <v>36</v>
      </c>
      <c r="F3115">
        <f>1-683-184-6305</f>
        <v>-7171</v>
      </c>
      <c r="G3115" s="1">
        <v>45233</v>
      </c>
    </row>
    <row r="3116" spans="1:7">
      <c r="A3116" t="s">
        <v>7489</v>
      </c>
      <c r="B3116">
        <v>66</v>
      </c>
      <c r="C3116" t="s">
        <v>7490</v>
      </c>
      <c r="D3116">
        <v>93761</v>
      </c>
      <c r="E3116" t="s">
        <v>9</v>
      </c>
      <c r="F3116" t="s">
        <v>7491</v>
      </c>
      <c r="G3116" s="1">
        <v>44967</v>
      </c>
    </row>
    <row r="3117" spans="1:7">
      <c r="A3117" t="s">
        <v>7492</v>
      </c>
      <c r="B3117">
        <v>43</v>
      </c>
      <c r="C3117" t="s">
        <v>7493</v>
      </c>
      <c r="D3117">
        <v>160356</v>
      </c>
      <c r="E3117" t="s">
        <v>27</v>
      </c>
      <c r="F3117" t="s">
        <v>7494</v>
      </c>
      <c r="G3117" s="1">
        <v>44950</v>
      </c>
    </row>
    <row r="3118" spans="1:7">
      <c r="A3118" t="s">
        <v>7495</v>
      </c>
      <c r="B3118">
        <v>71</v>
      </c>
      <c r="C3118" t="s">
        <v>7496</v>
      </c>
      <c r="D3118">
        <v>161858</v>
      </c>
      <c r="E3118" t="s">
        <v>27</v>
      </c>
      <c r="F3118" t="s">
        <v>7497</v>
      </c>
      <c r="G3118" s="1">
        <v>45078</v>
      </c>
    </row>
    <row r="3119" spans="1:7">
      <c r="A3119" t="s">
        <v>7498</v>
      </c>
      <c r="B3119">
        <v>28</v>
      </c>
      <c r="E3119" t="s">
        <v>27</v>
      </c>
      <c r="F3119">
        <v>2590408851</v>
      </c>
      <c r="G3119" s="1">
        <v>45165</v>
      </c>
    </row>
    <row r="3120" spans="1:7">
      <c r="A3120" t="s">
        <v>7499</v>
      </c>
      <c r="B3120">
        <v>25</v>
      </c>
      <c r="C3120" t="s">
        <v>7500</v>
      </c>
      <c r="D3120">
        <v>86633</v>
      </c>
      <c r="E3120" t="s">
        <v>12</v>
      </c>
      <c r="F3120" t="s">
        <v>7501</v>
      </c>
      <c r="G3120" s="1">
        <v>45195</v>
      </c>
    </row>
    <row r="3121" spans="1:7">
      <c r="A3121" t="s">
        <v>1542</v>
      </c>
      <c r="B3121">
        <v>23</v>
      </c>
      <c r="C3121" t="s">
        <v>7502</v>
      </c>
      <c r="D3121">
        <v>107960</v>
      </c>
      <c r="E3121" t="s">
        <v>12</v>
      </c>
      <c r="F3121" t="s">
        <v>7503</v>
      </c>
      <c r="G3121" s="1">
        <v>45224</v>
      </c>
    </row>
    <row r="3122" spans="1:7">
      <c r="A3122" t="s">
        <v>3457</v>
      </c>
      <c r="B3122">
        <v>34</v>
      </c>
      <c r="C3122" t="s">
        <v>7504</v>
      </c>
      <c r="D3122">
        <v>98368</v>
      </c>
      <c r="E3122" t="s">
        <v>36</v>
      </c>
      <c r="F3122" t="s">
        <v>7505</v>
      </c>
      <c r="G3122" s="1">
        <v>45027</v>
      </c>
    </row>
    <row r="3123" spans="1:7">
      <c r="A3123" t="s">
        <v>7506</v>
      </c>
      <c r="B3123">
        <v>23</v>
      </c>
      <c r="C3123" t="s">
        <v>115</v>
      </c>
      <c r="D3123">
        <v>106918</v>
      </c>
      <c r="E3123" t="s">
        <v>12</v>
      </c>
      <c r="F3123">
        <v>3497983389</v>
      </c>
      <c r="G3123" t="s">
        <v>180</v>
      </c>
    </row>
    <row r="3124" spans="1:7">
      <c r="A3124" t="s">
        <v>7507</v>
      </c>
      <c r="B3124">
        <v>50</v>
      </c>
      <c r="C3124" t="s">
        <v>7508</v>
      </c>
      <c r="D3124">
        <v>118535</v>
      </c>
      <c r="E3124" t="s">
        <v>36</v>
      </c>
      <c r="F3124" t="s">
        <v>7509</v>
      </c>
      <c r="G3124" s="1">
        <v>44976</v>
      </c>
    </row>
    <row r="3125" spans="1:7">
      <c r="A3125" t="s">
        <v>7510</v>
      </c>
      <c r="B3125">
        <v>79</v>
      </c>
      <c r="C3125" t="s">
        <v>7511</v>
      </c>
      <c r="E3125" t="s">
        <v>36</v>
      </c>
      <c r="G3125" s="1">
        <v>45218</v>
      </c>
    </row>
    <row r="3126" spans="1:7">
      <c r="A3126" t="s">
        <v>7512</v>
      </c>
      <c r="B3126">
        <v>26</v>
      </c>
      <c r="C3126" t="s">
        <v>7513</v>
      </c>
      <c r="D3126">
        <v>39479</v>
      </c>
      <c r="E3126" t="s">
        <v>12</v>
      </c>
      <c r="F3126" t="s">
        <v>7514</v>
      </c>
      <c r="G3126" s="1">
        <v>45291</v>
      </c>
    </row>
    <row r="3127" spans="1:7">
      <c r="A3127" t="s">
        <v>7515</v>
      </c>
      <c r="B3127">
        <v>76</v>
      </c>
      <c r="C3127" t="s">
        <v>7516</v>
      </c>
      <c r="D3127">
        <v>164479</v>
      </c>
      <c r="E3127" t="s">
        <v>12</v>
      </c>
      <c r="F3127">
        <v>3204996671</v>
      </c>
      <c r="G3127" s="1">
        <v>45085</v>
      </c>
    </row>
    <row r="3128" spans="1:7">
      <c r="A3128" t="s">
        <v>7517</v>
      </c>
      <c r="B3128">
        <v>68</v>
      </c>
      <c r="C3128" t="s">
        <v>478</v>
      </c>
      <c r="D3128">
        <v>93014</v>
      </c>
      <c r="E3128" t="s">
        <v>27</v>
      </c>
      <c r="F3128">
        <f>1-831-480-9509</f>
        <v>-10819</v>
      </c>
      <c r="G3128" s="1">
        <v>44993</v>
      </c>
    </row>
    <row r="3129" spans="1:7">
      <c r="A3129" t="s">
        <v>7518</v>
      </c>
      <c r="B3129">
        <v>300</v>
      </c>
      <c r="C3129" t="s">
        <v>7519</v>
      </c>
      <c r="D3129">
        <v>142056</v>
      </c>
      <c r="E3129" t="s">
        <v>9</v>
      </c>
      <c r="F3129" t="s">
        <v>7520</v>
      </c>
      <c r="G3129" s="1">
        <v>45195</v>
      </c>
    </row>
    <row r="3130" spans="1:7">
      <c r="A3130" t="s">
        <v>7521</v>
      </c>
      <c r="B3130">
        <v>77</v>
      </c>
      <c r="C3130" t="s">
        <v>7522</v>
      </c>
      <c r="D3130">
        <v>138500</v>
      </c>
      <c r="E3130" t="s">
        <v>27</v>
      </c>
      <c r="F3130" t="s">
        <v>7523</v>
      </c>
      <c r="G3130" s="1">
        <v>45197</v>
      </c>
    </row>
    <row r="3131" spans="1:7">
      <c r="B3131">
        <v>66</v>
      </c>
      <c r="C3131" t="s">
        <v>7524</v>
      </c>
      <c r="D3131">
        <v>35972</v>
      </c>
      <c r="E3131" t="s">
        <v>12</v>
      </c>
      <c r="F3131" t="s">
        <v>7525</v>
      </c>
      <c r="G3131" s="1">
        <v>45289</v>
      </c>
    </row>
    <row r="3132" spans="1:7">
      <c r="A3132" t="s">
        <v>7526</v>
      </c>
      <c r="B3132">
        <v>30</v>
      </c>
      <c r="C3132" t="s">
        <v>7527</v>
      </c>
      <c r="D3132">
        <v>44955</v>
      </c>
      <c r="E3132" t="s">
        <v>9</v>
      </c>
      <c r="F3132">
        <f>1-846-901-5494</f>
        <v>-7240</v>
      </c>
      <c r="G3132" s="1">
        <v>44973</v>
      </c>
    </row>
    <row r="3133" spans="1:7">
      <c r="A3133" t="s">
        <v>503</v>
      </c>
      <c r="B3133">
        <v>45</v>
      </c>
      <c r="C3133" t="s">
        <v>7528</v>
      </c>
      <c r="D3133">
        <v>148142</v>
      </c>
      <c r="E3133" t="s">
        <v>36</v>
      </c>
      <c r="F3133" t="s">
        <v>7529</v>
      </c>
      <c r="G3133" s="1">
        <v>45022</v>
      </c>
    </row>
    <row r="3134" spans="1:7">
      <c r="B3134">
        <v>56</v>
      </c>
      <c r="D3134">
        <v>37697</v>
      </c>
      <c r="E3134" t="s">
        <v>27</v>
      </c>
      <c r="F3134" t="s">
        <v>7530</v>
      </c>
      <c r="G3134" s="1">
        <v>45102</v>
      </c>
    </row>
    <row r="3135" spans="1:7">
      <c r="A3135" t="s">
        <v>7531</v>
      </c>
      <c r="B3135">
        <v>53</v>
      </c>
      <c r="D3135">
        <v>55032</v>
      </c>
      <c r="E3135" t="s">
        <v>9</v>
      </c>
      <c r="F3135" t="s">
        <v>7532</v>
      </c>
      <c r="G3135" s="1">
        <v>45181</v>
      </c>
    </row>
    <row r="3136" spans="1:7">
      <c r="A3136" t="s">
        <v>7533</v>
      </c>
      <c r="B3136">
        <v>44</v>
      </c>
      <c r="C3136" t="s">
        <v>7534</v>
      </c>
      <c r="D3136">
        <v>74814</v>
      </c>
      <c r="E3136" t="s">
        <v>18</v>
      </c>
      <c r="F3136" t="s">
        <v>7535</v>
      </c>
      <c r="G3136" s="1">
        <v>45143</v>
      </c>
    </row>
    <row r="3137" spans="1:7">
      <c r="A3137" t="s">
        <v>7536</v>
      </c>
      <c r="B3137">
        <v>72</v>
      </c>
      <c r="C3137" t="s">
        <v>7537</v>
      </c>
      <c r="D3137">
        <v>39045</v>
      </c>
      <c r="E3137" t="s">
        <v>27</v>
      </c>
      <c r="F3137">
        <f>1-227-897-8578</f>
        <v>-9701</v>
      </c>
      <c r="G3137" s="1">
        <v>45156</v>
      </c>
    </row>
    <row r="3138" spans="1:7">
      <c r="A3138" t="s">
        <v>7538</v>
      </c>
      <c r="B3138">
        <v>70</v>
      </c>
      <c r="C3138" t="s">
        <v>7539</v>
      </c>
      <c r="D3138">
        <v>155580</v>
      </c>
      <c r="E3138" t="s">
        <v>36</v>
      </c>
      <c r="F3138">
        <f>1-423-952-2600</f>
        <v>-3974</v>
      </c>
      <c r="G3138" s="1">
        <v>45095</v>
      </c>
    </row>
    <row r="3139" spans="1:7">
      <c r="A3139" t="s">
        <v>7540</v>
      </c>
      <c r="B3139">
        <v>-10</v>
      </c>
      <c r="C3139" t="s">
        <v>7541</v>
      </c>
      <c r="D3139">
        <v>0</v>
      </c>
      <c r="E3139" t="s">
        <v>27</v>
      </c>
      <c r="F3139">
        <v>8730413737</v>
      </c>
      <c r="G3139" s="1">
        <v>44950</v>
      </c>
    </row>
    <row r="3140" spans="1:7">
      <c r="A3140" t="s">
        <v>7542</v>
      </c>
      <c r="B3140">
        <v>18</v>
      </c>
      <c r="C3140" t="s">
        <v>7543</v>
      </c>
      <c r="D3140">
        <v>99855</v>
      </c>
      <c r="E3140" t="s">
        <v>36</v>
      </c>
      <c r="F3140" t="s">
        <v>7544</v>
      </c>
      <c r="G3140" s="1">
        <v>45041</v>
      </c>
    </row>
    <row r="3141" spans="1:7">
      <c r="A3141" t="s">
        <v>7545</v>
      </c>
      <c r="B3141">
        <v>29</v>
      </c>
      <c r="C3141" t="s">
        <v>7546</v>
      </c>
      <c r="D3141">
        <v>55901</v>
      </c>
      <c r="E3141" t="s">
        <v>27</v>
      </c>
      <c r="F3141">
        <f>1-132-715-7230</f>
        <v>-8076</v>
      </c>
      <c r="G3141" s="1">
        <v>45177</v>
      </c>
    </row>
    <row r="3142" spans="1:7">
      <c r="A3142" t="s">
        <v>5103</v>
      </c>
      <c r="B3142">
        <v>61</v>
      </c>
      <c r="C3142" t="s">
        <v>7547</v>
      </c>
      <c r="D3142">
        <v>142651</v>
      </c>
      <c r="E3142" t="s">
        <v>9</v>
      </c>
      <c r="F3142">
        <v>6545740371</v>
      </c>
      <c r="G3142" s="1">
        <v>45163</v>
      </c>
    </row>
    <row r="3143" spans="1:7">
      <c r="A3143" t="s">
        <v>7548</v>
      </c>
      <c r="B3143">
        <v>47</v>
      </c>
      <c r="C3143" t="s">
        <v>7549</v>
      </c>
      <c r="D3143">
        <v>-20000</v>
      </c>
      <c r="E3143" t="s">
        <v>27</v>
      </c>
      <c r="F3143" t="s">
        <v>7550</v>
      </c>
      <c r="G3143" s="1">
        <v>45008</v>
      </c>
    </row>
    <row r="3144" spans="1:7">
      <c r="A3144" t="s">
        <v>7551</v>
      </c>
      <c r="B3144">
        <v>51</v>
      </c>
      <c r="C3144" t="s">
        <v>7552</v>
      </c>
      <c r="D3144">
        <v>81272</v>
      </c>
      <c r="E3144" t="s">
        <v>9</v>
      </c>
      <c r="F3144" t="s">
        <v>7553</v>
      </c>
      <c r="G3144" s="1">
        <v>45067</v>
      </c>
    </row>
    <row r="3145" spans="1:7">
      <c r="A3145" t="s">
        <v>7554</v>
      </c>
      <c r="C3145" t="s">
        <v>7555</v>
      </c>
      <c r="D3145">
        <v>48300</v>
      </c>
      <c r="E3145" t="s">
        <v>12</v>
      </c>
      <c r="F3145">
        <v>9619926628</v>
      </c>
      <c r="G3145" s="1">
        <v>45278</v>
      </c>
    </row>
    <row r="3146" spans="1:7">
      <c r="A3146" t="s">
        <v>7556</v>
      </c>
      <c r="B3146">
        <v>51</v>
      </c>
      <c r="C3146" t="s">
        <v>7557</v>
      </c>
      <c r="D3146">
        <v>73129</v>
      </c>
      <c r="E3146" t="s">
        <v>27</v>
      </c>
      <c r="F3146" t="s">
        <v>7558</v>
      </c>
      <c r="G3146" s="1">
        <v>45107</v>
      </c>
    </row>
    <row r="3147" spans="1:7">
      <c r="A3147" t="s">
        <v>7559</v>
      </c>
      <c r="B3147">
        <v>0</v>
      </c>
      <c r="D3147">
        <v>134601</v>
      </c>
      <c r="E3147" t="s">
        <v>36</v>
      </c>
      <c r="F3147" t="s">
        <v>7560</v>
      </c>
      <c r="G3147" s="1">
        <v>44951</v>
      </c>
    </row>
    <row r="3148" spans="1:7">
      <c r="A3148" t="s">
        <v>7561</v>
      </c>
      <c r="B3148">
        <v>49</v>
      </c>
      <c r="C3148" t="s">
        <v>7562</v>
      </c>
      <c r="D3148">
        <v>31620</v>
      </c>
      <c r="E3148" t="s">
        <v>9</v>
      </c>
      <c r="F3148" t="s">
        <v>7563</v>
      </c>
      <c r="G3148" t="s">
        <v>715</v>
      </c>
    </row>
    <row r="3149" spans="1:7">
      <c r="A3149" t="s">
        <v>1274</v>
      </c>
      <c r="B3149">
        <v>18</v>
      </c>
      <c r="C3149" t="s">
        <v>478</v>
      </c>
      <c r="D3149">
        <v>189163</v>
      </c>
      <c r="E3149" t="s">
        <v>9</v>
      </c>
      <c r="F3149">
        <v>6140827626</v>
      </c>
      <c r="G3149" s="1">
        <v>45067</v>
      </c>
    </row>
    <row r="3150" spans="1:7">
      <c r="A3150" t="s">
        <v>7564</v>
      </c>
      <c r="B3150">
        <v>47</v>
      </c>
      <c r="C3150" t="s">
        <v>7565</v>
      </c>
      <c r="E3150" t="s">
        <v>12</v>
      </c>
      <c r="F3150" t="s">
        <v>7566</v>
      </c>
      <c r="G3150" s="1">
        <v>45097</v>
      </c>
    </row>
    <row r="3151" spans="1:7">
      <c r="A3151" t="s">
        <v>7567</v>
      </c>
      <c r="B3151">
        <v>27</v>
      </c>
      <c r="C3151" t="s">
        <v>7568</v>
      </c>
      <c r="D3151">
        <v>41064</v>
      </c>
      <c r="E3151" t="s">
        <v>36</v>
      </c>
      <c r="F3151" t="s">
        <v>7569</v>
      </c>
      <c r="G3151" s="1">
        <v>44928</v>
      </c>
    </row>
    <row r="3152" spans="1:7">
      <c r="A3152" t="s">
        <v>2346</v>
      </c>
      <c r="B3152">
        <v>18</v>
      </c>
      <c r="C3152" t="s">
        <v>7570</v>
      </c>
      <c r="D3152">
        <v>133002</v>
      </c>
      <c r="E3152" t="s">
        <v>27</v>
      </c>
      <c r="G3152" s="1">
        <v>45080</v>
      </c>
    </row>
    <row r="3153" spans="1:7">
      <c r="A3153" t="s">
        <v>7571</v>
      </c>
      <c r="B3153">
        <v>51</v>
      </c>
      <c r="C3153" t="s">
        <v>7572</v>
      </c>
      <c r="D3153">
        <v>145080</v>
      </c>
      <c r="E3153" t="s">
        <v>12</v>
      </c>
      <c r="F3153" t="s">
        <v>7573</v>
      </c>
      <c r="G3153" s="1">
        <v>45110</v>
      </c>
    </row>
    <row r="3154" spans="1:7">
      <c r="A3154" t="s">
        <v>7574</v>
      </c>
      <c r="B3154">
        <v>39</v>
      </c>
      <c r="D3154">
        <v>30215</v>
      </c>
      <c r="E3154" t="s">
        <v>9</v>
      </c>
      <c r="F3154" t="s">
        <v>7575</v>
      </c>
      <c r="G3154" s="1">
        <v>45208</v>
      </c>
    </row>
    <row r="3155" spans="1:7">
      <c r="A3155" t="s">
        <v>7576</v>
      </c>
      <c r="B3155">
        <v>20</v>
      </c>
      <c r="C3155" t="s">
        <v>7577</v>
      </c>
      <c r="D3155">
        <v>199439</v>
      </c>
      <c r="E3155" t="s">
        <v>12</v>
      </c>
      <c r="F3155">
        <v>7191825941</v>
      </c>
      <c r="G3155" s="1">
        <v>44979</v>
      </c>
    </row>
    <row r="3156" spans="1:7">
      <c r="A3156" t="s">
        <v>7578</v>
      </c>
      <c r="B3156">
        <v>22</v>
      </c>
      <c r="C3156" t="s">
        <v>7579</v>
      </c>
      <c r="D3156">
        <v>62930</v>
      </c>
      <c r="E3156" t="s">
        <v>36</v>
      </c>
      <c r="F3156" t="s">
        <v>7580</v>
      </c>
      <c r="G3156" s="1">
        <v>44984</v>
      </c>
    </row>
    <row r="3157" spans="1:7">
      <c r="A3157" t="s">
        <v>7581</v>
      </c>
      <c r="B3157">
        <v>35</v>
      </c>
      <c r="C3157" t="s">
        <v>7582</v>
      </c>
      <c r="D3157">
        <v>111029</v>
      </c>
      <c r="E3157" t="s">
        <v>27</v>
      </c>
      <c r="F3157" t="s">
        <v>7583</v>
      </c>
      <c r="G3157" s="1">
        <v>44927</v>
      </c>
    </row>
    <row r="3158" spans="1:7">
      <c r="A3158" t="s">
        <v>7584</v>
      </c>
      <c r="B3158">
        <v>38</v>
      </c>
      <c r="C3158" t="s">
        <v>7585</v>
      </c>
      <c r="D3158">
        <v>89238</v>
      </c>
      <c r="E3158" t="s">
        <v>9</v>
      </c>
      <c r="F3158" t="s">
        <v>7586</v>
      </c>
      <c r="G3158" s="1">
        <v>44944</v>
      </c>
    </row>
    <row r="3159" spans="1:7">
      <c r="A3159" t="s">
        <v>7587</v>
      </c>
      <c r="B3159">
        <v>47</v>
      </c>
      <c r="C3159" t="s">
        <v>7588</v>
      </c>
      <c r="D3159">
        <v>125961</v>
      </c>
      <c r="E3159" t="s">
        <v>9</v>
      </c>
      <c r="F3159" t="s">
        <v>7589</v>
      </c>
      <c r="G3159" s="1">
        <v>44943</v>
      </c>
    </row>
    <row r="3160" spans="1:7">
      <c r="A3160" t="s">
        <v>7590</v>
      </c>
      <c r="B3160">
        <v>62</v>
      </c>
      <c r="C3160" t="s">
        <v>7591</v>
      </c>
      <c r="D3160">
        <v>129303</v>
      </c>
      <c r="E3160" t="s">
        <v>9</v>
      </c>
      <c r="G3160" s="1">
        <v>44953</v>
      </c>
    </row>
    <row r="3161" spans="1:7">
      <c r="A3161" t="s">
        <v>7592</v>
      </c>
      <c r="B3161">
        <v>41</v>
      </c>
      <c r="C3161" t="s">
        <v>7593</v>
      </c>
      <c r="D3161">
        <v>-1000</v>
      </c>
      <c r="E3161" t="s">
        <v>36</v>
      </c>
      <c r="F3161">
        <v>6496700122</v>
      </c>
      <c r="G3161" s="1">
        <v>44929</v>
      </c>
    </row>
    <row r="3162" spans="1:7">
      <c r="B3162">
        <v>31</v>
      </c>
      <c r="C3162" t="s">
        <v>7594</v>
      </c>
      <c r="D3162">
        <v>141072</v>
      </c>
      <c r="E3162" t="s">
        <v>9</v>
      </c>
      <c r="F3162" t="s">
        <v>7595</v>
      </c>
      <c r="G3162" s="1">
        <v>45285</v>
      </c>
    </row>
    <row r="3163" spans="1:7">
      <c r="A3163" t="s">
        <v>7596</v>
      </c>
      <c r="B3163">
        <v>43</v>
      </c>
      <c r="C3163" t="s">
        <v>7597</v>
      </c>
      <c r="D3163">
        <v>103193</v>
      </c>
      <c r="E3163" t="s">
        <v>36</v>
      </c>
      <c r="F3163" t="s">
        <v>7598</v>
      </c>
      <c r="G3163" s="1">
        <v>45071</v>
      </c>
    </row>
    <row r="3164" spans="1:7">
      <c r="A3164" t="s">
        <v>7599</v>
      </c>
      <c r="B3164">
        <v>26</v>
      </c>
      <c r="C3164" t="s">
        <v>7600</v>
      </c>
      <c r="D3164">
        <v>117265</v>
      </c>
      <c r="E3164" t="s">
        <v>36</v>
      </c>
      <c r="F3164">
        <f>1-331-103-7298</f>
        <v>-7731</v>
      </c>
      <c r="G3164" s="1">
        <v>45180</v>
      </c>
    </row>
    <row r="3165" spans="1:7">
      <c r="A3165" t="s">
        <v>7601</v>
      </c>
      <c r="B3165">
        <v>46</v>
      </c>
      <c r="C3165" t="s">
        <v>7602</v>
      </c>
      <c r="D3165">
        <v>103313</v>
      </c>
      <c r="E3165" t="s">
        <v>36</v>
      </c>
      <c r="F3165" t="s">
        <v>7603</v>
      </c>
      <c r="G3165" s="1">
        <v>45035</v>
      </c>
    </row>
    <row r="3166" spans="1:7">
      <c r="A3166" t="s">
        <v>7604</v>
      </c>
      <c r="B3166">
        <v>29</v>
      </c>
      <c r="C3166" t="s">
        <v>7605</v>
      </c>
      <c r="D3166">
        <v>191897</v>
      </c>
      <c r="E3166" t="s">
        <v>27</v>
      </c>
      <c r="F3166" t="s">
        <v>7606</v>
      </c>
      <c r="G3166" s="1">
        <v>45286</v>
      </c>
    </row>
    <row r="3167" spans="1:7">
      <c r="A3167" t="s">
        <v>7607</v>
      </c>
      <c r="B3167">
        <v>36</v>
      </c>
      <c r="C3167" t="s">
        <v>7608</v>
      </c>
      <c r="D3167">
        <v>134234</v>
      </c>
      <c r="E3167" t="s">
        <v>27</v>
      </c>
      <c r="F3167" t="s">
        <v>7609</v>
      </c>
      <c r="G3167" s="1">
        <v>45244</v>
      </c>
    </row>
    <row r="3168" spans="1:7">
      <c r="A3168" t="s">
        <v>7610</v>
      </c>
      <c r="C3168" t="s">
        <v>7611</v>
      </c>
      <c r="D3168">
        <v>177531</v>
      </c>
      <c r="E3168" t="s">
        <v>27</v>
      </c>
      <c r="F3168">
        <f>1-366-941-8194</f>
        <v>-9500</v>
      </c>
      <c r="G3168" s="1">
        <v>45071</v>
      </c>
    </row>
    <row r="3169" spans="1:7">
      <c r="A3169" t="s">
        <v>7612</v>
      </c>
      <c r="B3169">
        <v>28</v>
      </c>
      <c r="C3169" t="s">
        <v>7613</v>
      </c>
      <c r="D3169">
        <v>65398</v>
      </c>
      <c r="E3169" t="s">
        <v>12</v>
      </c>
      <c r="F3169" t="s">
        <v>7614</v>
      </c>
      <c r="G3169" s="1">
        <v>45098</v>
      </c>
    </row>
    <row r="3170" spans="1:7">
      <c r="A3170" t="s">
        <v>7615</v>
      </c>
      <c r="B3170">
        <v>70</v>
      </c>
      <c r="C3170" t="s">
        <v>7616</v>
      </c>
      <c r="D3170">
        <v>40234</v>
      </c>
      <c r="E3170" t="s">
        <v>12</v>
      </c>
      <c r="F3170" t="s">
        <v>7617</v>
      </c>
      <c r="G3170" s="1">
        <v>45029</v>
      </c>
    </row>
    <row r="3171" spans="1:7">
      <c r="A3171" t="s">
        <v>7618</v>
      </c>
      <c r="B3171">
        <v>56</v>
      </c>
      <c r="C3171" t="s">
        <v>7619</v>
      </c>
      <c r="E3171" t="s">
        <v>36</v>
      </c>
      <c r="F3171" t="s">
        <v>7620</v>
      </c>
      <c r="G3171" s="1">
        <v>45259</v>
      </c>
    </row>
    <row r="3172" spans="1:7">
      <c r="A3172" t="s">
        <v>7621</v>
      </c>
      <c r="B3172">
        <v>58</v>
      </c>
      <c r="C3172" t="s">
        <v>7622</v>
      </c>
      <c r="D3172">
        <v>108858</v>
      </c>
      <c r="E3172" t="s">
        <v>12</v>
      </c>
      <c r="F3172">
        <f>1-761-491-4151</f>
        <v>-5402</v>
      </c>
      <c r="G3172" s="1">
        <v>44951</v>
      </c>
    </row>
    <row r="3173" spans="1:7">
      <c r="A3173" t="s">
        <v>7623</v>
      </c>
      <c r="B3173">
        <v>77</v>
      </c>
      <c r="C3173" t="s">
        <v>7624</v>
      </c>
      <c r="D3173">
        <v>154206</v>
      </c>
      <c r="E3173" t="s">
        <v>36</v>
      </c>
      <c r="F3173" t="s">
        <v>7625</v>
      </c>
      <c r="G3173" s="1">
        <v>45140</v>
      </c>
    </row>
    <row r="3174" spans="1:7">
      <c r="A3174" t="s">
        <v>7626</v>
      </c>
      <c r="B3174">
        <v>25</v>
      </c>
      <c r="C3174" t="s">
        <v>7627</v>
      </c>
      <c r="D3174">
        <v>107360</v>
      </c>
      <c r="E3174" t="s">
        <v>12</v>
      </c>
      <c r="G3174" s="1">
        <v>45103</v>
      </c>
    </row>
    <row r="3175" spans="1:7">
      <c r="A3175" t="s">
        <v>7628</v>
      </c>
      <c r="B3175">
        <v>76</v>
      </c>
      <c r="C3175" t="s">
        <v>7629</v>
      </c>
      <c r="D3175">
        <v>160956</v>
      </c>
      <c r="E3175" t="s">
        <v>36</v>
      </c>
      <c r="F3175">
        <f>1-158-186-5683</f>
        <v>-6026</v>
      </c>
      <c r="G3175" s="1">
        <v>45091</v>
      </c>
    </row>
    <row r="3176" spans="1:7">
      <c r="A3176" t="s">
        <v>7630</v>
      </c>
      <c r="B3176">
        <v>68</v>
      </c>
      <c r="C3176" t="s">
        <v>7631</v>
      </c>
      <c r="D3176">
        <v>33729</v>
      </c>
      <c r="E3176" t="s">
        <v>12</v>
      </c>
      <c r="F3176" t="s">
        <v>7632</v>
      </c>
      <c r="G3176" s="1">
        <v>45215</v>
      </c>
    </row>
    <row r="3177" spans="1:7">
      <c r="A3177" t="s">
        <v>7633</v>
      </c>
      <c r="B3177">
        <v>75</v>
      </c>
      <c r="C3177" t="s">
        <v>7634</v>
      </c>
      <c r="D3177">
        <v>156155</v>
      </c>
      <c r="E3177" t="s">
        <v>12</v>
      </c>
      <c r="F3177" t="s">
        <v>7635</v>
      </c>
      <c r="G3177" s="1">
        <v>44988</v>
      </c>
    </row>
    <row r="3178" spans="1:7">
      <c r="A3178" t="s">
        <v>3343</v>
      </c>
      <c r="B3178">
        <v>70</v>
      </c>
      <c r="C3178" t="s">
        <v>7636</v>
      </c>
      <c r="D3178">
        <v>115092</v>
      </c>
      <c r="E3178" t="s">
        <v>12</v>
      </c>
      <c r="F3178" t="s">
        <v>7637</v>
      </c>
      <c r="G3178" t="s">
        <v>715</v>
      </c>
    </row>
    <row r="3179" spans="1:7">
      <c r="A3179" t="s">
        <v>7638</v>
      </c>
      <c r="B3179">
        <v>25</v>
      </c>
      <c r="C3179" t="s">
        <v>7639</v>
      </c>
      <c r="D3179">
        <v>102055</v>
      </c>
      <c r="E3179" t="s">
        <v>36</v>
      </c>
      <c r="F3179" t="s">
        <v>7640</v>
      </c>
      <c r="G3179" s="1">
        <v>45275</v>
      </c>
    </row>
    <row r="3180" spans="1:7">
      <c r="A3180" t="s">
        <v>7641</v>
      </c>
      <c r="B3180">
        <v>30</v>
      </c>
      <c r="C3180" t="s">
        <v>299</v>
      </c>
      <c r="D3180">
        <v>174101</v>
      </c>
      <c r="E3180" t="s">
        <v>36</v>
      </c>
      <c r="F3180">
        <v>7158353462</v>
      </c>
      <c r="G3180" s="1">
        <v>45114</v>
      </c>
    </row>
    <row r="3181" spans="1:7">
      <c r="A3181" t="s">
        <v>7642</v>
      </c>
      <c r="C3181" t="s">
        <v>7643</v>
      </c>
      <c r="D3181">
        <v>185195</v>
      </c>
      <c r="E3181" t="s">
        <v>12</v>
      </c>
      <c r="F3181" t="s">
        <v>7644</v>
      </c>
      <c r="G3181" s="1">
        <v>44968</v>
      </c>
    </row>
    <row r="3182" spans="1:7">
      <c r="A3182" t="s">
        <v>7645</v>
      </c>
      <c r="B3182">
        <v>39</v>
      </c>
      <c r="C3182" t="s">
        <v>7646</v>
      </c>
      <c r="D3182">
        <v>41772</v>
      </c>
      <c r="F3182" t="s">
        <v>7647</v>
      </c>
      <c r="G3182" s="1">
        <v>45014</v>
      </c>
    </row>
    <row r="3183" spans="1:7">
      <c r="A3183" t="s">
        <v>7648</v>
      </c>
      <c r="B3183">
        <v>37</v>
      </c>
      <c r="D3183">
        <v>175364</v>
      </c>
      <c r="E3183" t="s">
        <v>9</v>
      </c>
      <c r="F3183" t="s">
        <v>7649</v>
      </c>
      <c r="G3183" s="1">
        <v>45128</v>
      </c>
    </row>
    <row r="3184" spans="1:7">
      <c r="A3184" t="s">
        <v>7650</v>
      </c>
      <c r="B3184">
        <v>52</v>
      </c>
      <c r="C3184" t="s">
        <v>7651</v>
      </c>
      <c r="D3184">
        <v>30453</v>
      </c>
      <c r="E3184" t="s">
        <v>27</v>
      </c>
      <c r="F3184">
        <v>4018061455</v>
      </c>
      <c r="G3184" s="1">
        <v>44989</v>
      </c>
    </row>
    <row r="3185" spans="1:7">
      <c r="A3185" t="s">
        <v>7652</v>
      </c>
      <c r="B3185">
        <v>38</v>
      </c>
      <c r="C3185" t="s">
        <v>7653</v>
      </c>
      <c r="E3185" t="s">
        <v>49</v>
      </c>
      <c r="F3185">
        <f>1-763-165-7548</f>
        <v>-8475</v>
      </c>
      <c r="G3185" s="1">
        <v>45114</v>
      </c>
    </row>
    <row r="3186" spans="1:7">
      <c r="A3186" t="s">
        <v>7654</v>
      </c>
      <c r="B3186">
        <v>62</v>
      </c>
      <c r="C3186" t="s">
        <v>7655</v>
      </c>
      <c r="D3186">
        <v>189912</v>
      </c>
      <c r="E3186" t="s">
        <v>12</v>
      </c>
      <c r="F3186">
        <v>1641889887</v>
      </c>
    </row>
    <row r="3187" spans="1:7">
      <c r="A3187" t="s">
        <v>7656</v>
      </c>
      <c r="B3187">
        <v>46</v>
      </c>
      <c r="C3187" t="s">
        <v>7657</v>
      </c>
      <c r="D3187">
        <v>167686</v>
      </c>
      <c r="F3187" t="s">
        <v>7658</v>
      </c>
      <c r="G3187" s="1">
        <v>45039</v>
      </c>
    </row>
    <row r="3188" spans="1:7">
      <c r="A3188" t="s">
        <v>7659</v>
      </c>
      <c r="B3188">
        <v>35</v>
      </c>
      <c r="C3188" t="s">
        <v>7660</v>
      </c>
      <c r="D3188">
        <v>123715</v>
      </c>
      <c r="E3188" t="s">
        <v>12</v>
      </c>
      <c r="F3188" t="s">
        <v>7661</v>
      </c>
      <c r="G3188" s="1">
        <v>45020</v>
      </c>
    </row>
    <row r="3189" spans="1:7">
      <c r="A3189" t="s">
        <v>7662</v>
      </c>
      <c r="B3189">
        <v>77</v>
      </c>
      <c r="C3189" t="s">
        <v>17</v>
      </c>
      <c r="D3189">
        <v>94280</v>
      </c>
      <c r="E3189" t="s">
        <v>9</v>
      </c>
      <c r="F3189" t="s">
        <v>7663</v>
      </c>
      <c r="G3189" s="1">
        <v>44954</v>
      </c>
    </row>
    <row r="3190" spans="1:7">
      <c r="A3190" t="s">
        <v>7664</v>
      </c>
      <c r="B3190">
        <v>67</v>
      </c>
      <c r="C3190" t="s">
        <v>7665</v>
      </c>
      <c r="D3190">
        <v>71486</v>
      </c>
      <c r="E3190" t="s">
        <v>12</v>
      </c>
      <c r="F3190" t="s">
        <v>7666</v>
      </c>
      <c r="G3190" s="1">
        <v>45260</v>
      </c>
    </row>
    <row r="3191" spans="1:7">
      <c r="A3191" t="s">
        <v>6388</v>
      </c>
      <c r="B3191">
        <v>51</v>
      </c>
      <c r="C3191" t="s">
        <v>7667</v>
      </c>
      <c r="D3191">
        <v>123574</v>
      </c>
      <c r="E3191" t="s">
        <v>9</v>
      </c>
      <c r="F3191">
        <f>1-206-801-8306</f>
        <v>-9312</v>
      </c>
      <c r="G3191" s="1">
        <v>45213</v>
      </c>
    </row>
    <row r="3192" spans="1:7">
      <c r="A3192" t="s">
        <v>7668</v>
      </c>
      <c r="B3192">
        <v>18</v>
      </c>
      <c r="C3192" t="s">
        <v>7669</v>
      </c>
      <c r="D3192">
        <v>-50000</v>
      </c>
      <c r="E3192" t="s">
        <v>9</v>
      </c>
      <c r="F3192">
        <f>1-671-780-3664</f>
        <v>-5114</v>
      </c>
      <c r="G3192" s="1">
        <v>45258</v>
      </c>
    </row>
    <row r="3193" spans="1:7">
      <c r="A3193" t="s">
        <v>7670</v>
      </c>
      <c r="B3193">
        <v>23</v>
      </c>
      <c r="C3193" t="s">
        <v>7671</v>
      </c>
      <c r="D3193">
        <v>63302</v>
      </c>
      <c r="E3193" t="s">
        <v>9</v>
      </c>
      <c r="F3193" t="s">
        <v>7672</v>
      </c>
      <c r="G3193" s="1">
        <v>45094</v>
      </c>
    </row>
    <row r="3194" spans="1:7">
      <c r="A3194" t="s">
        <v>7673</v>
      </c>
      <c r="B3194">
        <v>46</v>
      </c>
      <c r="C3194" t="s">
        <v>7674</v>
      </c>
      <c r="D3194">
        <v>-10000</v>
      </c>
      <c r="E3194" t="s">
        <v>27</v>
      </c>
      <c r="F3194" t="s">
        <v>7675</v>
      </c>
      <c r="G3194" s="1">
        <v>45077</v>
      </c>
    </row>
    <row r="3195" spans="1:7">
      <c r="A3195" t="s">
        <v>7676</v>
      </c>
      <c r="B3195">
        <v>23</v>
      </c>
      <c r="C3195" t="s">
        <v>115</v>
      </c>
      <c r="D3195">
        <v>191147</v>
      </c>
      <c r="E3195" t="s">
        <v>12</v>
      </c>
      <c r="G3195" s="1">
        <v>45162</v>
      </c>
    </row>
    <row r="3196" spans="1:7">
      <c r="A3196" t="s">
        <v>7677</v>
      </c>
      <c r="B3196">
        <v>48</v>
      </c>
      <c r="C3196" t="s">
        <v>7678</v>
      </c>
      <c r="D3196">
        <v>142492</v>
      </c>
      <c r="E3196" t="s">
        <v>12</v>
      </c>
      <c r="F3196" t="s">
        <v>7679</v>
      </c>
      <c r="G3196" s="1">
        <v>45172</v>
      </c>
    </row>
    <row r="3197" spans="1:7">
      <c r="A3197" t="s">
        <v>7680</v>
      </c>
      <c r="B3197">
        <v>-5</v>
      </c>
      <c r="C3197" t="s">
        <v>7681</v>
      </c>
      <c r="D3197">
        <v>198171</v>
      </c>
      <c r="E3197" t="s">
        <v>27</v>
      </c>
      <c r="G3197" s="1">
        <v>45116</v>
      </c>
    </row>
    <row r="3198" spans="1:7">
      <c r="A3198" t="s">
        <v>7682</v>
      </c>
      <c r="B3198">
        <v>44</v>
      </c>
      <c r="C3198" t="s">
        <v>7683</v>
      </c>
      <c r="D3198">
        <v>179328</v>
      </c>
      <c r="E3198" t="s">
        <v>36</v>
      </c>
      <c r="F3198" t="s">
        <v>7684</v>
      </c>
      <c r="G3198" s="1">
        <v>45243</v>
      </c>
    </row>
    <row r="3199" spans="1:7">
      <c r="A3199" t="s">
        <v>7685</v>
      </c>
      <c r="B3199">
        <v>59</v>
      </c>
      <c r="C3199" t="s">
        <v>7686</v>
      </c>
      <c r="D3199">
        <v>121404</v>
      </c>
      <c r="E3199" t="s">
        <v>36</v>
      </c>
      <c r="F3199">
        <v>7320856459</v>
      </c>
      <c r="G3199" s="1">
        <v>45074</v>
      </c>
    </row>
    <row r="3200" spans="1:7">
      <c r="A3200" t="s">
        <v>7687</v>
      </c>
      <c r="B3200">
        <v>51</v>
      </c>
      <c r="C3200" t="s">
        <v>7688</v>
      </c>
      <c r="E3200" t="s">
        <v>358</v>
      </c>
      <c r="F3200" t="s">
        <v>7689</v>
      </c>
      <c r="G3200" s="1">
        <v>45213</v>
      </c>
    </row>
    <row r="3201" spans="1:7">
      <c r="B3201">
        <v>43</v>
      </c>
      <c r="C3201" t="s">
        <v>7690</v>
      </c>
      <c r="D3201">
        <v>146082</v>
      </c>
      <c r="E3201" t="s">
        <v>27</v>
      </c>
      <c r="F3201" t="s">
        <v>7691</v>
      </c>
      <c r="G3201" s="1">
        <v>45034</v>
      </c>
    </row>
    <row r="3202" spans="1:7">
      <c r="A3202" t="s">
        <v>6036</v>
      </c>
      <c r="B3202">
        <v>56</v>
      </c>
      <c r="C3202" t="s">
        <v>7692</v>
      </c>
      <c r="D3202">
        <v>185489</v>
      </c>
      <c r="E3202" t="s">
        <v>12</v>
      </c>
      <c r="F3202" t="s">
        <v>7693</v>
      </c>
      <c r="G3202" s="1">
        <v>45203</v>
      </c>
    </row>
    <row r="3203" spans="1:7">
      <c r="A3203" t="s">
        <v>7694</v>
      </c>
      <c r="B3203">
        <v>40</v>
      </c>
      <c r="C3203" t="s">
        <v>7695</v>
      </c>
      <c r="D3203">
        <v>163195</v>
      </c>
      <c r="E3203" t="s">
        <v>9</v>
      </c>
      <c r="F3203" t="s">
        <v>7696</v>
      </c>
      <c r="G3203" s="1">
        <v>45131</v>
      </c>
    </row>
    <row r="3204" spans="1:7">
      <c r="A3204" t="s">
        <v>7697</v>
      </c>
      <c r="B3204">
        <v>35</v>
      </c>
      <c r="C3204" t="s">
        <v>7698</v>
      </c>
      <c r="E3204" t="s">
        <v>9</v>
      </c>
      <c r="F3204" t="s">
        <v>7699</v>
      </c>
      <c r="G3204" s="1">
        <v>44952</v>
      </c>
    </row>
    <row r="3205" spans="1:7">
      <c r="A3205" t="s">
        <v>7700</v>
      </c>
      <c r="B3205">
        <v>74</v>
      </c>
      <c r="C3205" t="s">
        <v>7701</v>
      </c>
      <c r="D3205">
        <v>0</v>
      </c>
      <c r="E3205" t="s">
        <v>36</v>
      </c>
      <c r="F3205">
        <v>8270430884</v>
      </c>
      <c r="G3205" s="1">
        <v>45116</v>
      </c>
    </row>
    <row r="3206" spans="1:7">
      <c r="A3206" t="s">
        <v>3628</v>
      </c>
      <c r="B3206">
        <v>32</v>
      </c>
      <c r="C3206" t="s">
        <v>7702</v>
      </c>
      <c r="D3206">
        <v>131010</v>
      </c>
      <c r="E3206" t="s">
        <v>9</v>
      </c>
      <c r="F3206">
        <f>1-224-713-3120</f>
        <v>-4056</v>
      </c>
      <c r="G3206" s="1">
        <v>45016</v>
      </c>
    </row>
    <row r="3207" spans="1:7">
      <c r="A3207" t="s">
        <v>7703</v>
      </c>
      <c r="B3207">
        <v>250</v>
      </c>
      <c r="C3207" t="s">
        <v>299</v>
      </c>
      <c r="D3207">
        <v>93227</v>
      </c>
      <c r="E3207" t="s">
        <v>9</v>
      </c>
      <c r="G3207" s="1">
        <v>45193</v>
      </c>
    </row>
    <row r="3208" spans="1:7">
      <c r="A3208" t="s">
        <v>7704</v>
      </c>
      <c r="B3208">
        <v>75</v>
      </c>
      <c r="C3208" t="s">
        <v>7705</v>
      </c>
      <c r="E3208" t="s">
        <v>527</v>
      </c>
      <c r="F3208" t="s">
        <v>7706</v>
      </c>
      <c r="G3208" s="1">
        <v>44950</v>
      </c>
    </row>
    <row r="3209" spans="1:7">
      <c r="A3209" t="s">
        <v>7707</v>
      </c>
      <c r="B3209">
        <v>35</v>
      </c>
      <c r="D3209">
        <v>70733</v>
      </c>
      <c r="E3209" t="s">
        <v>9</v>
      </c>
      <c r="F3209" t="s">
        <v>7708</v>
      </c>
      <c r="G3209" s="1">
        <v>45134</v>
      </c>
    </row>
    <row r="3210" spans="1:7">
      <c r="A3210" t="s">
        <v>7709</v>
      </c>
      <c r="B3210">
        <v>999</v>
      </c>
      <c r="C3210" t="s">
        <v>7710</v>
      </c>
      <c r="D3210">
        <v>51577</v>
      </c>
      <c r="E3210" t="s">
        <v>27</v>
      </c>
      <c r="F3210" t="s">
        <v>7711</v>
      </c>
      <c r="G3210" s="1">
        <v>45150</v>
      </c>
    </row>
    <row r="3211" spans="1:7">
      <c r="A3211" t="s">
        <v>7712</v>
      </c>
      <c r="B3211">
        <v>300</v>
      </c>
      <c r="C3211" t="s">
        <v>7713</v>
      </c>
      <c r="D3211">
        <v>119745</v>
      </c>
      <c r="E3211" t="s">
        <v>12</v>
      </c>
      <c r="F3211" t="s">
        <v>7714</v>
      </c>
      <c r="G3211" s="1">
        <v>45065</v>
      </c>
    </row>
    <row r="3212" spans="1:7">
      <c r="A3212" t="s">
        <v>7715</v>
      </c>
      <c r="B3212">
        <v>73</v>
      </c>
      <c r="C3212" t="s">
        <v>7716</v>
      </c>
      <c r="D3212">
        <v>49710</v>
      </c>
      <c r="E3212" t="s">
        <v>36</v>
      </c>
      <c r="F3212">
        <v>5392421278</v>
      </c>
      <c r="G3212" s="1">
        <v>45104</v>
      </c>
    </row>
    <row r="3213" spans="1:7">
      <c r="A3213" t="s">
        <v>7717</v>
      </c>
      <c r="B3213">
        <v>75</v>
      </c>
      <c r="C3213" t="s">
        <v>7718</v>
      </c>
      <c r="D3213">
        <v>-1000</v>
      </c>
      <c r="E3213" t="s">
        <v>27</v>
      </c>
      <c r="F3213">
        <v>4922193193</v>
      </c>
      <c r="G3213" s="1">
        <v>45199</v>
      </c>
    </row>
    <row r="3214" spans="1:7">
      <c r="A3214" t="s">
        <v>736</v>
      </c>
      <c r="B3214">
        <v>78</v>
      </c>
      <c r="C3214" t="s">
        <v>299</v>
      </c>
      <c r="D3214">
        <v>153030</v>
      </c>
      <c r="E3214" t="s">
        <v>12</v>
      </c>
      <c r="F3214" t="s">
        <v>7719</v>
      </c>
      <c r="G3214" s="1">
        <v>45198</v>
      </c>
    </row>
    <row r="3215" spans="1:7">
      <c r="A3215" t="s">
        <v>7720</v>
      </c>
      <c r="B3215">
        <v>64</v>
      </c>
      <c r="C3215" t="s">
        <v>7721</v>
      </c>
      <c r="D3215">
        <v>180952</v>
      </c>
      <c r="E3215" t="s">
        <v>36</v>
      </c>
      <c r="F3215" t="s">
        <v>7722</v>
      </c>
      <c r="G3215" s="1">
        <v>44963</v>
      </c>
    </row>
    <row r="3216" spans="1:7">
      <c r="A3216" t="s">
        <v>4473</v>
      </c>
      <c r="B3216">
        <v>27</v>
      </c>
      <c r="C3216" t="s">
        <v>7723</v>
      </c>
      <c r="D3216">
        <v>103034</v>
      </c>
      <c r="E3216" t="s">
        <v>27</v>
      </c>
      <c r="F3216" t="s">
        <v>7724</v>
      </c>
      <c r="G3216" s="1">
        <v>44998</v>
      </c>
    </row>
    <row r="3217" spans="1:7">
      <c r="A3217" t="s">
        <v>7725</v>
      </c>
      <c r="B3217">
        <v>49</v>
      </c>
      <c r="C3217" t="s">
        <v>7726</v>
      </c>
      <c r="D3217">
        <v>191015</v>
      </c>
      <c r="E3217" t="s">
        <v>9</v>
      </c>
      <c r="F3217" t="s">
        <v>7727</v>
      </c>
      <c r="G3217" s="1">
        <v>44989</v>
      </c>
    </row>
    <row r="3218" spans="1:7">
      <c r="B3218">
        <v>52</v>
      </c>
      <c r="D3218">
        <v>137237</v>
      </c>
      <c r="E3218" t="s">
        <v>36</v>
      </c>
      <c r="F3218" t="s">
        <v>7728</v>
      </c>
      <c r="G3218" s="1">
        <v>45182</v>
      </c>
    </row>
    <row r="3219" spans="1:7">
      <c r="A3219" t="s">
        <v>7729</v>
      </c>
      <c r="B3219">
        <v>29</v>
      </c>
      <c r="C3219" t="s">
        <v>7730</v>
      </c>
      <c r="D3219">
        <v>119402</v>
      </c>
      <c r="E3219" t="s">
        <v>12</v>
      </c>
      <c r="F3219" t="s">
        <v>7731</v>
      </c>
      <c r="G3219" s="1">
        <v>45129</v>
      </c>
    </row>
    <row r="3220" spans="1:7">
      <c r="A3220" t="s">
        <v>7732</v>
      </c>
      <c r="B3220">
        <v>54</v>
      </c>
      <c r="C3220" t="s">
        <v>7733</v>
      </c>
      <c r="D3220">
        <v>199302</v>
      </c>
      <c r="E3220" t="s">
        <v>27</v>
      </c>
      <c r="F3220" t="s">
        <v>7734</v>
      </c>
      <c r="G3220" t="s">
        <v>493</v>
      </c>
    </row>
    <row r="3221" spans="1:7">
      <c r="A3221" t="s">
        <v>7735</v>
      </c>
      <c r="B3221">
        <v>-100</v>
      </c>
      <c r="D3221">
        <v>173233</v>
      </c>
      <c r="E3221" t="s">
        <v>27</v>
      </c>
      <c r="F3221" t="s">
        <v>7736</v>
      </c>
      <c r="G3221" t="s">
        <v>1459</v>
      </c>
    </row>
    <row r="3222" spans="1:7">
      <c r="A3222" t="s">
        <v>7737</v>
      </c>
      <c r="B3222">
        <v>0</v>
      </c>
      <c r="C3222" t="s">
        <v>7738</v>
      </c>
      <c r="D3222">
        <v>60270</v>
      </c>
      <c r="E3222" t="s">
        <v>9</v>
      </c>
      <c r="F3222">
        <v>1580757526</v>
      </c>
      <c r="G3222" s="1">
        <v>45123</v>
      </c>
    </row>
    <row r="3223" spans="1:7">
      <c r="A3223" t="s">
        <v>7739</v>
      </c>
      <c r="B3223">
        <v>57</v>
      </c>
      <c r="D3223">
        <v>170824</v>
      </c>
      <c r="E3223" t="s">
        <v>27</v>
      </c>
      <c r="F3223">
        <v>9342671082</v>
      </c>
      <c r="G3223" s="1">
        <v>45158</v>
      </c>
    </row>
    <row r="3224" spans="1:7">
      <c r="A3224" t="s">
        <v>7740</v>
      </c>
      <c r="B3224">
        <v>49</v>
      </c>
      <c r="C3224" t="s">
        <v>7741</v>
      </c>
      <c r="D3224">
        <v>129108</v>
      </c>
      <c r="E3224" t="s">
        <v>27</v>
      </c>
      <c r="F3224">
        <f>1-206-253-5621</f>
        <v>-6079</v>
      </c>
      <c r="G3224" s="1">
        <v>45132</v>
      </c>
    </row>
    <row r="3225" spans="1:7">
      <c r="A3225" t="s">
        <v>679</v>
      </c>
      <c r="B3225">
        <v>56</v>
      </c>
      <c r="C3225" t="s">
        <v>7742</v>
      </c>
      <c r="D3225">
        <v>152784</v>
      </c>
      <c r="E3225" t="s">
        <v>12</v>
      </c>
      <c r="F3225" t="s">
        <v>7743</v>
      </c>
      <c r="G3225" s="1">
        <v>44988</v>
      </c>
    </row>
    <row r="3226" spans="1:7">
      <c r="A3226" t="s">
        <v>7744</v>
      </c>
      <c r="B3226">
        <v>52</v>
      </c>
      <c r="C3226" t="s">
        <v>7745</v>
      </c>
      <c r="D3226">
        <v>107004</v>
      </c>
      <c r="E3226" t="s">
        <v>36</v>
      </c>
      <c r="F3226" t="s">
        <v>7746</v>
      </c>
      <c r="G3226" t="s">
        <v>301</v>
      </c>
    </row>
    <row r="3227" spans="1:7">
      <c r="A3227" t="s">
        <v>7747</v>
      </c>
      <c r="B3227">
        <v>41</v>
      </c>
      <c r="C3227" t="s">
        <v>7748</v>
      </c>
      <c r="D3227">
        <v>165895</v>
      </c>
      <c r="E3227" t="s">
        <v>9</v>
      </c>
      <c r="F3227" t="s">
        <v>7749</v>
      </c>
      <c r="G3227" s="1">
        <v>45131</v>
      </c>
    </row>
    <row r="3228" spans="1:7">
      <c r="A3228" t="s">
        <v>7750</v>
      </c>
      <c r="B3228">
        <v>45</v>
      </c>
      <c r="C3228" t="s">
        <v>7751</v>
      </c>
      <c r="D3228">
        <v>108542</v>
      </c>
      <c r="E3228" t="s">
        <v>9</v>
      </c>
      <c r="F3228" t="s">
        <v>7752</v>
      </c>
      <c r="G3228" s="1">
        <v>45034</v>
      </c>
    </row>
    <row r="3229" spans="1:7">
      <c r="A3229" t="s">
        <v>7753</v>
      </c>
      <c r="B3229">
        <v>28</v>
      </c>
      <c r="C3229" t="s">
        <v>7754</v>
      </c>
      <c r="D3229">
        <v>169316</v>
      </c>
      <c r="E3229" t="s">
        <v>9</v>
      </c>
      <c r="F3229" t="s">
        <v>7755</v>
      </c>
      <c r="G3229" s="1">
        <v>45162</v>
      </c>
    </row>
    <row r="3230" spans="1:7">
      <c r="A3230" t="s">
        <v>7756</v>
      </c>
      <c r="B3230">
        <v>36</v>
      </c>
      <c r="C3230" t="s">
        <v>7757</v>
      </c>
      <c r="D3230">
        <v>171871</v>
      </c>
      <c r="E3230" t="s">
        <v>9</v>
      </c>
      <c r="F3230">
        <f>1-229-752-9337</f>
        <v>-10317</v>
      </c>
      <c r="G3230" s="1">
        <v>45289</v>
      </c>
    </row>
    <row r="3231" spans="1:7">
      <c r="A3231" t="s">
        <v>7758</v>
      </c>
      <c r="B3231">
        <v>33</v>
      </c>
      <c r="C3231" t="s">
        <v>7759</v>
      </c>
      <c r="D3231">
        <v>114774</v>
      </c>
      <c r="E3231" t="s">
        <v>27</v>
      </c>
      <c r="F3231" t="s">
        <v>7760</v>
      </c>
      <c r="G3231" s="1">
        <v>45027</v>
      </c>
    </row>
    <row r="3232" spans="1:7">
      <c r="A3232" t="s">
        <v>7761</v>
      </c>
      <c r="B3232">
        <v>0</v>
      </c>
      <c r="C3232" t="s">
        <v>7762</v>
      </c>
      <c r="D3232">
        <v>155865</v>
      </c>
      <c r="E3232" t="s">
        <v>12</v>
      </c>
      <c r="F3232" t="s">
        <v>7763</v>
      </c>
      <c r="G3232" s="1">
        <v>45080</v>
      </c>
    </row>
    <row r="3233" spans="1:7">
      <c r="A3233" t="s">
        <v>7764</v>
      </c>
      <c r="B3233">
        <v>56</v>
      </c>
      <c r="C3233" t="s">
        <v>299</v>
      </c>
      <c r="D3233">
        <v>34173</v>
      </c>
      <c r="E3233" t="s">
        <v>12</v>
      </c>
      <c r="F3233" t="s">
        <v>7765</v>
      </c>
      <c r="G3233" s="1">
        <v>44933</v>
      </c>
    </row>
    <row r="3234" spans="1:7">
      <c r="A3234" t="s">
        <v>7766</v>
      </c>
      <c r="B3234">
        <v>28</v>
      </c>
      <c r="C3234" t="s">
        <v>7767</v>
      </c>
      <c r="D3234">
        <v>195390</v>
      </c>
      <c r="E3234" t="s">
        <v>36</v>
      </c>
      <c r="F3234" t="s">
        <v>7768</v>
      </c>
      <c r="G3234" s="1">
        <v>45042</v>
      </c>
    </row>
    <row r="3235" spans="1:7">
      <c r="A3235" t="s">
        <v>7769</v>
      </c>
      <c r="B3235">
        <v>52</v>
      </c>
      <c r="C3235" t="s">
        <v>7770</v>
      </c>
      <c r="D3235">
        <v>79976</v>
      </c>
      <c r="E3235" t="s">
        <v>36</v>
      </c>
      <c r="F3235">
        <f>1-683-169-2623</f>
        <v>-3474</v>
      </c>
      <c r="G3235" s="1">
        <v>45029</v>
      </c>
    </row>
    <row r="3236" spans="1:7">
      <c r="A3236" t="s">
        <v>7771</v>
      </c>
      <c r="B3236">
        <v>77</v>
      </c>
      <c r="C3236" t="s">
        <v>7772</v>
      </c>
      <c r="D3236">
        <v>123122</v>
      </c>
      <c r="E3236" t="s">
        <v>12</v>
      </c>
      <c r="F3236" t="s">
        <v>7773</v>
      </c>
      <c r="G3236" s="1">
        <v>44996</v>
      </c>
    </row>
    <row r="3237" spans="1:7">
      <c r="B3237">
        <v>61</v>
      </c>
      <c r="C3237" t="s">
        <v>7774</v>
      </c>
      <c r="D3237">
        <v>63123</v>
      </c>
      <c r="E3237" t="s">
        <v>18</v>
      </c>
      <c r="F3237" t="s">
        <v>7775</v>
      </c>
      <c r="G3237" s="1">
        <v>45160</v>
      </c>
    </row>
    <row r="3238" spans="1:7">
      <c r="A3238" t="s">
        <v>7776</v>
      </c>
      <c r="B3238">
        <v>46</v>
      </c>
      <c r="C3238" t="s">
        <v>7777</v>
      </c>
      <c r="D3238">
        <v>76473</v>
      </c>
      <c r="E3238" t="s">
        <v>9</v>
      </c>
      <c r="F3238" t="s">
        <v>7778</v>
      </c>
      <c r="G3238" s="1">
        <v>45062</v>
      </c>
    </row>
    <row r="3239" spans="1:7">
      <c r="A3239" t="s">
        <v>7779</v>
      </c>
      <c r="B3239">
        <v>62</v>
      </c>
      <c r="C3239" t="s">
        <v>7780</v>
      </c>
      <c r="D3239">
        <v>114523</v>
      </c>
      <c r="E3239" t="s">
        <v>12</v>
      </c>
      <c r="F3239" t="s">
        <v>7781</v>
      </c>
      <c r="G3239" s="1">
        <v>45134</v>
      </c>
    </row>
    <row r="3240" spans="1:7">
      <c r="A3240" t="s">
        <v>7782</v>
      </c>
      <c r="B3240">
        <v>66</v>
      </c>
      <c r="E3240" t="s">
        <v>27</v>
      </c>
      <c r="F3240">
        <f>1-974-260-9301</f>
        <v>-10534</v>
      </c>
      <c r="G3240" s="1">
        <v>45098</v>
      </c>
    </row>
    <row r="3241" spans="1:7">
      <c r="A3241" t="s">
        <v>7783</v>
      </c>
      <c r="B3241">
        <v>41</v>
      </c>
      <c r="C3241" t="s">
        <v>7784</v>
      </c>
      <c r="D3241">
        <v>168069</v>
      </c>
      <c r="E3241" t="s">
        <v>9</v>
      </c>
      <c r="G3241" s="1">
        <v>44927</v>
      </c>
    </row>
    <row r="3242" spans="1:7">
      <c r="A3242" t="s">
        <v>7785</v>
      </c>
      <c r="B3242">
        <v>37</v>
      </c>
      <c r="E3242" t="s">
        <v>27</v>
      </c>
      <c r="F3242" t="s">
        <v>7786</v>
      </c>
      <c r="G3242" s="1">
        <v>45164</v>
      </c>
    </row>
    <row r="3243" spans="1:7">
      <c r="A3243" t="s">
        <v>7787</v>
      </c>
      <c r="B3243">
        <v>44</v>
      </c>
      <c r="C3243" t="s">
        <v>7788</v>
      </c>
      <c r="D3243">
        <v>198003</v>
      </c>
      <c r="E3243" t="s">
        <v>36</v>
      </c>
      <c r="F3243" t="s">
        <v>7789</v>
      </c>
      <c r="G3243" s="1">
        <v>45242</v>
      </c>
    </row>
    <row r="3244" spans="1:7">
      <c r="A3244" t="s">
        <v>7790</v>
      </c>
      <c r="B3244">
        <v>77</v>
      </c>
      <c r="D3244">
        <v>152118</v>
      </c>
      <c r="E3244" t="s">
        <v>12</v>
      </c>
      <c r="F3244" t="s">
        <v>7791</v>
      </c>
      <c r="G3244" s="1">
        <v>45290</v>
      </c>
    </row>
    <row r="3245" spans="1:7">
      <c r="A3245" t="s">
        <v>7792</v>
      </c>
      <c r="B3245">
        <v>47</v>
      </c>
      <c r="C3245" t="s">
        <v>7793</v>
      </c>
      <c r="D3245">
        <v>73481</v>
      </c>
      <c r="E3245" t="s">
        <v>27</v>
      </c>
      <c r="F3245" t="s">
        <v>7794</v>
      </c>
      <c r="G3245" s="1">
        <v>45250</v>
      </c>
    </row>
    <row r="3246" spans="1:7">
      <c r="A3246" t="s">
        <v>7795</v>
      </c>
      <c r="B3246">
        <v>25</v>
      </c>
      <c r="C3246" t="s">
        <v>7796</v>
      </c>
      <c r="E3246" t="s">
        <v>27</v>
      </c>
      <c r="F3246" t="s">
        <v>7797</v>
      </c>
      <c r="G3246" s="1">
        <v>44960</v>
      </c>
    </row>
    <row r="3247" spans="1:7">
      <c r="A3247" t="s">
        <v>7798</v>
      </c>
      <c r="B3247">
        <v>52</v>
      </c>
      <c r="C3247" t="s">
        <v>7799</v>
      </c>
      <c r="D3247">
        <v>150617</v>
      </c>
      <c r="E3247" t="s">
        <v>27</v>
      </c>
      <c r="F3247">
        <f>1-770-350-5790</f>
        <v>-6909</v>
      </c>
      <c r="G3247" s="1">
        <v>45016</v>
      </c>
    </row>
    <row r="3248" spans="1:7">
      <c r="A3248" t="s">
        <v>5432</v>
      </c>
      <c r="B3248">
        <v>51</v>
      </c>
      <c r="C3248" t="s">
        <v>7800</v>
      </c>
      <c r="D3248">
        <v>132266</v>
      </c>
      <c r="E3248" t="s">
        <v>12</v>
      </c>
      <c r="F3248">
        <v>2024862905</v>
      </c>
      <c r="G3248" s="1">
        <v>44992</v>
      </c>
    </row>
    <row r="3249" spans="1:7">
      <c r="A3249" t="s">
        <v>7801</v>
      </c>
      <c r="B3249">
        <v>38</v>
      </c>
      <c r="C3249" t="s">
        <v>7802</v>
      </c>
      <c r="D3249">
        <v>47948</v>
      </c>
      <c r="E3249" t="s">
        <v>27</v>
      </c>
      <c r="F3249" t="s">
        <v>7803</v>
      </c>
      <c r="G3249" s="1">
        <v>44994</v>
      </c>
    </row>
    <row r="3250" spans="1:7">
      <c r="A3250" t="s">
        <v>7804</v>
      </c>
      <c r="B3250">
        <v>77</v>
      </c>
      <c r="C3250" t="s">
        <v>7805</v>
      </c>
      <c r="D3250">
        <v>126261</v>
      </c>
      <c r="E3250" t="s">
        <v>9</v>
      </c>
      <c r="F3250">
        <v>2068046073</v>
      </c>
      <c r="G3250" s="1">
        <v>45004</v>
      </c>
    </row>
    <row r="3251" spans="1:7">
      <c r="A3251" t="s">
        <v>7806</v>
      </c>
      <c r="B3251">
        <v>75</v>
      </c>
      <c r="C3251" t="s">
        <v>7807</v>
      </c>
      <c r="D3251">
        <v>116610</v>
      </c>
      <c r="E3251" t="s">
        <v>9</v>
      </c>
      <c r="F3251">
        <f>1-762-726-4747</f>
        <v>-6234</v>
      </c>
      <c r="G3251" s="1">
        <v>45071</v>
      </c>
    </row>
    <row r="3252" spans="1:7">
      <c r="A3252" t="s">
        <v>7808</v>
      </c>
      <c r="B3252">
        <v>19</v>
      </c>
      <c r="C3252" t="s">
        <v>7809</v>
      </c>
      <c r="E3252" t="s">
        <v>12</v>
      </c>
      <c r="F3252" t="s">
        <v>7810</v>
      </c>
      <c r="G3252" t="s">
        <v>1627</v>
      </c>
    </row>
    <row r="3253" spans="1:7">
      <c r="A3253" t="s">
        <v>7811</v>
      </c>
      <c r="B3253">
        <v>58</v>
      </c>
      <c r="C3253" t="s">
        <v>7812</v>
      </c>
      <c r="D3253">
        <v>194744</v>
      </c>
      <c r="E3253" t="s">
        <v>36</v>
      </c>
      <c r="F3253" t="s">
        <v>7813</v>
      </c>
      <c r="G3253" s="1">
        <v>44948</v>
      </c>
    </row>
    <row r="3254" spans="1:7">
      <c r="A3254" t="s">
        <v>7814</v>
      </c>
      <c r="B3254">
        <v>40</v>
      </c>
      <c r="C3254" t="s">
        <v>7815</v>
      </c>
      <c r="D3254">
        <v>147409</v>
      </c>
      <c r="E3254" t="s">
        <v>36</v>
      </c>
      <c r="F3254" t="s">
        <v>7816</v>
      </c>
      <c r="G3254" s="1">
        <v>44927</v>
      </c>
    </row>
    <row r="3255" spans="1:7">
      <c r="A3255" t="s">
        <v>7817</v>
      </c>
      <c r="B3255">
        <v>63</v>
      </c>
      <c r="C3255" t="s">
        <v>7818</v>
      </c>
      <c r="D3255">
        <v>161300</v>
      </c>
      <c r="E3255" t="s">
        <v>9</v>
      </c>
      <c r="F3255" t="s">
        <v>7819</v>
      </c>
      <c r="G3255" s="1">
        <v>45049</v>
      </c>
    </row>
    <row r="3256" spans="1:7">
      <c r="A3256" t="s">
        <v>7820</v>
      </c>
      <c r="B3256">
        <v>29</v>
      </c>
      <c r="C3256" t="s">
        <v>169</v>
      </c>
      <c r="D3256">
        <v>189541</v>
      </c>
      <c r="E3256" t="s">
        <v>9</v>
      </c>
      <c r="F3256" t="s">
        <v>7821</v>
      </c>
      <c r="G3256" s="1">
        <v>45215</v>
      </c>
    </row>
    <row r="3257" spans="1:7">
      <c r="A3257" t="s">
        <v>7822</v>
      </c>
      <c r="B3257">
        <v>78</v>
      </c>
      <c r="C3257" t="s">
        <v>7823</v>
      </c>
      <c r="D3257">
        <v>71777</v>
      </c>
      <c r="E3257" t="s">
        <v>36</v>
      </c>
      <c r="F3257" t="s">
        <v>7824</v>
      </c>
      <c r="G3257" t="s">
        <v>301</v>
      </c>
    </row>
    <row r="3258" spans="1:7">
      <c r="A3258" t="s">
        <v>7825</v>
      </c>
      <c r="B3258">
        <v>74</v>
      </c>
      <c r="C3258" t="s">
        <v>7826</v>
      </c>
      <c r="D3258">
        <v>33849</v>
      </c>
      <c r="E3258" t="s">
        <v>9</v>
      </c>
      <c r="G3258" s="1">
        <v>44958</v>
      </c>
    </row>
    <row r="3259" spans="1:7">
      <c r="A3259" t="s">
        <v>7827</v>
      </c>
      <c r="B3259">
        <v>49</v>
      </c>
      <c r="C3259" t="s">
        <v>7828</v>
      </c>
      <c r="E3259" t="s">
        <v>36</v>
      </c>
      <c r="F3259">
        <v>8990165764</v>
      </c>
      <c r="G3259" s="1">
        <v>45029</v>
      </c>
    </row>
    <row r="3260" spans="1:7">
      <c r="A3260" t="s">
        <v>530</v>
      </c>
      <c r="B3260">
        <v>28</v>
      </c>
      <c r="C3260" t="s">
        <v>7829</v>
      </c>
      <c r="D3260">
        <v>188485</v>
      </c>
      <c r="E3260" t="s">
        <v>36</v>
      </c>
      <c r="F3260" t="s">
        <v>7830</v>
      </c>
      <c r="G3260" s="1">
        <v>45279</v>
      </c>
    </row>
    <row r="3261" spans="1:7">
      <c r="A3261" t="s">
        <v>7831</v>
      </c>
      <c r="B3261">
        <v>52</v>
      </c>
      <c r="C3261" t="s">
        <v>7832</v>
      </c>
      <c r="D3261">
        <v>-1000</v>
      </c>
      <c r="E3261" t="s">
        <v>36</v>
      </c>
      <c r="F3261" t="s">
        <v>7833</v>
      </c>
      <c r="G3261" s="1">
        <v>45229</v>
      </c>
    </row>
    <row r="3262" spans="1:7">
      <c r="A3262" t="s">
        <v>7834</v>
      </c>
      <c r="B3262">
        <v>66</v>
      </c>
      <c r="C3262" t="s">
        <v>7835</v>
      </c>
      <c r="D3262">
        <v>141266</v>
      </c>
      <c r="E3262" t="s">
        <v>27</v>
      </c>
      <c r="F3262" t="s">
        <v>7836</v>
      </c>
      <c r="G3262" s="1">
        <v>45145</v>
      </c>
    </row>
    <row r="3263" spans="1:7">
      <c r="A3263" t="s">
        <v>7837</v>
      </c>
      <c r="B3263">
        <v>61</v>
      </c>
      <c r="C3263" t="s">
        <v>7838</v>
      </c>
      <c r="D3263">
        <v>111972</v>
      </c>
      <c r="E3263" t="s">
        <v>12</v>
      </c>
      <c r="F3263" t="s">
        <v>7839</v>
      </c>
      <c r="G3263" s="1">
        <v>44959</v>
      </c>
    </row>
    <row r="3264" spans="1:7">
      <c r="A3264" t="s">
        <v>7840</v>
      </c>
      <c r="B3264">
        <v>65</v>
      </c>
      <c r="C3264" t="s">
        <v>7841</v>
      </c>
      <c r="D3264">
        <v>123526</v>
      </c>
      <c r="E3264" t="s">
        <v>9</v>
      </c>
      <c r="F3264" t="s">
        <v>7842</v>
      </c>
      <c r="G3264" s="1">
        <v>45105</v>
      </c>
    </row>
    <row r="3265" spans="1:7">
      <c r="A3265" t="s">
        <v>7843</v>
      </c>
      <c r="B3265">
        <v>59</v>
      </c>
      <c r="C3265" t="s">
        <v>7844</v>
      </c>
      <c r="D3265">
        <v>104499</v>
      </c>
      <c r="E3265" t="s">
        <v>9</v>
      </c>
      <c r="F3265" t="s">
        <v>7845</v>
      </c>
      <c r="G3265" s="1">
        <v>45036</v>
      </c>
    </row>
    <row r="3266" spans="1:7">
      <c r="A3266" t="s">
        <v>7846</v>
      </c>
      <c r="B3266">
        <v>65</v>
      </c>
      <c r="C3266" t="s">
        <v>7847</v>
      </c>
      <c r="D3266">
        <v>137692</v>
      </c>
      <c r="E3266" t="s">
        <v>27</v>
      </c>
      <c r="F3266" t="s">
        <v>7848</v>
      </c>
      <c r="G3266" s="1">
        <v>45258</v>
      </c>
    </row>
    <row r="3267" spans="1:7">
      <c r="A3267" t="s">
        <v>7849</v>
      </c>
      <c r="B3267">
        <v>0</v>
      </c>
      <c r="C3267" t="s">
        <v>7850</v>
      </c>
      <c r="D3267">
        <v>0</v>
      </c>
      <c r="E3267" t="s">
        <v>27</v>
      </c>
      <c r="F3267" t="s">
        <v>7851</v>
      </c>
      <c r="G3267" s="1">
        <v>45007</v>
      </c>
    </row>
    <row r="3268" spans="1:7">
      <c r="A3268" t="s">
        <v>7761</v>
      </c>
      <c r="B3268">
        <v>34</v>
      </c>
      <c r="C3268" t="s">
        <v>7852</v>
      </c>
      <c r="D3268">
        <v>181379</v>
      </c>
      <c r="E3268" t="s">
        <v>36</v>
      </c>
      <c r="F3268" t="s">
        <v>7853</v>
      </c>
      <c r="G3268" s="1">
        <v>44991</v>
      </c>
    </row>
    <row r="3269" spans="1:7">
      <c r="B3269">
        <v>20</v>
      </c>
      <c r="C3269" t="s">
        <v>7854</v>
      </c>
      <c r="E3269" t="s">
        <v>12</v>
      </c>
      <c r="F3269" t="s">
        <v>7855</v>
      </c>
      <c r="G3269" s="1">
        <v>45023</v>
      </c>
    </row>
    <row r="3270" spans="1:7">
      <c r="A3270" t="s">
        <v>7856</v>
      </c>
      <c r="B3270">
        <v>33</v>
      </c>
      <c r="E3270" t="s">
        <v>36</v>
      </c>
      <c r="F3270" t="s">
        <v>7857</v>
      </c>
      <c r="G3270" s="1">
        <v>45029</v>
      </c>
    </row>
    <row r="3271" spans="1:7">
      <c r="A3271" t="s">
        <v>7858</v>
      </c>
      <c r="B3271">
        <v>79</v>
      </c>
      <c r="C3271" t="s">
        <v>7859</v>
      </c>
      <c r="D3271">
        <v>84120</v>
      </c>
      <c r="E3271" t="s">
        <v>9</v>
      </c>
      <c r="F3271" t="s">
        <v>7860</v>
      </c>
      <c r="G3271" s="1">
        <v>45107</v>
      </c>
    </row>
    <row r="3272" spans="1:7">
      <c r="A3272" t="s">
        <v>7861</v>
      </c>
      <c r="B3272">
        <v>65</v>
      </c>
      <c r="C3272" t="s">
        <v>7862</v>
      </c>
      <c r="D3272">
        <v>108863</v>
      </c>
      <c r="E3272" t="s">
        <v>36</v>
      </c>
      <c r="F3272">
        <v>5976159420</v>
      </c>
      <c r="G3272" s="1">
        <v>45033</v>
      </c>
    </row>
    <row r="3273" spans="1:7">
      <c r="A3273" t="s">
        <v>7863</v>
      </c>
      <c r="C3273" t="s">
        <v>518</v>
      </c>
      <c r="D3273">
        <v>43440</v>
      </c>
      <c r="E3273" t="s">
        <v>12</v>
      </c>
      <c r="F3273">
        <v>2066074462</v>
      </c>
      <c r="G3273" s="1">
        <v>45117</v>
      </c>
    </row>
    <row r="3274" spans="1:7">
      <c r="A3274" t="s">
        <v>7864</v>
      </c>
      <c r="B3274">
        <v>60</v>
      </c>
      <c r="C3274" t="s">
        <v>7865</v>
      </c>
      <c r="E3274" t="s">
        <v>12</v>
      </c>
      <c r="F3274" t="s">
        <v>7866</v>
      </c>
      <c r="G3274" s="1">
        <v>45284</v>
      </c>
    </row>
    <row r="3275" spans="1:7">
      <c r="A3275" t="s">
        <v>7867</v>
      </c>
      <c r="B3275">
        <v>47</v>
      </c>
      <c r="C3275" t="s">
        <v>7868</v>
      </c>
      <c r="E3275" t="s">
        <v>9</v>
      </c>
      <c r="F3275" t="s">
        <v>7869</v>
      </c>
      <c r="G3275" s="1">
        <v>45180</v>
      </c>
    </row>
    <row r="3276" spans="1:7">
      <c r="A3276" t="s">
        <v>7870</v>
      </c>
      <c r="B3276">
        <v>58</v>
      </c>
      <c r="C3276" t="s">
        <v>7871</v>
      </c>
      <c r="D3276">
        <v>123246</v>
      </c>
      <c r="E3276" t="s">
        <v>9</v>
      </c>
      <c r="F3276">
        <v>2277950614</v>
      </c>
      <c r="G3276" s="1">
        <v>45236</v>
      </c>
    </row>
    <row r="3277" spans="1:7">
      <c r="A3277" t="s">
        <v>7872</v>
      </c>
      <c r="B3277">
        <v>73</v>
      </c>
      <c r="C3277" t="s">
        <v>7873</v>
      </c>
      <c r="D3277">
        <v>37008</v>
      </c>
      <c r="E3277" t="s">
        <v>9</v>
      </c>
      <c r="F3277">
        <f>1-747-565-9033</f>
        <v>-10344</v>
      </c>
      <c r="G3277" s="1">
        <v>45271</v>
      </c>
    </row>
    <row r="3278" spans="1:7">
      <c r="A3278" t="s">
        <v>3133</v>
      </c>
      <c r="B3278">
        <v>20</v>
      </c>
      <c r="C3278" t="s">
        <v>7874</v>
      </c>
      <c r="D3278">
        <v>117029</v>
      </c>
      <c r="E3278" t="s">
        <v>12</v>
      </c>
      <c r="F3278" t="s">
        <v>7875</v>
      </c>
      <c r="G3278" s="1">
        <v>45188</v>
      </c>
    </row>
    <row r="3279" spans="1:7">
      <c r="A3279" t="s">
        <v>7876</v>
      </c>
      <c r="B3279">
        <v>42</v>
      </c>
      <c r="C3279" t="s">
        <v>7877</v>
      </c>
      <c r="D3279">
        <v>88741</v>
      </c>
      <c r="E3279" t="s">
        <v>12</v>
      </c>
      <c r="F3279">
        <f>1-829-452-4520</f>
        <v>-5800</v>
      </c>
      <c r="G3279" t="s">
        <v>371</v>
      </c>
    </row>
    <row r="3280" spans="1:7">
      <c r="A3280" t="s">
        <v>7878</v>
      </c>
      <c r="B3280">
        <v>52</v>
      </c>
      <c r="C3280" t="s">
        <v>7879</v>
      </c>
      <c r="D3280">
        <v>138297</v>
      </c>
      <c r="E3280" t="s">
        <v>36</v>
      </c>
      <c r="F3280">
        <f>1-743-572-9942</f>
        <v>-11256</v>
      </c>
      <c r="G3280" s="1">
        <v>44958</v>
      </c>
    </row>
    <row r="3281" spans="1:7">
      <c r="A3281" t="s">
        <v>7880</v>
      </c>
      <c r="B3281">
        <v>36</v>
      </c>
      <c r="C3281" t="s">
        <v>7881</v>
      </c>
      <c r="D3281">
        <v>132062</v>
      </c>
      <c r="E3281" t="s">
        <v>12</v>
      </c>
      <c r="F3281">
        <v>5932073933</v>
      </c>
      <c r="G3281" s="1">
        <v>45025</v>
      </c>
    </row>
    <row r="3282" spans="1:7">
      <c r="A3282" t="s">
        <v>7882</v>
      </c>
      <c r="B3282">
        <v>500</v>
      </c>
      <c r="C3282" t="s">
        <v>7883</v>
      </c>
      <c r="D3282">
        <v>79556</v>
      </c>
      <c r="E3282" t="s">
        <v>9</v>
      </c>
      <c r="F3282">
        <f>1-214-465-1599</f>
        <v>-2277</v>
      </c>
      <c r="G3282" s="1">
        <v>45222</v>
      </c>
    </row>
    <row r="3283" spans="1:7">
      <c r="A3283" t="s">
        <v>7884</v>
      </c>
      <c r="B3283">
        <v>69</v>
      </c>
      <c r="D3283">
        <v>68333</v>
      </c>
      <c r="E3283" t="s">
        <v>9</v>
      </c>
      <c r="F3283">
        <f>1-846-747-9154</f>
        <v>-10746</v>
      </c>
      <c r="G3283" s="1">
        <v>45096</v>
      </c>
    </row>
    <row r="3284" spans="1:7">
      <c r="A3284" t="s">
        <v>1423</v>
      </c>
      <c r="B3284">
        <v>29</v>
      </c>
      <c r="C3284" t="s">
        <v>7885</v>
      </c>
      <c r="D3284">
        <v>141776</v>
      </c>
      <c r="E3284" t="s">
        <v>527</v>
      </c>
      <c r="F3284">
        <v>4819542354</v>
      </c>
      <c r="G3284" s="1">
        <v>45208</v>
      </c>
    </row>
    <row r="3285" spans="1:7">
      <c r="A3285" t="s">
        <v>7886</v>
      </c>
      <c r="B3285">
        <v>25</v>
      </c>
      <c r="C3285" t="s">
        <v>7887</v>
      </c>
      <c r="D3285">
        <v>33190</v>
      </c>
      <c r="E3285" t="s">
        <v>36</v>
      </c>
      <c r="F3285">
        <f>1-494-789-4339</f>
        <v>-5621</v>
      </c>
      <c r="G3285" s="1">
        <v>45138</v>
      </c>
    </row>
    <row r="3286" spans="1:7">
      <c r="B3286">
        <v>32</v>
      </c>
      <c r="C3286" t="s">
        <v>7888</v>
      </c>
      <c r="D3286">
        <v>59092</v>
      </c>
      <c r="F3286">
        <v>4119261951</v>
      </c>
      <c r="G3286" s="1">
        <v>44963</v>
      </c>
    </row>
    <row r="3287" spans="1:7">
      <c r="A3287" t="s">
        <v>7889</v>
      </c>
      <c r="B3287">
        <v>40</v>
      </c>
      <c r="C3287" t="s">
        <v>7890</v>
      </c>
      <c r="D3287">
        <v>85480</v>
      </c>
      <c r="E3287" t="s">
        <v>12</v>
      </c>
      <c r="F3287" t="s">
        <v>7891</v>
      </c>
      <c r="G3287" s="1">
        <v>44979</v>
      </c>
    </row>
    <row r="3288" spans="1:7">
      <c r="A3288" t="s">
        <v>7892</v>
      </c>
      <c r="B3288">
        <v>47</v>
      </c>
      <c r="C3288" t="s">
        <v>7893</v>
      </c>
      <c r="D3288">
        <v>88466</v>
      </c>
      <c r="E3288" t="s">
        <v>9</v>
      </c>
      <c r="F3288" t="s">
        <v>7894</v>
      </c>
      <c r="G3288" t="s">
        <v>1459</v>
      </c>
    </row>
    <row r="3289" spans="1:7">
      <c r="A3289" t="s">
        <v>7895</v>
      </c>
      <c r="B3289">
        <v>29</v>
      </c>
      <c r="C3289" t="s">
        <v>7896</v>
      </c>
      <c r="D3289">
        <v>45386</v>
      </c>
      <c r="E3289" t="s">
        <v>36</v>
      </c>
      <c r="F3289">
        <f>1-951-142-4081</f>
        <v>-5173</v>
      </c>
      <c r="G3289" s="1">
        <v>44939</v>
      </c>
    </row>
    <row r="3290" spans="1:7">
      <c r="A3290" t="s">
        <v>7897</v>
      </c>
      <c r="B3290">
        <v>68</v>
      </c>
      <c r="C3290" t="s">
        <v>7898</v>
      </c>
      <c r="D3290">
        <v>135364</v>
      </c>
      <c r="E3290" t="s">
        <v>36</v>
      </c>
      <c r="F3290">
        <v>1921415412</v>
      </c>
      <c r="G3290" s="1">
        <v>45201</v>
      </c>
    </row>
    <row r="3291" spans="1:7">
      <c r="A3291" t="s">
        <v>7899</v>
      </c>
      <c r="B3291">
        <v>27</v>
      </c>
      <c r="C3291" t="s">
        <v>7900</v>
      </c>
      <c r="D3291">
        <v>106312</v>
      </c>
      <c r="E3291" t="s">
        <v>36</v>
      </c>
      <c r="G3291" s="1">
        <v>45227</v>
      </c>
    </row>
    <row r="3292" spans="1:7">
      <c r="A3292" t="s">
        <v>4741</v>
      </c>
      <c r="B3292">
        <v>63</v>
      </c>
      <c r="C3292" t="s">
        <v>7901</v>
      </c>
      <c r="D3292">
        <v>81962</v>
      </c>
      <c r="E3292" t="s">
        <v>36</v>
      </c>
      <c r="F3292" t="s">
        <v>7902</v>
      </c>
      <c r="G3292" s="1">
        <v>45254</v>
      </c>
    </row>
    <row r="3293" spans="1:7">
      <c r="A3293" t="s">
        <v>7903</v>
      </c>
      <c r="B3293">
        <v>999</v>
      </c>
      <c r="C3293" t="s">
        <v>594</v>
      </c>
      <c r="E3293" t="s">
        <v>9</v>
      </c>
      <c r="F3293" t="s">
        <v>7904</v>
      </c>
      <c r="G3293" s="1">
        <v>44933</v>
      </c>
    </row>
    <row r="3294" spans="1:7">
      <c r="A3294" t="s">
        <v>7905</v>
      </c>
      <c r="B3294">
        <v>74</v>
      </c>
      <c r="C3294" t="s">
        <v>7906</v>
      </c>
      <c r="D3294">
        <v>85468</v>
      </c>
      <c r="E3294" t="s">
        <v>9</v>
      </c>
      <c r="F3294" t="s">
        <v>7907</v>
      </c>
      <c r="G3294" s="1">
        <v>45144</v>
      </c>
    </row>
    <row r="3295" spans="1:7">
      <c r="A3295" t="s">
        <v>7908</v>
      </c>
      <c r="B3295">
        <v>77</v>
      </c>
      <c r="C3295" t="s">
        <v>169</v>
      </c>
      <c r="D3295">
        <v>137422</v>
      </c>
      <c r="E3295" t="s">
        <v>36</v>
      </c>
      <c r="F3295">
        <v>2241558681</v>
      </c>
      <c r="G3295" s="1">
        <v>44964</v>
      </c>
    </row>
    <row r="3296" spans="1:7">
      <c r="A3296" t="s">
        <v>7909</v>
      </c>
      <c r="B3296">
        <v>60</v>
      </c>
      <c r="C3296" t="s">
        <v>7910</v>
      </c>
      <c r="D3296">
        <v>124598</v>
      </c>
      <c r="E3296" t="s">
        <v>12</v>
      </c>
      <c r="F3296">
        <v>5308080826</v>
      </c>
      <c r="G3296" s="1">
        <v>45243</v>
      </c>
    </row>
    <row r="3297" spans="1:7">
      <c r="A3297" t="s">
        <v>7911</v>
      </c>
      <c r="B3297">
        <v>77</v>
      </c>
      <c r="C3297" t="s">
        <v>7912</v>
      </c>
      <c r="D3297">
        <v>154357</v>
      </c>
      <c r="E3297" t="s">
        <v>27</v>
      </c>
      <c r="F3297" t="s">
        <v>7913</v>
      </c>
      <c r="G3297" t="s">
        <v>1627</v>
      </c>
    </row>
    <row r="3298" spans="1:7">
      <c r="A3298" t="s">
        <v>7914</v>
      </c>
      <c r="B3298">
        <v>-5</v>
      </c>
      <c r="C3298" t="s">
        <v>7915</v>
      </c>
      <c r="D3298">
        <v>95131</v>
      </c>
      <c r="E3298" t="s">
        <v>36</v>
      </c>
      <c r="F3298">
        <f>1-502-457-5615</f>
        <v>-6573</v>
      </c>
      <c r="G3298" s="1">
        <v>45058</v>
      </c>
    </row>
    <row r="3299" spans="1:7">
      <c r="A3299" t="s">
        <v>2520</v>
      </c>
      <c r="B3299">
        <v>32</v>
      </c>
      <c r="D3299">
        <v>92901</v>
      </c>
      <c r="E3299" t="s">
        <v>12</v>
      </c>
      <c r="G3299" s="1">
        <v>44991</v>
      </c>
    </row>
    <row r="3300" spans="1:7">
      <c r="A3300" t="s">
        <v>7916</v>
      </c>
      <c r="B3300">
        <v>23</v>
      </c>
      <c r="C3300" t="s">
        <v>7917</v>
      </c>
      <c r="D3300">
        <v>33320</v>
      </c>
      <c r="E3300" t="s">
        <v>12</v>
      </c>
      <c r="F3300" t="s">
        <v>7918</v>
      </c>
      <c r="G3300" s="1">
        <v>45166</v>
      </c>
    </row>
    <row r="3301" spans="1:7">
      <c r="A3301" t="s">
        <v>7919</v>
      </c>
      <c r="B3301">
        <v>68</v>
      </c>
      <c r="C3301" t="s">
        <v>7920</v>
      </c>
      <c r="D3301">
        <v>104218</v>
      </c>
      <c r="E3301" t="s">
        <v>36</v>
      </c>
      <c r="F3301" t="s">
        <v>7921</v>
      </c>
      <c r="G3301" s="1">
        <v>45193</v>
      </c>
    </row>
    <row r="3302" spans="1:7">
      <c r="A3302" t="s">
        <v>7922</v>
      </c>
      <c r="B3302">
        <v>76</v>
      </c>
      <c r="C3302" t="s">
        <v>7923</v>
      </c>
      <c r="D3302">
        <v>-20000</v>
      </c>
      <c r="E3302" t="s">
        <v>36</v>
      </c>
      <c r="F3302" t="s">
        <v>7924</v>
      </c>
      <c r="G3302" s="1">
        <v>45271</v>
      </c>
    </row>
    <row r="3303" spans="1:7">
      <c r="A3303" t="s">
        <v>787</v>
      </c>
      <c r="B3303">
        <v>21</v>
      </c>
      <c r="C3303" t="s">
        <v>7925</v>
      </c>
      <c r="D3303">
        <v>176621</v>
      </c>
      <c r="E3303" t="s">
        <v>36</v>
      </c>
      <c r="F3303" t="s">
        <v>7926</v>
      </c>
      <c r="G3303" s="1">
        <v>44997</v>
      </c>
    </row>
    <row r="3304" spans="1:7">
      <c r="A3304" t="s">
        <v>7927</v>
      </c>
      <c r="B3304">
        <v>72</v>
      </c>
      <c r="D3304">
        <v>139236</v>
      </c>
      <c r="E3304" t="s">
        <v>27</v>
      </c>
      <c r="F3304" t="s">
        <v>7928</v>
      </c>
      <c r="G3304" s="1">
        <v>44935</v>
      </c>
    </row>
    <row r="3305" spans="1:7">
      <c r="A3305" t="s">
        <v>7929</v>
      </c>
      <c r="B3305">
        <v>79</v>
      </c>
      <c r="C3305" t="s">
        <v>7930</v>
      </c>
      <c r="D3305">
        <v>157775</v>
      </c>
      <c r="E3305" t="s">
        <v>12</v>
      </c>
      <c r="F3305" t="s">
        <v>7931</v>
      </c>
      <c r="G3305" s="1">
        <v>44939</v>
      </c>
    </row>
    <row r="3306" spans="1:7">
      <c r="A3306" t="s">
        <v>7932</v>
      </c>
      <c r="B3306">
        <v>48</v>
      </c>
      <c r="C3306" t="s">
        <v>7933</v>
      </c>
      <c r="D3306">
        <v>122850</v>
      </c>
      <c r="E3306" t="s">
        <v>12</v>
      </c>
      <c r="F3306">
        <v>3463819175</v>
      </c>
      <c r="G3306" s="1">
        <v>44985</v>
      </c>
    </row>
    <row r="3307" spans="1:7">
      <c r="A3307" t="s">
        <v>7934</v>
      </c>
      <c r="B3307">
        <v>62</v>
      </c>
      <c r="C3307" t="s">
        <v>7935</v>
      </c>
      <c r="D3307">
        <v>175764</v>
      </c>
      <c r="E3307" t="s">
        <v>9</v>
      </c>
      <c r="F3307" t="s">
        <v>7936</v>
      </c>
      <c r="G3307" s="1">
        <v>44965</v>
      </c>
    </row>
    <row r="3308" spans="1:7">
      <c r="A3308" t="s">
        <v>7937</v>
      </c>
      <c r="B3308">
        <v>25</v>
      </c>
      <c r="C3308" t="s">
        <v>7938</v>
      </c>
      <c r="D3308">
        <v>34137</v>
      </c>
      <c r="E3308" t="s">
        <v>9</v>
      </c>
      <c r="F3308" t="s">
        <v>7939</v>
      </c>
      <c r="G3308" s="1">
        <v>45103</v>
      </c>
    </row>
    <row r="3309" spans="1:7">
      <c r="A3309" t="s">
        <v>7940</v>
      </c>
      <c r="B3309">
        <v>52</v>
      </c>
      <c r="C3309" t="s">
        <v>7941</v>
      </c>
      <c r="D3309">
        <v>134672</v>
      </c>
      <c r="E3309" t="s">
        <v>27</v>
      </c>
      <c r="F3309">
        <f>1-609-835-3521</f>
        <v>-4964</v>
      </c>
      <c r="G3309" s="1">
        <v>44939</v>
      </c>
    </row>
    <row r="3310" spans="1:7">
      <c r="A3310" t="s">
        <v>7942</v>
      </c>
      <c r="B3310">
        <v>53</v>
      </c>
      <c r="C3310" t="s">
        <v>7943</v>
      </c>
      <c r="D3310">
        <v>35898</v>
      </c>
      <c r="E3310" t="s">
        <v>12</v>
      </c>
      <c r="F3310" t="s">
        <v>7944</v>
      </c>
      <c r="G3310" s="1">
        <v>45249</v>
      </c>
    </row>
    <row r="3311" spans="1:7">
      <c r="A3311" t="s">
        <v>7945</v>
      </c>
      <c r="B3311">
        <v>54</v>
      </c>
      <c r="C3311" t="s">
        <v>7946</v>
      </c>
      <c r="D3311">
        <v>0</v>
      </c>
      <c r="E3311" t="s">
        <v>9</v>
      </c>
      <c r="F3311" t="s">
        <v>7947</v>
      </c>
      <c r="G3311" s="1">
        <v>45057</v>
      </c>
    </row>
    <row r="3312" spans="1:7">
      <c r="A3312" t="s">
        <v>7948</v>
      </c>
      <c r="B3312">
        <v>58</v>
      </c>
      <c r="C3312" t="s">
        <v>7949</v>
      </c>
      <c r="D3312">
        <v>85556</v>
      </c>
      <c r="E3312" t="s">
        <v>358</v>
      </c>
      <c r="F3312" t="s">
        <v>7950</v>
      </c>
      <c r="G3312" s="1">
        <v>45173</v>
      </c>
    </row>
    <row r="3313" spans="1:7">
      <c r="A3313" t="s">
        <v>7951</v>
      </c>
      <c r="B3313">
        <v>79</v>
      </c>
      <c r="C3313" t="s">
        <v>7952</v>
      </c>
      <c r="D3313">
        <v>56128</v>
      </c>
      <c r="E3313" t="s">
        <v>27</v>
      </c>
      <c r="F3313" t="s">
        <v>7953</v>
      </c>
      <c r="G3313" s="1">
        <v>45089</v>
      </c>
    </row>
    <row r="3314" spans="1:7">
      <c r="A3314" t="s">
        <v>7954</v>
      </c>
      <c r="B3314">
        <v>200</v>
      </c>
      <c r="C3314" t="s">
        <v>594</v>
      </c>
      <c r="D3314">
        <v>136718</v>
      </c>
      <c r="E3314" t="s">
        <v>36</v>
      </c>
      <c r="F3314">
        <f>1-545-841-3118</f>
        <v>-4503</v>
      </c>
      <c r="G3314" s="1">
        <v>45090</v>
      </c>
    </row>
    <row r="3315" spans="1:7">
      <c r="A3315" t="s">
        <v>7955</v>
      </c>
      <c r="B3315">
        <v>31</v>
      </c>
      <c r="C3315" t="s">
        <v>7956</v>
      </c>
      <c r="E3315" t="s">
        <v>36</v>
      </c>
      <c r="F3315">
        <v>2185183112</v>
      </c>
      <c r="G3315" s="1">
        <v>45134</v>
      </c>
    </row>
    <row r="3316" spans="1:7">
      <c r="A3316" t="s">
        <v>7957</v>
      </c>
      <c r="B3316">
        <v>46</v>
      </c>
      <c r="C3316" t="s">
        <v>7958</v>
      </c>
      <c r="D3316">
        <v>166132</v>
      </c>
      <c r="E3316" t="s">
        <v>27</v>
      </c>
      <c r="F3316">
        <v>5614299531</v>
      </c>
      <c r="G3316" s="1">
        <v>45187</v>
      </c>
    </row>
    <row r="3317" spans="1:7">
      <c r="A3317" t="s">
        <v>7959</v>
      </c>
      <c r="C3317" t="s">
        <v>7960</v>
      </c>
      <c r="D3317">
        <v>153765</v>
      </c>
      <c r="E3317" t="s">
        <v>12</v>
      </c>
      <c r="F3317">
        <f>1-871-112-7662</f>
        <v>-8644</v>
      </c>
      <c r="G3317" s="1">
        <v>45208</v>
      </c>
    </row>
    <row r="3318" spans="1:7">
      <c r="A3318" t="s">
        <v>7961</v>
      </c>
      <c r="B3318">
        <v>19</v>
      </c>
      <c r="C3318" t="s">
        <v>7962</v>
      </c>
      <c r="D3318">
        <v>108356</v>
      </c>
      <c r="E3318" t="s">
        <v>12</v>
      </c>
      <c r="F3318" t="s">
        <v>7963</v>
      </c>
      <c r="G3318" t="s">
        <v>3963</v>
      </c>
    </row>
    <row r="3319" spans="1:7">
      <c r="A3319" t="s">
        <v>7964</v>
      </c>
      <c r="B3319">
        <v>67</v>
      </c>
      <c r="C3319" t="s">
        <v>7965</v>
      </c>
      <c r="D3319">
        <v>77779</v>
      </c>
      <c r="E3319" t="s">
        <v>36</v>
      </c>
      <c r="F3319">
        <f>1-855-286-2644</f>
        <v>-3784</v>
      </c>
      <c r="G3319" s="1">
        <v>45129</v>
      </c>
    </row>
    <row r="3320" spans="1:7">
      <c r="A3320" t="s">
        <v>7966</v>
      </c>
      <c r="B3320">
        <v>51</v>
      </c>
      <c r="C3320" t="s">
        <v>518</v>
      </c>
      <c r="D3320">
        <v>141603</v>
      </c>
      <c r="E3320" t="s">
        <v>27</v>
      </c>
      <c r="F3320">
        <v>9837774039</v>
      </c>
      <c r="G3320" s="1">
        <v>44932</v>
      </c>
    </row>
    <row r="3321" spans="1:7">
      <c r="A3321" t="s">
        <v>7967</v>
      </c>
      <c r="B3321">
        <v>57</v>
      </c>
      <c r="C3321" t="s">
        <v>7968</v>
      </c>
      <c r="D3321">
        <v>191980</v>
      </c>
      <c r="E3321" t="s">
        <v>9</v>
      </c>
      <c r="F3321">
        <v>4498569163</v>
      </c>
      <c r="G3321" s="1">
        <v>44949</v>
      </c>
    </row>
    <row r="3322" spans="1:7">
      <c r="A3322" t="s">
        <v>7969</v>
      </c>
      <c r="B3322">
        <v>33</v>
      </c>
      <c r="C3322" t="s">
        <v>7970</v>
      </c>
      <c r="D3322">
        <v>164837</v>
      </c>
      <c r="E3322" t="s">
        <v>9</v>
      </c>
      <c r="F3322" t="s">
        <v>7971</v>
      </c>
      <c r="G3322" s="1">
        <v>45047</v>
      </c>
    </row>
    <row r="3323" spans="1:7">
      <c r="A3323" t="s">
        <v>7972</v>
      </c>
      <c r="B3323">
        <v>54</v>
      </c>
      <c r="C3323" t="s">
        <v>17</v>
      </c>
      <c r="D3323">
        <v>72933</v>
      </c>
      <c r="E3323" t="s">
        <v>9</v>
      </c>
      <c r="G3323" s="1">
        <v>45010</v>
      </c>
    </row>
    <row r="3324" spans="1:7">
      <c r="A3324" t="s">
        <v>6047</v>
      </c>
      <c r="B3324">
        <v>31</v>
      </c>
      <c r="C3324" t="s">
        <v>6048</v>
      </c>
      <c r="D3324">
        <v>198001</v>
      </c>
      <c r="E3324" t="s">
        <v>27</v>
      </c>
      <c r="F3324" t="s">
        <v>6049</v>
      </c>
      <c r="G3324" t="s">
        <v>493</v>
      </c>
    </row>
    <row r="3325" spans="1:7">
      <c r="A3325" t="s">
        <v>7973</v>
      </c>
      <c r="B3325">
        <v>-100</v>
      </c>
      <c r="C3325" t="s">
        <v>7974</v>
      </c>
      <c r="D3325">
        <v>104099</v>
      </c>
      <c r="E3325" t="s">
        <v>9</v>
      </c>
      <c r="G3325" s="1">
        <v>45231</v>
      </c>
    </row>
    <row r="3326" spans="1:7">
      <c r="A3326" t="s">
        <v>7975</v>
      </c>
      <c r="B3326">
        <v>77</v>
      </c>
      <c r="C3326" t="s">
        <v>7976</v>
      </c>
      <c r="D3326">
        <v>60734</v>
      </c>
      <c r="E3326" t="s">
        <v>27</v>
      </c>
      <c r="F3326" t="s">
        <v>7977</v>
      </c>
      <c r="G3326" s="1">
        <v>45038</v>
      </c>
    </row>
    <row r="3327" spans="1:7">
      <c r="A3327" t="s">
        <v>7978</v>
      </c>
      <c r="B3327">
        <v>18</v>
      </c>
      <c r="C3327" t="s">
        <v>7979</v>
      </c>
      <c r="D3327">
        <v>57216</v>
      </c>
      <c r="E3327" t="s">
        <v>9</v>
      </c>
      <c r="F3327">
        <v>6223395333</v>
      </c>
      <c r="G3327" s="1">
        <v>45020</v>
      </c>
    </row>
    <row r="3328" spans="1:7">
      <c r="A3328" t="s">
        <v>7980</v>
      </c>
      <c r="B3328">
        <v>18</v>
      </c>
      <c r="C3328" t="s">
        <v>7981</v>
      </c>
      <c r="E3328" t="s">
        <v>27</v>
      </c>
      <c r="F3328" t="s">
        <v>7982</v>
      </c>
      <c r="G3328" s="1">
        <v>44927</v>
      </c>
    </row>
    <row r="3329" spans="1:7">
      <c r="A3329" t="s">
        <v>7983</v>
      </c>
      <c r="B3329">
        <v>62</v>
      </c>
      <c r="C3329" t="s">
        <v>7984</v>
      </c>
      <c r="D3329">
        <v>176702</v>
      </c>
      <c r="E3329" t="s">
        <v>9</v>
      </c>
      <c r="F3329" t="s">
        <v>7985</v>
      </c>
      <c r="G3329" s="1">
        <v>45105</v>
      </c>
    </row>
    <row r="3330" spans="1:7">
      <c r="A3330" t="s">
        <v>7986</v>
      </c>
      <c r="B3330">
        <v>22</v>
      </c>
      <c r="C3330" t="s">
        <v>7987</v>
      </c>
      <c r="D3330">
        <v>164365</v>
      </c>
      <c r="E3330" t="s">
        <v>527</v>
      </c>
      <c r="F3330" t="s">
        <v>7988</v>
      </c>
      <c r="G3330" s="1">
        <v>45260</v>
      </c>
    </row>
    <row r="3331" spans="1:7">
      <c r="A3331" t="s">
        <v>7989</v>
      </c>
      <c r="B3331">
        <v>45</v>
      </c>
      <c r="D3331">
        <v>166149</v>
      </c>
      <c r="E3331" t="s">
        <v>12</v>
      </c>
      <c r="F3331" t="s">
        <v>7990</v>
      </c>
      <c r="G3331" s="1">
        <v>45135</v>
      </c>
    </row>
    <row r="3332" spans="1:7">
      <c r="A3332" t="s">
        <v>7991</v>
      </c>
      <c r="B3332">
        <v>71</v>
      </c>
      <c r="C3332" t="s">
        <v>7992</v>
      </c>
      <c r="D3332">
        <v>67879</v>
      </c>
      <c r="E3332" t="s">
        <v>36</v>
      </c>
      <c r="F3332">
        <f>1-656-175-4956</f>
        <v>-5786</v>
      </c>
      <c r="G3332" s="1">
        <v>45074</v>
      </c>
    </row>
    <row r="3333" spans="1:7">
      <c r="A3333" t="s">
        <v>4966</v>
      </c>
      <c r="B3333">
        <v>47</v>
      </c>
      <c r="C3333" t="s">
        <v>7993</v>
      </c>
      <c r="D3333">
        <v>167854</v>
      </c>
      <c r="E3333" t="s">
        <v>9</v>
      </c>
      <c r="F3333" t="s">
        <v>7994</v>
      </c>
      <c r="G3333" s="1">
        <v>44957</v>
      </c>
    </row>
    <row r="3334" spans="1:7">
      <c r="A3334" t="s">
        <v>7995</v>
      </c>
      <c r="B3334">
        <v>22</v>
      </c>
      <c r="C3334" t="s">
        <v>7996</v>
      </c>
      <c r="D3334">
        <v>55491</v>
      </c>
      <c r="E3334" t="s">
        <v>27</v>
      </c>
      <c r="F3334" t="s">
        <v>7997</v>
      </c>
      <c r="G3334" s="1">
        <v>44939</v>
      </c>
    </row>
    <row r="3335" spans="1:7">
      <c r="A3335" t="s">
        <v>6991</v>
      </c>
      <c r="B3335">
        <v>25</v>
      </c>
      <c r="C3335" t="s">
        <v>7998</v>
      </c>
      <c r="D3335">
        <v>195129</v>
      </c>
      <c r="E3335" t="s">
        <v>36</v>
      </c>
      <c r="F3335" t="s">
        <v>7999</v>
      </c>
      <c r="G3335" s="1">
        <v>44938</v>
      </c>
    </row>
    <row r="3336" spans="1:7">
      <c r="A3336" t="s">
        <v>8000</v>
      </c>
      <c r="B3336">
        <v>19</v>
      </c>
      <c r="C3336" t="s">
        <v>8001</v>
      </c>
      <c r="D3336">
        <v>63798</v>
      </c>
      <c r="E3336" t="s">
        <v>27</v>
      </c>
      <c r="F3336">
        <v>7180057171</v>
      </c>
      <c r="G3336" s="1">
        <v>44939</v>
      </c>
    </row>
    <row r="3337" spans="1:7">
      <c r="A3337" t="s">
        <v>8002</v>
      </c>
      <c r="B3337">
        <v>47</v>
      </c>
      <c r="C3337" t="s">
        <v>8003</v>
      </c>
      <c r="D3337">
        <v>156700</v>
      </c>
      <c r="E3337" t="s">
        <v>36</v>
      </c>
      <c r="F3337" t="s">
        <v>8004</v>
      </c>
      <c r="G3337" s="1">
        <v>45040</v>
      </c>
    </row>
    <row r="3338" spans="1:7">
      <c r="A3338" t="s">
        <v>8005</v>
      </c>
      <c r="B3338">
        <v>62</v>
      </c>
      <c r="C3338" t="s">
        <v>8006</v>
      </c>
      <c r="D3338">
        <v>123348</v>
      </c>
      <c r="E3338" t="s">
        <v>9</v>
      </c>
      <c r="F3338">
        <v>7940878005</v>
      </c>
      <c r="G3338" s="1">
        <v>45107</v>
      </c>
    </row>
    <row r="3339" spans="1:7">
      <c r="A3339" t="s">
        <v>8007</v>
      </c>
      <c r="B3339">
        <v>28</v>
      </c>
      <c r="C3339" t="s">
        <v>8008</v>
      </c>
      <c r="D3339">
        <v>83144</v>
      </c>
      <c r="E3339" t="s">
        <v>27</v>
      </c>
      <c r="F3339" t="s">
        <v>8009</v>
      </c>
      <c r="G3339" s="1">
        <v>45119</v>
      </c>
    </row>
    <row r="3340" spans="1:7">
      <c r="A3340" t="s">
        <v>8010</v>
      </c>
      <c r="B3340">
        <v>24</v>
      </c>
      <c r="C3340" t="s">
        <v>8011</v>
      </c>
      <c r="D3340">
        <v>69194</v>
      </c>
      <c r="E3340" t="s">
        <v>12</v>
      </c>
      <c r="F3340" t="s">
        <v>8012</v>
      </c>
      <c r="G3340" s="1">
        <v>45029</v>
      </c>
    </row>
    <row r="3341" spans="1:7">
      <c r="A3341" t="s">
        <v>8013</v>
      </c>
      <c r="B3341">
        <v>500</v>
      </c>
      <c r="C3341" t="s">
        <v>8014</v>
      </c>
      <c r="D3341">
        <v>49177</v>
      </c>
      <c r="E3341" t="s">
        <v>12</v>
      </c>
      <c r="F3341">
        <v>4488579543</v>
      </c>
      <c r="G3341" s="1">
        <v>45220</v>
      </c>
    </row>
    <row r="3342" spans="1:7">
      <c r="A3342" t="s">
        <v>7003</v>
      </c>
      <c r="B3342">
        <v>68</v>
      </c>
      <c r="C3342" t="s">
        <v>8015</v>
      </c>
      <c r="D3342">
        <v>199178</v>
      </c>
      <c r="E3342" t="s">
        <v>12</v>
      </c>
      <c r="F3342" t="s">
        <v>8016</v>
      </c>
      <c r="G3342" s="1">
        <v>45157</v>
      </c>
    </row>
    <row r="3343" spans="1:7">
      <c r="A3343" t="s">
        <v>8017</v>
      </c>
      <c r="B3343">
        <v>0</v>
      </c>
      <c r="C3343" t="s">
        <v>8018</v>
      </c>
      <c r="E3343" t="s">
        <v>36</v>
      </c>
      <c r="F3343">
        <f>1-298-884-4002</f>
        <v>-5183</v>
      </c>
      <c r="G3343" s="1">
        <v>45241</v>
      </c>
    </row>
    <row r="3344" spans="1:7">
      <c r="A3344" t="s">
        <v>8019</v>
      </c>
      <c r="B3344">
        <v>28</v>
      </c>
      <c r="C3344" t="s">
        <v>8020</v>
      </c>
      <c r="D3344">
        <v>181388</v>
      </c>
      <c r="E3344" t="s">
        <v>12</v>
      </c>
      <c r="F3344">
        <v>4680775250</v>
      </c>
      <c r="G3344" s="1">
        <v>45100</v>
      </c>
    </row>
    <row r="3345" spans="1:7">
      <c r="A3345" t="s">
        <v>8021</v>
      </c>
      <c r="B3345">
        <v>37</v>
      </c>
      <c r="C3345" t="s">
        <v>8022</v>
      </c>
      <c r="D3345">
        <v>48316</v>
      </c>
      <c r="E3345" t="s">
        <v>9</v>
      </c>
      <c r="F3345" t="s">
        <v>8023</v>
      </c>
      <c r="G3345" s="1">
        <v>44936</v>
      </c>
    </row>
    <row r="3346" spans="1:7">
      <c r="A3346" t="s">
        <v>8024</v>
      </c>
      <c r="B3346">
        <v>40</v>
      </c>
      <c r="C3346" t="s">
        <v>8025</v>
      </c>
      <c r="D3346">
        <v>35543</v>
      </c>
      <c r="E3346" t="s">
        <v>36</v>
      </c>
      <c r="F3346" t="s">
        <v>8026</v>
      </c>
      <c r="G3346" s="1">
        <v>45259</v>
      </c>
    </row>
    <row r="3347" spans="1:7">
      <c r="A3347" t="s">
        <v>8027</v>
      </c>
      <c r="B3347">
        <v>38</v>
      </c>
      <c r="C3347" t="s">
        <v>8028</v>
      </c>
      <c r="D3347">
        <v>80539</v>
      </c>
      <c r="E3347" t="s">
        <v>527</v>
      </c>
      <c r="F3347" t="s">
        <v>8029</v>
      </c>
      <c r="G3347" s="1">
        <v>45271</v>
      </c>
    </row>
    <row r="3348" spans="1:7">
      <c r="A3348" t="s">
        <v>8030</v>
      </c>
      <c r="B3348">
        <v>74</v>
      </c>
      <c r="C3348" t="s">
        <v>8031</v>
      </c>
      <c r="D3348">
        <v>93811</v>
      </c>
      <c r="E3348" t="s">
        <v>27</v>
      </c>
      <c r="F3348" t="s">
        <v>8032</v>
      </c>
      <c r="G3348" s="1">
        <v>45173</v>
      </c>
    </row>
    <row r="3349" spans="1:7">
      <c r="A3349" t="s">
        <v>8033</v>
      </c>
      <c r="B3349">
        <v>65</v>
      </c>
      <c r="D3349">
        <v>82349</v>
      </c>
      <c r="E3349" t="s">
        <v>12</v>
      </c>
      <c r="F3349" t="s">
        <v>8034</v>
      </c>
      <c r="G3349" s="1">
        <v>45157</v>
      </c>
    </row>
    <row r="3350" spans="1:7">
      <c r="A3350" t="s">
        <v>8035</v>
      </c>
      <c r="B3350">
        <v>300</v>
      </c>
      <c r="C3350" t="s">
        <v>8036</v>
      </c>
      <c r="D3350">
        <v>58926</v>
      </c>
      <c r="E3350" t="s">
        <v>36</v>
      </c>
      <c r="F3350" t="s">
        <v>8037</v>
      </c>
      <c r="G3350" s="1">
        <v>45083</v>
      </c>
    </row>
    <row r="3351" spans="1:7">
      <c r="A3351" t="s">
        <v>8038</v>
      </c>
      <c r="B3351">
        <v>0</v>
      </c>
      <c r="C3351" t="s">
        <v>8039</v>
      </c>
      <c r="D3351">
        <v>121038</v>
      </c>
      <c r="E3351" t="s">
        <v>27</v>
      </c>
      <c r="F3351" t="s">
        <v>8040</v>
      </c>
      <c r="G3351" s="1">
        <v>44937</v>
      </c>
    </row>
    <row r="3352" spans="1:7">
      <c r="A3352" t="s">
        <v>8041</v>
      </c>
      <c r="B3352">
        <v>50</v>
      </c>
      <c r="C3352" t="s">
        <v>8042</v>
      </c>
      <c r="D3352">
        <v>165624</v>
      </c>
      <c r="E3352" t="s">
        <v>12</v>
      </c>
      <c r="F3352" t="s">
        <v>8043</v>
      </c>
      <c r="G3352" s="1">
        <v>44999</v>
      </c>
    </row>
    <row r="3353" spans="1:7">
      <c r="A3353" t="s">
        <v>8044</v>
      </c>
      <c r="B3353">
        <v>48</v>
      </c>
      <c r="C3353" t="s">
        <v>8045</v>
      </c>
      <c r="D3353">
        <v>-5000</v>
      </c>
      <c r="E3353" t="s">
        <v>12</v>
      </c>
      <c r="F3353">
        <v>9063079139</v>
      </c>
      <c r="G3353" s="1">
        <v>45008</v>
      </c>
    </row>
    <row r="3354" spans="1:7">
      <c r="A3354" t="s">
        <v>8046</v>
      </c>
      <c r="B3354">
        <v>34</v>
      </c>
      <c r="C3354" t="s">
        <v>8047</v>
      </c>
      <c r="D3354">
        <v>119116</v>
      </c>
      <c r="E3354" t="s">
        <v>12</v>
      </c>
      <c r="F3354" t="s">
        <v>8048</v>
      </c>
      <c r="G3354" s="1">
        <v>45201</v>
      </c>
    </row>
    <row r="3355" spans="1:7">
      <c r="A3355" t="s">
        <v>8049</v>
      </c>
      <c r="B3355">
        <v>52</v>
      </c>
      <c r="C3355" t="s">
        <v>8050</v>
      </c>
      <c r="E3355" t="s">
        <v>27</v>
      </c>
      <c r="F3355" t="s">
        <v>8051</v>
      </c>
      <c r="G3355" s="1">
        <v>44974</v>
      </c>
    </row>
    <row r="3356" spans="1:7">
      <c r="A3356" t="s">
        <v>8052</v>
      </c>
      <c r="B3356">
        <v>45</v>
      </c>
      <c r="C3356" t="s">
        <v>8053</v>
      </c>
      <c r="D3356">
        <v>125310</v>
      </c>
      <c r="E3356" t="s">
        <v>27</v>
      </c>
      <c r="F3356" t="s">
        <v>8054</v>
      </c>
      <c r="G3356" s="1">
        <v>45156</v>
      </c>
    </row>
    <row r="3357" spans="1:7">
      <c r="A3357" t="s">
        <v>8055</v>
      </c>
      <c r="B3357">
        <v>37</v>
      </c>
      <c r="C3357" t="s">
        <v>8056</v>
      </c>
      <c r="D3357">
        <v>117362</v>
      </c>
      <c r="E3357" t="s">
        <v>12</v>
      </c>
      <c r="G3357" s="1">
        <v>45051</v>
      </c>
    </row>
    <row r="3358" spans="1:7">
      <c r="A3358" t="s">
        <v>8057</v>
      </c>
      <c r="B3358">
        <v>71</v>
      </c>
      <c r="C3358" t="s">
        <v>8058</v>
      </c>
      <c r="D3358">
        <v>33159</v>
      </c>
      <c r="E3358" t="s">
        <v>90</v>
      </c>
      <c r="G3358" s="1">
        <v>45164</v>
      </c>
    </row>
    <row r="3359" spans="1:7">
      <c r="A3359" t="s">
        <v>8059</v>
      </c>
      <c r="B3359">
        <v>77</v>
      </c>
      <c r="C3359" t="s">
        <v>8060</v>
      </c>
      <c r="D3359">
        <v>58302</v>
      </c>
      <c r="E3359" t="s">
        <v>36</v>
      </c>
      <c r="F3359" t="s">
        <v>8061</v>
      </c>
      <c r="G3359" s="1">
        <v>45283</v>
      </c>
    </row>
    <row r="3360" spans="1:7">
      <c r="A3360" t="s">
        <v>8062</v>
      </c>
      <c r="B3360">
        <v>24</v>
      </c>
      <c r="C3360" t="s">
        <v>8063</v>
      </c>
      <c r="D3360">
        <v>120054</v>
      </c>
      <c r="E3360" t="s">
        <v>9</v>
      </c>
      <c r="F3360" t="s">
        <v>8064</v>
      </c>
      <c r="G3360" s="1">
        <v>44972</v>
      </c>
    </row>
    <row r="3361" spans="1:7">
      <c r="A3361" t="s">
        <v>8065</v>
      </c>
      <c r="B3361">
        <v>71</v>
      </c>
      <c r="C3361" t="s">
        <v>8066</v>
      </c>
      <c r="D3361">
        <v>84703</v>
      </c>
      <c r="E3361" t="s">
        <v>9</v>
      </c>
      <c r="F3361" t="s">
        <v>8067</v>
      </c>
      <c r="G3361" s="1">
        <v>44959</v>
      </c>
    </row>
    <row r="3362" spans="1:7">
      <c r="A3362" t="s">
        <v>8068</v>
      </c>
      <c r="B3362">
        <v>35</v>
      </c>
      <c r="C3362" t="s">
        <v>8069</v>
      </c>
      <c r="D3362">
        <v>101185</v>
      </c>
      <c r="E3362" t="s">
        <v>9</v>
      </c>
      <c r="F3362" t="s">
        <v>8070</v>
      </c>
      <c r="G3362" s="1">
        <v>44994</v>
      </c>
    </row>
    <row r="3363" spans="1:7">
      <c r="A3363" t="s">
        <v>8071</v>
      </c>
      <c r="B3363">
        <v>72</v>
      </c>
      <c r="C3363" t="s">
        <v>8072</v>
      </c>
      <c r="D3363">
        <v>66683</v>
      </c>
      <c r="E3363" t="s">
        <v>36</v>
      </c>
      <c r="F3363" t="s">
        <v>8073</v>
      </c>
      <c r="G3363" s="1">
        <v>45235</v>
      </c>
    </row>
    <row r="3364" spans="1:7">
      <c r="A3364" t="s">
        <v>3667</v>
      </c>
      <c r="B3364">
        <v>38</v>
      </c>
      <c r="C3364" t="s">
        <v>8074</v>
      </c>
      <c r="D3364">
        <v>42205</v>
      </c>
      <c r="E3364" t="s">
        <v>12</v>
      </c>
      <c r="F3364">
        <f>1-410-134-8282</f>
        <v>-8825</v>
      </c>
      <c r="G3364" s="1">
        <v>45035</v>
      </c>
    </row>
    <row r="3365" spans="1:7">
      <c r="A3365" t="s">
        <v>8075</v>
      </c>
      <c r="B3365">
        <v>48</v>
      </c>
      <c r="C3365" t="s">
        <v>8076</v>
      </c>
      <c r="D3365">
        <v>158128</v>
      </c>
      <c r="E3365" t="s">
        <v>27</v>
      </c>
      <c r="F3365" t="s">
        <v>8077</v>
      </c>
      <c r="G3365" s="1">
        <v>44981</v>
      </c>
    </row>
    <row r="3366" spans="1:7">
      <c r="A3366" t="s">
        <v>8078</v>
      </c>
      <c r="B3366">
        <v>69</v>
      </c>
      <c r="C3366" t="s">
        <v>8079</v>
      </c>
      <c r="D3366">
        <v>32187</v>
      </c>
      <c r="E3366" t="s">
        <v>12</v>
      </c>
      <c r="F3366" t="s">
        <v>8080</v>
      </c>
      <c r="G3366" s="1">
        <v>45031</v>
      </c>
    </row>
    <row r="3367" spans="1:7">
      <c r="A3367" t="s">
        <v>8081</v>
      </c>
      <c r="B3367">
        <v>55</v>
      </c>
      <c r="C3367" t="s">
        <v>8082</v>
      </c>
      <c r="D3367">
        <v>58036</v>
      </c>
      <c r="E3367" t="s">
        <v>12</v>
      </c>
      <c r="F3367" t="s">
        <v>8083</v>
      </c>
      <c r="G3367" s="1">
        <v>45048</v>
      </c>
    </row>
    <row r="3368" spans="1:7">
      <c r="A3368" t="s">
        <v>8084</v>
      </c>
      <c r="B3368">
        <v>68</v>
      </c>
      <c r="C3368" t="s">
        <v>8085</v>
      </c>
      <c r="D3368">
        <v>50323</v>
      </c>
      <c r="E3368" t="s">
        <v>27</v>
      </c>
      <c r="F3368" t="s">
        <v>8086</v>
      </c>
      <c r="G3368" s="1">
        <v>44944</v>
      </c>
    </row>
    <row r="3369" spans="1:7">
      <c r="A3369" t="s">
        <v>8087</v>
      </c>
      <c r="B3369">
        <v>57</v>
      </c>
      <c r="C3369" t="s">
        <v>8088</v>
      </c>
      <c r="E3369" t="s">
        <v>27</v>
      </c>
      <c r="F3369" t="s">
        <v>8089</v>
      </c>
      <c r="G3369" s="1">
        <v>45175</v>
      </c>
    </row>
    <row r="3370" spans="1:7">
      <c r="A3370" t="s">
        <v>8090</v>
      </c>
      <c r="B3370">
        <v>46</v>
      </c>
      <c r="C3370" t="s">
        <v>8091</v>
      </c>
      <c r="D3370">
        <v>192971</v>
      </c>
      <c r="E3370" t="s">
        <v>9</v>
      </c>
      <c r="F3370" t="s">
        <v>8092</v>
      </c>
      <c r="G3370" s="1">
        <v>45259</v>
      </c>
    </row>
    <row r="3371" spans="1:7">
      <c r="A3371" t="s">
        <v>8093</v>
      </c>
      <c r="B3371">
        <v>39</v>
      </c>
      <c r="C3371" t="s">
        <v>8094</v>
      </c>
      <c r="D3371">
        <v>172355</v>
      </c>
      <c r="E3371" t="s">
        <v>9</v>
      </c>
      <c r="F3371" t="s">
        <v>8095</v>
      </c>
      <c r="G3371" s="1">
        <v>44959</v>
      </c>
    </row>
    <row r="3372" spans="1:7">
      <c r="A3372" t="s">
        <v>8096</v>
      </c>
      <c r="B3372">
        <v>74</v>
      </c>
      <c r="C3372" t="s">
        <v>8097</v>
      </c>
      <c r="D3372">
        <v>55523</v>
      </c>
      <c r="E3372" t="s">
        <v>36</v>
      </c>
      <c r="G3372" s="1">
        <v>45247</v>
      </c>
    </row>
    <row r="3373" spans="1:7">
      <c r="A3373" t="s">
        <v>8098</v>
      </c>
      <c r="B3373">
        <v>62</v>
      </c>
      <c r="C3373" t="s">
        <v>8099</v>
      </c>
      <c r="D3373">
        <v>41831</v>
      </c>
      <c r="E3373" t="s">
        <v>9</v>
      </c>
      <c r="F3373">
        <v>8605695669</v>
      </c>
      <c r="G3373" s="1">
        <v>44934</v>
      </c>
    </row>
    <row r="3374" spans="1:7">
      <c r="A3374" t="s">
        <v>8100</v>
      </c>
      <c r="B3374">
        <v>0</v>
      </c>
      <c r="C3374" t="s">
        <v>8101</v>
      </c>
      <c r="D3374">
        <v>170537</v>
      </c>
      <c r="E3374" t="s">
        <v>36</v>
      </c>
      <c r="F3374">
        <v>2218469455</v>
      </c>
      <c r="G3374" s="1">
        <v>45190</v>
      </c>
    </row>
    <row r="3375" spans="1:7">
      <c r="A3375" t="s">
        <v>8102</v>
      </c>
      <c r="B3375">
        <v>35</v>
      </c>
      <c r="C3375" t="s">
        <v>8103</v>
      </c>
      <c r="D3375">
        <v>154997</v>
      </c>
      <c r="E3375" t="s">
        <v>36</v>
      </c>
      <c r="F3375" t="s">
        <v>8104</v>
      </c>
      <c r="G3375" s="1">
        <v>45195</v>
      </c>
    </row>
    <row r="3376" spans="1:7">
      <c r="A3376" t="s">
        <v>8105</v>
      </c>
      <c r="B3376">
        <v>36</v>
      </c>
      <c r="C3376" t="s">
        <v>8106</v>
      </c>
      <c r="E3376" t="s">
        <v>9</v>
      </c>
      <c r="F3376" t="s">
        <v>8107</v>
      </c>
      <c r="G3376" s="1">
        <v>44935</v>
      </c>
    </row>
    <row r="3377" spans="1:7">
      <c r="A3377" t="s">
        <v>8108</v>
      </c>
      <c r="B3377">
        <v>57</v>
      </c>
      <c r="C3377" t="s">
        <v>8109</v>
      </c>
      <c r="D3377">
        <v>181462</v>
      </c>
      <c r="E3377" t="s">
        <v>12</v>
      </c>
      <c r="G3377" s="1">
        <v>44960</v>
      </c>
    </row>
    <row r="3378" spans="1:7">
      <c r="A3378" t="s">
        <v>8110</v>
      </c>
      <c r="B3378">
        <v>51</v>
      </c>
      <c r="C3378" t="s">
        <v>8111</v>
      </c>
      <c r="D3378">
        <v>0</v>
      </c>
      <c r="E3378" t="s">
        <v>9</v>
      </c>
      <c r="F3378">
        <f>1-460-947-4493</f>
        <v>-5899</v>
      </c>
      <c r="G3378" s="1">
        <v>45085</v>
      </c>
    </row>
    <row r="3379" spans="1:7">
      <c r="A3379" t="s">
        <v>3825</v>
      </c>
      <c r="B3379">
        <v>34</v>
      </c>
      <c r="C3379" t="s">
        <v>518</v>
      </c>
      <c r="D3379">
        <v>96914</v>
      </c>
      <c r="E3379" t="s">
        <v>12</v>
      </c>
      <c r="F3379">
        <f>1-211-801-7208</f>
        <v>-8219</v>
      </c>
      <c r="G3379" s="1">
        <v>45264</v>
      </c>
    </row>
    <row r="3380" spans="1:7">
      <c r="A3380" t="s">
        <v>8112</v>
      </c>
      <c r="B3380">
        <v>71</v>
      </c>
      <c r="C3380" t="s">
        <v>8113</v>
      </c>
      <c r="D3380">
        <v>166690</v>
      </c>
      <c r="E3380" t="s">
        <v>9</v>
      </c>
      <c r="F3380">
        <f>1-734-203-6564</f>
        <v>-7500</v>
      </c>
      <c r="G3380" s="1">
        <v>44962</v>
      </c>
    </row>
    <row r="3381" spans="1:7">
      <c r="A3381" t="s">
        <v>8114</v>
      </c>
      <c r="B3381">
        <v>46</v>
      </c>
      <c r="C3381" t="s">
        <v>8115</v>
      </c>
      <c r="D3381">
        <v>90610</v>
      </c>
      <c r="E3381" t="s">
        <v>36</v>
      </c>
      <c r="F3381" t="s">
        <v>8116</v>
      </c>
      <c r="G3381" s="1">
        <v>45116</v>
      </c>
    </row>
    <row r="3382" spans="1:7">
      <c r="A3382" t="s">
        <v>8117</v>
      </c>
      <c r="B3382">
        <v>39</v>
      </c>
      <c r="C3382" t="s">
        <v>8118</v>
      </c>
      <c r="D3382">
        <v>104763</v>
      </c>
      <c r="E3382" t="s">
        <v>12</v>
      </c>
      <c r="F3382">
        <f>1-801-439-6793</f>
        <v>-8032</v>
      </c>
      <c r="G3382" s="1">
        <v>45213</v>
      </c>
    </row>
    <row r="3383" spans="1:7">
      <c r="A3383" t="s">
        <v>8119</v>
      </c>
      <c r="B3383">
        <v>50</v>
      </c>
      <c r="C3383" t="s">
        <v>8120</v>
      </c>
      <c r="D3383">
        <v>124346</v>
      </c>
      <c r="E3383" t="s">
        <v>12</v>
      </c>
      <c r="G3383" t="s">
        <v>1459</v>
      </c>
    </row>
    <row r="3384" spans="1:7">
      <c r="A3384" t="s">
        <v>8121</v>
      </c>
      <c r="B3384">
        <v>49</v>
      </c>
      <c r="C3384" t="s">
        <v>8122</v>
      </c>
      <c r="D3384">
        <v>159553</v>
      </c>
      <c r="E3384" t="s">
        <v>36</v>
      </c>
      <c r="F3384" t="s">
        <v>8123</v>
      </c>
      <c r="G3384" s="1">
        <v>45171</v>
      </c>
    </row>
    <row r="3385" spans="1:7">
      <c r="A3385" t="s">
        <v>8124</v>
      </c>
      <c r="B3385">
        <v>38</v>
      </c>
      <c r="C3385" t="s">
        <v>8125</v>
      </c>
      <c r="D3385">
        <v>61007</v>
      </c>
      <c r="E3385" t="s">
        <v>12</v>
      </c>
      <c r="F3385">
        <v>9953440827</v>
      </c>
      <c r="G3385" s="1">
        <v>45057</v>
      </c>
    </row>
    <row r="3386" spans="1:7">
      <c r="A3386" t="s">
        <v>8126</v>
      </c>
      <c r="B3386">
        <v>63</v>
      </c>
      <c r="C3386" t="s">
        <v>8127</v>
      </c>
      <c r="D3386">
        <v>60266</v>
      </c>
      <c r="E3386" t="s">
        <v>9</v>
      </c>
      <c r="F3386" t="s">
        <v>8128</v>
      </c>
      <c r="G3386" s="1">
        <v>45133</v>
      </c>
    </row>
    <row r="3387" spans="1:7">
      <c r="A3387" t="s">
        <v>8129</v>
      </c>
      <c r="B3387">
        <v>43</v>
      </c>
      <c r="C3387" t="s">
        <v>8130</v>
      </c>
      <c r="D3387">
        <v>50085</v>
      </c>
      <c r="E3387" t="s">
        <v>9</v>
      </c>
      <c r="F3387" t="s">
        <v>8131</v>
      </c>
      <c r="G3387" s="1">
        <v>45289</v>
      </c>
    </row>
    <row r="3388" spans="1:7">
      <c r="A3388" t="s">
        <v>8132</v>
      </c>
      <c r="B3388">
        <v>48</v>
      </c>
      <c r="C3388" t="s">
        <v>8133</v>
      </c>
      <c r="D3388">
        <v>111268</v>
      </c>
      <c r="E3388" t="s">
        <v>90</v>
      </c>
      <c r="F3388" t="s">
        <v>8134</v>
      </c>
      <c r="G3388" s="1">
        <v>44930</v>
      </c>
    </row>
    <row r="3389" spans="1:7">
      <c r="A3389" t="s">
        <v>8135</v>
      </c>
      <c r="B3389">
        <v>30</v>
      </c>
      <c r="C3389" t="s">
        <v>8136</v>
      </c>
      <c r="D3389">
        <v>182711</v>
      </c>
      <c r="E3389" t="s">
        <v>12</v>
      </c>
      <c r="F3389" t="s">
        <v>8137</v>
      </c>
      <c r="G3389" s="1">
        <v>45146</v>
      </c>
    </row>
    <row r="3390" spans="1:7">
      <c r="A3390" t="s">
        <v>8138</v>
      </c>
      <c r="B3390">
        <v>45</v>
      </c>
      <c r="C3390" t="s">
        <v>8139</v>
      </c>
      <c r="D3390">
        <v>170489</v>
      </c>
      <c r="E3390" t="s">
        <v>27</v>
      </c>
      <c r="G3390" s="1">
        <v>45188</v>
      </c>
    </row>
    <row r="3391" spans="1:7">
      <c r="A3391" t="s">
        <v>8140</v>
      </c>
      <c r="B3391">
        <v>-5</v>
      </c>
      <c r="E3391" t="s">
        <v>27</v>
      </c>
      <c r="F3391" t="s">
        <v>8141</v>
      </c>
      <c r="G3391" s="1">
        <v>45214</v>
      </c>
    </row>
    <row r="3392" spans="1:7">
      <c r="A3392" t="s">
        <v>8142</v>
      </c>
      <c r="B3392">
        <v>52</v>
      </c>
      <c r="C3392" t="s">
        <v>8143</v>
      </c>
      <c r="D3392">
        <v>154481</v>
      </c>
      <c r="E3392" t="s">
        <v>12</v>
      </c>
      <c r="F3392" t="s">
        <v>8144</v>
      </c>
      <c r="G3392" s="1">
        <v>45105</v>
      </c>
    </row>
    <row r="3393" spans="1:7">
      <c r="A3393" t="s">
        <v>8145</v>
      </c>
      <c r="B3393">
        <v>74</v>
      </c>
      <c r="C3393" t="s">
        <v>8146</v>
      </c>
      <c r="D3393">
        <v>137800</v>
      </c>
      <c r="E3393" t="s">
        <v>9</v>
      </c>
      <c r="F3393" t="s">
        <v>8147</v>
      </c>
      <c r="G3393" t="s">
        <v>81</v>
      </c>
    </row>
    <row r="3394" spans="1:7">
      <c r="A3394" t="s">
        <v>4839</v>
      </c>
      <c r="B3394">
        <v>41</v>
      </c>
      <c r="C3394" t="s">
        <v>8148</v>
      </c>
      <c r="D3394">
        <v>194759</v>
      </c>
      <c r="E3394" t="s">
        <v>27</v>
      </c>
      <c r="F3394" t="s">
        <v>8149</v>
      </c>
      <c r="G3394" s="1">
        <v>45125</v>
      </c>
    </row>
    <row r="3395" spans="1:7">
      <c r="A3395" t="s">
        <v>8150</v>
      </c>
      <c r="B3395">
        <v>38</v>
      </c>
      <c r="C3395" t="s">
        <v>8151</v>
      </c>
      <c r="D3395">
        <v>59483</v>
      </c>
      <c r="E3395" t="s">
        <v>27</v>
      </c>
      <c r="F3395">
        <f>1-651-686-9955</f>
        <v>-11291</v>
      </c>
      <c r="G3395" s="1">
        <v>45237</v>
      </c>
    </row>
    <row r="3396" spans="1:7">
      <c r="B3396">
        <v>300</v>
      </c>
      <c r="C3396" t="s">
        <v>8152</v>
      </c>
      <c r="D3396">
        <v>92894</v>
      </c>
      <c r="E3396" t="s">
        <v>9</v>
      </c>
      <c r="F3396" t="s">
        <v>8153</v>
      </c>
      <c r="G3396" s="1">
        <v>45052</v>
      </c>
    </row>
    <row r="3397" spans="1:7">
      <c r="A3397" t="s">
        <v>8154</v>
      </c>
      <c r="B3397">
        <v>78</v>
      </c>
      <c r="C3397" t="s">
        <v>8155</v>
      </c>
      <c r="D3397">
        <v>166198</v>
      </c>
      <c r="E3397" t="s">
        <v>9</v>
      </c>
      <c r="F3397" t="s">
        <v>8156</v>
      </c>
      <c r="G3397" s="1">
        <v>45121</v>
      </c>
    </row>
    <row r="3398" spans="1:7">
      <c r="A3398" t="s">
        <v>8157</v>
      </c>
      <c r="B3398">
        <v>78</v>
      </c>
      <c r="C3398" t="s">
        <v>8158</v>
      </c>
      <c r="D3398">
        <v>43334</v>
      </c>
      <c r="E3398" t="s">
        <v>27</v>
      </c>
      <c r="F3398" t="s">
        <v>8159</v>
      </c>
      <c r="G3398" s="1">
        <v>45153</v>
      </c>
    </row>
    <row r="3399" spans="1:7">
      <c r="A3399" t="s">
        <v>8160</v>
      </c>
      <c r="B3399">
        <v>37</v>
      </c>
      <c r="C3399" t="s">
        <v>8161</v>
      </c>
      <c r="D3399">
        <v>167202</v>
      </c>
      <c r="E3399" t="s">
        <v>9</v>
      </c>
      <c r="F3399">
        <f>1-926-269-7600</f>
        <v>-8794</v>
      </c>
      <c r="G3399" s="1">
        <v>45289</v>
      </c>
    </row>
    <row r="3400" spans="1:7">
      <c r="A3400" t="s">
        <v>8162</v>
      </c>
      <c r="B3400">
        <v>55</v>
      </c>
      <c r="C3400" t="s">
        <v>8163</v>
      </c>
      <c r="D3400">
        <v>118290</v>
      </c>
      <c r="E3400" t="s">
        <v>27</v>
      </c>
      <c r="F3400" t="s">
        <v>8164</v>
      </c>
      <c r="G3400" s="1">
        <v>45254</v>
      </c>
    </row>
    <row r="3401" spans="1:7">
      <c r="A3401" t="s">
        <v>8165</v>
      </c>
      <c r="B3401">
        <v>66</v>
      </c>
      <c r="C3401" t="s">
        <v>8166</v>
      </c>
      <c r="D3401">
        <v>52486</v>
      </c>
      <c r="E3401" t="s">
        <v>12</v>
      </c>
      <c r="F3401" t="s">
        <v>8167</v>
      </c>
      <c r="G3401" t="s">
        <v>371</v>
      </c>
    </row>
    <row r="3402" spans="1:7">
      <c r="A3402" t="s">
        <v>8168</v>
      </c>
      <c r="B3402">
        <v>40</v>
      </c>
      <c r="C3402" t="s">
        <v>8169</v>
      </c>
      <c r="D3402">
        <v>35796</v>
      </c>
      <c r="E3402" t="s">
        <v>9</v>
      </c>
      <c r="F3402">
        <f>1-161-515-5472</f>
        <v>-6147</v>
      </c>
      <c r="G3402" s="1">
        <v>44962</v>
      </c>
    </row>
    <row r="3403" spans="1:7">
      <c r="A3403" t="s">
        <v>8170</v>
      </c>
      <c r="B3403">
        <v>46</v>
      </c>
      <c r="C3403" t="s">
        <v>8171</v>
      </c>
      <c r="D3403">
        <v>139369</v>
      </c>
      <c r="E3403" t="s">
        <v>12</v>
      </c>
      <c r="F3403" t="s">
        <v>8172</v>
      </c>
      <c r="G3403" s="1">
        <v>45077</v>
      </c>
    </row>
    <row r="3404" spans="1:7">
      <c r="A3404" t="s">
        <v>8173</v>
      </c>
      <c r="B3404">
        <v>45</v>
      </c>
      <c r="C3404" t="s">
        <v>445</v>
      </c>
      <c r="D3404">
        <v>66113</v>
      </c>
      <c r="E3404" t="s">
        <v>12</v>
      </c>
      <c r="F3404" t="s">
        <v>8174</v>
      </c>
      <c r="G3404" s="1">
        <v>45145</v>
      </c>
    </row>
    <row r="3405" spans="1:7">
      <c r="A3405" t="s">
        <v>8175</v>
      </c>
      <c r="B3405">
        <v>53</v>
      </c>
      <c r="C3405" t="s">
        <v>8176</v>
      </c>
      <c r="D3405">
        <v>180368</v>
      </c>
      <c r="E3405" t="s">
        <v>9</v>
      </c>
      <c r="F3405" t="s">
        <v>8177</v>
      </c>
      <c r="G3405" t="s">
        <v>180</v>
      </c>
    </row>
    <row r="3406" spans="1:7">
      <c r="A3406" t="s">
        <v>8178</v>
      </c>
      <c r="B3406">
        <v>59</v>
      </c>
      <c r="D3406">
        <v>86889</v>
      </c>
      <c r="E3406" t="s">
        <v>12</v>
      </c>
      <c r="F3406">
        <v>9369885242</v>
      </c>
      <c r="G3406" s="1">
        <v>45014</v>
      </c>
    </row>
    <row r="3407" spans="1:7">
      <c r="A3407" t="s">
        <v>8179</v>
      </c>
      <c r="B3407">
        <v>56</v>
      </c>
      <c r="C3407" t="s">
        <v>8180</v>
      </c>
      <c r="D3407">
        <v>109732</v>
      </c>
      <c r="E3407" t="s">
        <v>36</v>
      </c>
      <c r="F3407" t="s">
        <v>8181</v>
      </c>
      <c r="G3407" s="1">
        <v>45209</v>
      </c>
    </row>
    <row r="3408" spans="1:7">
      <c r="A3408" t="s">
        <v>8182</v>
      </c>
      <c r="B3408">
        <v>999</v>
      </c>
      <c r="C3408" t="s">
        <v>8183</v>
      </c>
      <c r="D3408">
        <v>56739</v>
      </c>
      <c r="E3408" t="s">
        <v>36</v>
      </c>
      <c r="F3408" t="s">
        <v>8184</v>
      </c>
      <c r="G3408" s="1">
        <v>45031</v>
      </c>
    </row>
    <row r="3409" spans="1:7">
      <c r="A3409" t="s">
        <v>8185</v>
      </c>
      <c r="B3409">
        <v>67</v>
      </c>
      <c r="C3409" t="s">
        <v>8186</v>
      </c>
      <c r="D3409">
        <v>75201</v>
      </c>
      <c r="E3409" t="s">
        <v>294</v>
      </c>
      <c r="F3409" t="s">
        <v>8187</v>
      </c>
      <c r="G3409" s="1">
        <v>44927</v>
      </c>
    </row>
    <row r="3410" spans="1:7">
      <c r="A3410" t="s">
        <v>8188</v>
      </c>
      <c r="B3410">
        <v>53</v>
      </c>
      <c r="C3410" t="s">
        <v>8189</v>
      </c>
      <c r="D3410">
        <v>118095</v>
      </c>
      <c r="E3410" t="s">
        <v>12</v>
      </c>
      <c r="F3410" t="s">
        <v>8190</v>
      </c>
      <c r="G3410" s="1">
        <v>45176</v>
      </c>
    </row>
    <row r="3411" spans="1:7">
      <c r="A3411" t="s">
        <v>8191</v>
      </c>
      <c r="B3411">
        <v>23</v>
      </c>
      <c r="C3411" t="s">
        <v>8192</v>
      </c>
      <c r="D3411">
        <v>31466</v>
      </c>
      <c r="E3411" t="s">
        <v>9</v>
      </c>
      <c r="F3411">
        <f>1-846-413-7017</f>
        <v>-8275</v>
      </c>
      <c r="G3411" s="1">
        <v>45090</v>
      </c>
    </row>
    <row r="3412" spans="1:7">
      <c r="A3412" t="s">
        <v>8193</v>
      </c>
      <c r="B3412">
        <v>40</v>
      </c>
      <c r="C3412" t="s">
        <v>8194</v>
      </c>
      <c r="D3412">
        <v>73880</v>
      </c>
      <c r="E3412" t="s">
        <v>9</v>
      </c>
      <c r="F3412" t="s">
        <v>8195</v>
      </c>
      <c r="G3412" s="1">
        <v>44963</v>
      </c>
    </row>
    <row r="3413" spans="1:7">
      <c r="A3413" t="s">
        <v>8196</v>
      </c>
      <c r="B3413">
        <v>52</v>
      </c>
      <c r="C3413" t="s">
        <v>8197</v>
      </c>
      <c r="D3413">
        <v>39505</v>
      </c>
      <c r="E3413" t="s">
        <v>18</v>
      </c>
      <c r="F3413">
        <v>2537999481</v>
      </c>
      <c r="G3413" t="s">
        <v>87</v>
      </c>
    </row>
    <row r="3414" spans="1:7">
      <c r="A3414" t="s">
        <v>8198</v>
      </c>
      <c r="B3414">
        <v>49</v>
      </c>
      <c r="C3414" t="s">
        <v>8199</v>
      </c>
      <c r="D3414">
        <v>81831</v>
      </c>
      <c r="E3414" t="s">
        <v>27</v>
      </c>
      <c r="F3414" t="s">
        <v>8200</v>
      </c>
      <c r="G3414" s="1">
        <v>45166</v>
      </c>
    </row>
    <row r="3415" spans="1:7">
      <c r="A3415" t="s">
        <v>8201</v>
      </c>
      <c r="B3415">
        <v>49</v>
      </c>
      <c r="C3415" t="s">
        <v>8202</v>
      </c>
      <c r="D3415">
        <v>180939</v>
      </c>
      <c r="E3415" t="s">
        <v>27</v>
      </c>
      <c r="F3415" t="s">
        <v>8203</v>
      </c>
      <c r="G3415" s="1">
        <v>45084</v>
      </c>
    </row>
    <row r="3416" spans="1:7">
      <c r="A3416" t="s">
        <v>8204</v>
      </c>
      <c r="B3416">
        <v>27</v>
      </c>
      <c r="C3416" t="s">
        <v>8205</v>
      </c>
      <c r="E3416" t="s">
        <v>36</v>
      </c>
      <c r="F3416" t="s">
        <v>8206</v>
      </c>
      <c r="G3416" s="1">
        <v>45248</v>
      </c>
    </row>
    <row r="3417" spans="1:7">
      <c r="A3417" t="s">
        <v>7234</v>
      </c>
      <c r="B3417">
        <v>32</v>
      </c>
      <c r="C3417" t="s">
        <v>445</v>
      </c>
      <c r="D3417">
        <v>89251</v>
      </c>
      <c r="E3417" t="s">
        <v>27</v>
      </c>
      <c r="F3417" t="s">
        <v>8207</v>
      </c>
      <c r="G3417" s="1">
        <v>45000</v>
      </c>
    </row>
    <row r="3418" spans="1:7">
      <c r="A3418" t="s">
        <v>8208</v>
      </c>
      <c r="B3418">
        <v>79</v>
      </c>
      <c r="C3418" t="s">
        <v>8209</v>
      </c>
      <c r="D3418">
        <v>58379</v>
      </c>
      <c r="E3418" t="s">
        <v>12</v>
      </c>
      <c r="F3418" t="s">
        <v>8210</v>
      </c>
      <c r="G3418" s="1">
        <v>45281</v>
      </c>
    </row>
    <row r="3419" spans="1:7">
      <c r="A3419" t="s">
        <v>8211</v>
      </c>
      <c r="B3419">
        <v>70</v>
      </c>
      <c r="C3419" t="s">
        <v>8212</v>
      </c>
      <c r="D3419">
        <v>188018</v>
      </c>
      <c r="E3419" t="s">
        <v>9</v>
      </c>
      <c r="G3419" s="1">
        <v>45072</v>
      </c>
    </row>
    <row r="3420" spans="1:7">
      <c r="A3420" t="s">
        <v>8213</v>
      </c>
      <c r="B3420">
        <v>34</v>
      </c>
      <c r="C3420" t="s">
        <v>17</v>
      </c>
      <c r="D3420">
        <v>103181</v>
      </c>
      <c r="E3420" t="s">
        <v>9</v>
      </c>
      <c r="F3420">
        <f>1-511-558-7397</f>
        <v>-8465</v>
      </c>
      <c r="G3420" s="1">
        <v>45014</v>
      </c>
    </row>
    <row r="3421" spans="1:7">
      <c r="A3421" t="s">
        <v>8214</v>
      </c>
      <c r="B3421">
        <v>57</v>
      </c>
      <c r="C3421" t="s">
        <v>8215</v>
      </c>
      <c r="D3421">
        <v>103169</v>
      </c>
      <c r="E3421" t="s">
        <v>27</v>
      </c>
      <c r="F3421" t="s">
        <v>8216</v>
      </c>
      <c r="G3421" s="1">
        <v>44954</v>
      </c>
    </row>
    <row r="3422" spans="1:7">
      <c r="B3422">
        <v>52</v>
      </c>
      <c r="C3422" t="s">
        <v>8217</v>
      </c>
      <c r="D3422">
        <v>88671</v>
      </c>
      <c r="E3422" t="s">
        <v>9</v>
      </c>
      <c r="F3422" t="s">
        <v>8218</v>
      </c>
      <c r="G3422" s="1">
        <v>45048</v>
      </c>
    </row>
    <row r="3423" spans="1:7">
      <c r="A3423" t="s">
        <v>8219</v>
      </c>
      <c r="B3423">
        <v>23</v>
      </c>
      <c r="C3423" t="s">
        <v>8220</v>
      </c>
      <c r="D3423">
        <v>107926</v>
      </c>
      <c r="E3423" t="s">
        <v>27</v>
      </c>
      <c r="F3423" t="s">
        <v>8221</v>
      </c>
      <c r="G3423" s="1">
        <v>45286</v>
      </c>
    </row>
    <row r="3424" spans="1:7">
      <c r="A3424" t="s">
        <v>8222</v>
      </c>
      <c r="B3424">
        <v>37</v>
      </c>
      <c r="C3424" t="s">
        <v>61</v>
      </c>
      <c r="E3424" t="s">
        <v>27</v>
      </c>
      <c r="F3424">
        <f>1-785-206-1826</f>
        <v>-2816</v>
      </c>
      <c r="G3424" s="1">
        <v>45234</v>
      </c>
    </row>
    <row r="3425" spans="1:7">
      <c r="A3425" t="s">
        <v>8223</v>
      </c>
      <c r="B3425">
        <v>27</v>
      </c>
      <c r="C3425" t="s">
        <v>8224</v>
      </c>
      <c r="D3425">
        <v>35039</v>
      </c>
      <c r="E3425" t="s">
        <v>9</v>
      </c>
      <c r="F3425" t="s">
        <v>8225</v>
      </c>
      <c r="G3425" s="1">
        <v>45178</v>
      </c>
    </row>
    <row r="3426" spans="1:7">
      <c r="A3426" t="s">
        <v>8226</v>
      </c>
      <c r="B3426">
        <v>26</v>
      </c>
      <c r="C3426" t="s">
        <v>8227</v>
      </c>
      <c r="D3426">
        <v>174587</v>
      </c>
      <c r="E3426" t="s">
        <v>9</v>
      </c>
      <c r="F3426">
        <v>5440292367</v>
      </c>
      <c r="G3426" s="1">
        <v>45138</v>
      </c>
    </row>
    <row r="3427" spans="1:7">
      <c r="A3427" t="s">
        <v>8228</v>
      </c>
      <c r="B3427">
        <v>69</v>
      </c>
      <c r="C3427" t="s">
        <v>8229</v>
      </c>
      <c r="D3427">
        <v>95524</v>
      </c>
      <c r="E3427" t="s">
        <v>36</v>
      </c>
      <c r="F3427" t="s">
        <v>8230</v>
      </c>
      <c r="G3427" s="1">
        <v>44958</v>
      </c>
    </row>
    <row r="3428" spans="1:7">
      <c r="A3428" t="s">
        <v>8231</v>
      </c>
      <c r="B3428">
        <v>53</v>
      </c>
      <c r="C3428" t="s">
        <v>8232</v>
      </c>
      <c r="D3428">
        <v>39927</v>
      </c>
      <c r="E3428" t="s">
        <v>9</v>
      </c>
      <c r="F3428" t="s">
        <v>8233</v>
      </c>
      <c r="G3428" s="1">
        <v>44956</v>
      </c>
    </row>
    <row r="3429" spans="1:7">
      <c r="B3429">
        <v>57</v>
      </c>
      <c r="C3429" t="s">
        <v>8234</v>
      </c>
      <c r="D3429">
        <v>140084</v>
      </c>
      <c r="E3429" t="s">
        <v>27</v>
      </c>
      <c r="F3429">
        <v>6812537378</v>
      </c>
      <c r="G3429" s="1">
        <v>45221</v>
      </c>
    </row>
    <row r="3430" spans="1:7">
      <c r="A3430" t="s">
        <v>8235</v>
      </c>
      <c r="B3430">
        <v>66</v>
      </c>
      <c r="C3430" t="s">
        <v>8236</v>
      </c>
      <c r="D3430">
        <v>115774</v>
      </c>
      <c r="E3430" t="s">
        <v>9</v>
      </c>
      <c r="F3430" t="s">
        <v>8237</v>
      </c>
      <c r="G3430" s="1">
        <v>45015</v>
      </c>
    </row>
    <row r="3431" spans="1:7">
      <c r="A3431" t="s">
        <v>1787</v>
      </c>
      <c r="B3431">
        <v>70</v>
      </c>
      <c r="D3431">
        <v>173309</v>
      </c>
      <c r="E3431" t="s">
        <v>49</v>
      </c>
      <c r="F3431" t="s">
        <v>8238</v>
      </c>
      <c r="G3431" s="1">
        <v>45126</v>
      </c>
    </row>
    <row r="3432" spans="1:7">
      <c r="A3432" t="s">
        <v>8239</v>
      </c>
      <c r="B3432">
        <v>66</v>
      </c>
      <c r="C3432" t="s">
        <v>8240</v>
      </c>
      <c r="D3432">
        <v>61105</v>
      </c>
      <c r="E3432" t="s">
        <v>12</v>
      </c>
      <c r="F3432" t="s">
        <v>8241</v>
      </c>
      <c r="G3432" s="1">
        <v>45051</v>
      </c>
    </row>
    <row r="3433" spans="1:7">
      <c r="A3433" t="s">
        <v>8242</v>
      </c>
      <c r="B3433">
        <v>25</v>
      </c>
      <c r="C3433" t="s">
        <v>170</v>
      </c>
      <c r="D3433">
        <v>45810</v>
      </c>
      <c r="E3433" t="s">
        <v>27</v>
      </c>
      <c r="F3433">
        <v>4901978733</v>
      </c>
      <c r="G3433" s="1">
        <v>45162</v>
      </c>
    </row>
    <row r="3434" spans="1:7">
      <c r="A3434" t="s">
        <v>8243</v>
      </c>
      <c r="B3434">
        <v>38</v>
      </c>
      <c r="C3434" t="s">
        <v>8244</v>
      </c>
      <c r="D3434">
        <v>90973</v>
      </c>
      <c r="E3434" t="s">
        <v>9</v>
      </c>
      <c r="F3434">
        <v>5672946587</v>
      </c>
      <c r="G3434" s="1">
        <v>45100</v>
      </c>
    </row>
    <row r="3435" spans="1:7">
      <c r="A3435" t="s">
        <v>8245</v>
      </c>
      <c r="B3435">
        <v>53</v>
      </c>
      <c r="C3435" t="s">
        <v>8246</v>
      </c>
      <c r="D3435">
        <v>41676</v>
      </c>
      <c r="E3435" t="s">
        <v>27</v>
      </c>
      <c r="F3435" t="s">
        <v>8247</v>
      </c>
      <c r="G3435" s="1">
        <v>44998</v>
      </c>
    </row>
    <row r="3436" spans="1:7">
      <c r="A3436" t="s">
        <v>8248</v>
      </c>
      <c r="B3436">
        <v>72</v>
      </c>
      <c r="C3436" t="s">
        <v>8249</v>
      </c>
      <c r="D3436">
        <v>129340</v>
      </c>
      <c r="E3436" t="s">
        <v>36</v>
      </c>
      <c r="F3436">
        <f>1-430-148-3307</f>
        <v>-3884</v>
      </c>
      <c r="G3436" s="1">
        <v>45026</v>
      </c>
    </row>
    <row r="3437" spans="1:7">
      <c r="A3437" t="s">
        <v>8250</v>
      </c>
      <c r="B3437">
        <v>62</v>
      </c>
      <c r="C3437" t="s">
        <v>8251</v>
      </c>
      <c r="D3437">
        <v>152872</v>
      </c>
      <c r="E3437" t="s">
        <v>12</v>
      </c>
      <c r="F3437">
        <v>7962066857</v>
      </c>
      <c r="G3437" s="1">
        <v>44981</v>
      </c>
    </row>
    <row r="3438" spans="1:7">
      <c r="A3438" t="s">
        <v>8252</v>
      </c>
      <c r="B3438">
        <v>24</v>
      </c>
      <c r="C3438" t="s">
        <v>8253</v>
      </c>
      <c r="D3438">
        <v>168442</v>
      </c>
      <c r="E3438" t="s">
        <v>12</v>
      </c>
      <c r="G3438" s="1">
        <v>45129</v>
      </c>
    </row>
    <row r="3439" spans="1:7">
      <c r="A3439" t="s">
        <v>8254</v>
      </c>
      <c r="B3439">
        <v>77</v>
      </c>
      <c r="C3439" t="s">
        <v>8255</v>
      </c>
      <c r="D3439">
        <v>152002</v>
      </c>
      <c r="E3439" t="s">
        <v>27</v>
      </c>
      <c r="F3439">
        <v>4575118400</v>
      </c>
      <c r="G3439" s="1">
        <v>44927</v>
      </c>
    </row>
    <row r="3440" spans="1:7">
      <c r="A3440" t="s">
        <v>8256</v>
      </c>
      <c r="B3440">
        <v>27</v>
      </c>
      <c r="C3440" t="s">
        <v>8257</v>
      </c>
      <c r="D3440">
        <v>188177</v>
      </c>
      <c r="E3440" t="s">
        <v>9</v>
      </c>
      <c r="F3440" t="s">
        <v>8258</v>
      </c>
      <c r="G3440" s="1">
        <v>45224</v>
      </c>
    </row>
    <row r="3441" spans="1:7">
      <c r="A3441" t="s">
        <v>8259</v>
      </c>
      <c r="B3441">
        <v>58</v>
      </c>
      <c r="C3441" t="s">
        <v>8260</v>
      </c>
      <c r="D3441">
        <v>115103</v>
      </c>
      <c r="E3441" t="s">
        <v>27</v>
      </c>
      <c r="G3441" s="1">
        <v>45131</v>
      </c>
    </row>
    <row r="3442" spans="1:7">
      <c r="A3442" t="s">
        <v>6774</v>
      </c>
      <c r="B3442">
        <v>49</v>
      </c>
      <c r="D3442">
        <v>-5000</v>
      </c>
      <c r="E3442" t="s">
        <v>358</v>
      </c>
      <c r="F3442">
        <v>9996812354</v>
      </c>
      <c r="G3442" s="1">
        <v>44945</v>
      </c>
    </row>
    <row r="3443" spans="1:7">
      <c r="A3443" t="s">
        <v>8261</v>
      </c>
      <c r="B3443">
        <v>0</v>
      </c>
      <c r="C3443" t="s">
        <v>8262</v>
      </c>
      <c r="D3443">
        <v>87676</v>
      </c>
      <c r="E3443" t="s">
        <v>12</v>
      </c>
      <c r="F3443" t="s">
        <v>8263</v>
      </c>
      <c r="G3443" s="1">
        <v>45059</v>
      </c>
    </row>
    <row r="3444" spans="1:7">
      <c r="A3444" t="s">
        <v>8264</v>
      </c>
      <c r="B3444">
        <v>130</v>
      </c>
      <c r="C3444" t="s">
        <v>8265</v>
      </c>
      <c r="D3444">
        <v>142224</v>
      </c>
      <c r="E3444" t="s">
        <v>12</v>
      </c>
      <c r="F3444" t="s">
        <v>8266</v>
      </c>
      <c r="G3444" s="1">
        <v>45149</v>
      </c>
    </row>
    <row r="3445" spans="1:7">
      <c r="A3445" t="s">
        <v>8267</v>
      </c>
      <c r="B3445">
        <v>60</v>
      </c>
      <c r="C3445" t="s">
        <v>8268</v>
      </c>
      <c r="D3445">
        <v>196251</v>
      </c>
      <c r="E3445" t="s">
        <v>9</v>
      </c>
      <c r="F3445" t="s">
        <v>8269</v>
      </c>
      <c r="G3445" s="1">
        <v>44998</v>
      </c>
    </row>
    <row r="3446" spans="1:7">
      <c r="A3446" t="s">
        <v>3356</v>
      </c>
      <c r="B3446">
        <v>66</v>
      </c>
      <c r="C3446" t="s">
        <v>8270</v>
      </c>
      <c r="D3446">
        <v>55372</v>
      </c>
      <c r="E3446" t="s">
        <v>27</v>
      </c>
      <c r="F3446">
        <v>3506801119</v>
      </c>
      <c r="G3446" s="1">
        <v>45218</v>
      </c>
    </row>
    <row r="3447" spans="1:7">
      <c r="A3447" t="s">
        <v>5496</v>
      </c>
      <c r="B3447">
        <v>76</v>
      </c>
      <c r="C3447" t="s">
        <v>8271</v>
      </c>
      <c r="D3447">
        <v>154168</v>
      </c>
      <c r="E3447" t="s">
        <v>27</v>
      </c>
      <c r="F3447" t="s">
        <v>8272</v>
      </c>
      <c r="G3447" s="1">
        <v>44938</v>
      </c>
    </row>
    <row r="3448" spans="1:7">
      <c r="A3448" t="s">
        <v>8273</v>
      </c>
      <c r="B3448">
        <v>41</v>
      </c>
      <c r="C3448" t="s">
        <v>8274</v>
      </c>
      <c r="D3448">
        <v>84383</v>
      </c>
      <c r="E3448" t="s">
        <v>36</v>
      </c>
      <c r="F3448">
        <f>1-831-210-8409</f>
        <v>-9449</v>
      </c>
      <c r="G3448" s="1">
        <v>45223</v>
      </c>
    </row>
    <row r="3449" spans="1:7">
      <c r="A3449" t="s">
        <v>8275</v>
      </c>
      <c r="B3449">
        <v>37</v>
      </c>
      <c r="C3449" t="s">
        <v>8276</v>
      </c>
      <c r="D3449">
        <v>42453</v>
      </c>
      <c r="E3449" t="s">
        <v>12</v>
      </c>
      <c r="F3449" t="s">
        <v>8277</v>
      </c>
      <c r="G3449" s="1">
        <v>45183</v>
      </c>
    </row>
    <row r="3450" spans="1:7">
      <c r="A3450" t="s">
        <v>8278</v>
      </c>
      <c r="B3450">
        <v>75</v>
      </c>
      <c r="C3450" t="s">
        <v>8279</v>
      </c>
      <c r="D3450">
        <v>80494</v>
      </c>
      <c r="E3450" t="s">
        <v>12</v>
      </c>
      <c r="F3450" t="s">
        <v>8280</v>
      </c>
      <c r="G3450" s="1">
        <v>45230</v>
      </c>
    </row>
    <row r="3451" spans="1:7">
      <c r="A3451" t="s">
        <v>5696</v>
      </c>
      <c r="B3451">
        <v>56</v>
      </c>
      <c r="C3451" t="s">
        <v>8281</v>
      </c>
      <c r="D3451">
        <v>61802</v>
      </c>
      <c r="E3451" t="s">
        <v>36</v>
      </c>
      <c r="F3451" t="s">
        <v>8282</v>
      </c>
      <c r="G3451" s="1">
        <v>45139</v>
      </c>
    </row>
    <row r="3452" spans="1:7">
      <c r="A3452" t="s">
        <v>8283</v>
      </c>
      <c r="B3452">
        <v>999</v>
      </c>
      <c r="C3452" t="s">
        <v>8284</v>
      </c>
      <c r="D3452">
        <v>88160</v>
      </c>
      <c r="E3452" t="s">
        <v>27</v>
      </c>
      <c r="F3452" t="s">
        <v>8285</v>
      </c>
      <c r="G3452" s="1">
        <v>45179</v>
      </c>
    </row>
    <row r="3453" spans="1:7">
      <c r="A3453" t="s">
        <v>8286</v>
      </c>
      <c r="B3453">
        <v>50</v>
      </c>
      <c r="C3453" t="s">
        <v>8287</v>
      </c>
      <c r="D3453">
        <v>138944</v>
      </c>
      <c r="E3453" t="s">
        <v>36</v>
      </c>
      <c r="F3453" t="s">
        <v>8288</v>
      </c>
      <c r="G3453" s="1">
        <v>45087</v>
      </c>
    </row>
    <row r="3454" spans="1:7">
      <c r="A3454" t="s">
        <v>8289</v>
      </c>
      <c r="B3454">
        <v>41</v>
      </c>
      <c r="C3454" t="s">
        <v>8290</v>
      </c>
      <c r="D3454">
        <v>149975</v>
      </c>
      <c r="E3454" t="s">
        <v>27</v>
      </c>
      <c r="F3454" t="s">
        <v>8291</v>
      </c>
      <c r="G3454" s="1">
        <v>45055</v>
      </c>
    </row>
    <row r="3455" spans="1:7">
      <c r="A3455" t="s">
        <v>8292</v>
      </c>
      <c r="B3455">
        <v>-1</v>
      </c>
      <c r="C3455" t="s">
        <v>8293</v>
      </c>
      <c r="D3455">
        <v>77636</v>
      </c>
      <c r="E3455" t="s">
        <v>27</v>
      </c>
      <c r="F3455" t="s">
        <v>8294</v>
      </c>
      <c r="G3455" s="1">
        <v>45197</v>
      </c>
    </row>
    <row r="3456" spans="1:7">
      <c r="A3456" t="s">
        <v>8295</v>
      </c>
      <c r="C3456" t="s">
        <v>8296</v>
      </c>
      <c r="D3456">
        <v>111486</v>
      </c>
      <c r="E3456" t="s">
        <v>9</v>
      </c>
      <c r="F3456" t="s">
        <v>8297</v>
      </c>
      <c r="G3456" s="1">
        <v>45281</v>
      </c>
    </row>
    <row r="3457" spans="1:7">
      <c r="A3457" t="s">
        <v>8298</v>
      </c>
      <c r="B3457">
        <v>19</v>
      </c>
      <c r="C3457" t="s">
        <v>8299</v>
      </c>
      <c r="D3457">
        <v>185086</v>
      </c>
      <c r="E3457" t="s">
        <v>27</v>
      </c>
      <c r="F3457" t="s">
        <v>8300</v>
      </c>
      <c r="G3457" s="1">
        <v>45156</v>
      </c>
    </row>
    <row r="3458" spans="1:7">
      <c r="A3458" t="s">
        <v>8301</v>
      </c>
      <c r="B3458">
        <v>28</v>
      </c>
      <c r="C3458" t="s">
        <v>8302</v>
      </c>
      <c r="D3458">
        <v>132552</v>
      </c>
      <c r="E3458" t="s">
        <v>12</v>
      </c>
      <c r="G3458" s="1">
        <v>44987</v>
      </c>
    </row>
    <row r="3459" spans="1:7">
      <c r="B3459">
        <v>30</v>
      </c>
      <c r="C3459" t="s">
        <v>8303</v>
      </c>
      <c r="D3459">
        <v>150062</v>
      </c>
      <c r="E3459" t="s">
        <v>36</v>
      </c>
      <c r="F3459" t="s">
        <v>8304</v>
      </c>
      <c r="G3459" s="1">
        <v>45144</v>
      </c>
    </row>
    <row r="3460" spans="1:7">
      <c r="A3460" t="s">
        <v>8305</v>
      </c>
      <c r="B3460">
        <v>66</v>
      </c>
      <c r="C3460" t="s">
        <v>8306</v>
      </c>
      <c r="D3460">
        <v>68712</v>
      </c>
      <c r="E3460" t="s">
        <v>9</v>
      </c>
      <c r="G3460" s="1">
        <v>45284</v>
      </c>
    </row>
    <row r="3461" spans="1:7">
      <c r="A3461" t="s">
        <v>8307</v>
      </c>
      <c r="B3461">
        <v>22</v>
      </c>
      <c r="C3461" t="s">
        <v>8308</v>
      </c>
      <c r="D3461">
        <v>112289</v>
      </c>
      <c r="E3461" t="s">
        <v>27</v>
      </c>
      <c r="F3461">
        <v>3073995755</v>
      </c>
      <c r="G3461" s="1">
        <v>45226</v>
      </c>
    </row>
    <row r="3462" spans="1:7">
      <c r="A3462" t="s">
        <v>8309</v>
      </c>
      <c r="B3462">
        <v>20</v>
      </c>
      <c r="C3462" t="s">
        <v>8310</v>
      </c>
      <c r="D3462">
        <v>99322</v>
      </c>
      <c r="E3462" t="s">
        <v>9</v>
      </c>
      <c r="F3462">
        <f>1-581-607-3672</f>
        <v>-4859</v>
      </c>
      <c r="G3462" s="1">
        <v>45183</v>
      </c>
    </row>
    <row r="3463" spans="1:7">
      <c r="A3463" t="s">
        <v>8311</v>
      </c>
      <c r="B3463">
        <v>20</v>
      </c>
      <c r="C3463" t="s">
        <v>8312</v>
      </c>
      <c r="E3463" t="s">
        <v>12</v>
      </c>
      <c r="F3463" t="s">
        <v>8313</v>
      </c>
      <c r="G3463" s="1">
        <v>45172</v>
      </c>
    </row>
    <row r="3464" spans="1:7">
      <c r="A3464" t="s">
        <v>7332</v>
      </c>
      <c r="B3464">
        <v>50</v>
      </c>
      <c r="C3464" t="s">
        <v>8314</v>
      </c>
      <c r="D3464">
        <v>87615</v>
      </c>
      <c r="E3464" t="s">
        <v>27</v>
      </c>
      <c r="F3464" t="s">
        <v>8315</v>
      </c>
      <c r="G3464" s="1">
        <v>45107</v>
      </c>
    </row>
    <row r="3465" spans="1:7">
      <c r="A3465" t="s">
        <v>8316</v>
      </c>
      <c r="B3465">
        <v>34</v>
      </c>
      <c r="C3465" t="s">
        <v>8317</v>
      </c>
      <c r="D3465">
        <v>159526</v>
      </c>
      <c r="E3465" t="s">
        <v>12</v>
      </c>
      <c r="F3465">
        <v>8577019017</v>
      </c>
      <c r="G3465" s="1">
        <v>45279</v>
      </c>
    </row>
    <row r="3466" spans="1:7">
      <c r="A3466" t="s">
        <v>8318</v>
      </c>
      <c r="B3466">
        <v>66</v>
      </c>
      <c r="C3466" t="s">
        <v>8319</v>
      </c>
      <c r="D3466">
        <v>40024</v>
      </c>
      <c r="E3466" t="s">
        <v>36</v>
      </c>
      <c r="F3466" t="s">
        <v>8320</v>
      </c>
      <c r="G3466" s="1">
        <v>45170</v>
      </c>
    </row>
    <row r="3467" spans="1:7">
      <c r="A3467" t="s">
        <v>8321</v>
      </c>
      <c r="B3467">
        <v>57</v>
      </c>
      <c r="C3467" t="s">
        <v>8322</v>
      </c>
      <c r="D3467">
        <v>112428</v>
      </c>
      <c r="E3467" t="s">
        <v>12</v>
      </c>
      <c r="F3467">
        <f>1-792-250-8113</f>
        <v>-9154</v>
      </c>
      <c r="G3467" s="1">
        <v>44937</v>
      </c>
    </row>
    <row r="3468" spans="1:7">
      <c r="A3468" t="s">
        <v>8323</v>
      </c>
      <c r="B3468">
        <v>43</v>
      </c>
      <c r="C3468" t="s">
        <v>8324</v>
      </c>
      <c r="D3468">
        <v>121328</v>
      </c>
      <c r="E3468" t="s">
        <v>36</v>
      </c>
      <c r="F3468" t="s">
        <v>8325</v>
      </c>
      <c r="G3468" t="s">
        <v>483</v>
      </c>
    </row>
    <row r="3469" spans="1:7">
      <c r="A3469" t="s">
        <v>4522</v>
      </c>
      <c r="B3469">
        <v>20</v>
      </c>
      <c r="C3469" t="s">
        <v>8326</v>
      </c>
      <c r="D3469">
        <v>80519</v>
      </c>
      <c r="E3469" t="s">
        <v>36</v>
      </c>
      <c r="F3469" t="s">
        <v>8327</v>
      </c>
      <c r="G3469" t="s">
        <v>1627</v>
      </c>
    </row>
    <row r="3470" spans="1:7">
      <c r="A3470" t="s">
        <v>8328</v>
      </c>
      <c r="B3470">
        <v>59</v>
      </c>
      <c r="C3470" t="s">
        <v>8329</v>
      </c>
      <c r="D3470">
        <v>134647</v>
      </c>
      <c r="E3470" t="s">
        <v>27</v>
      </c>
      <c r="F3470" t="s">
        <v>8330</v>
      </c>
      <c r="G3470" s="1">
        <v>44981</v>
      </c>
    </row>
    <row r="3471" spans="1:7">
      <c r="A3471" t="s">
        <v>6873</v>
      </c>
      <c r="C3471" t="s">
        <v>8331</v>
      </c>
      <c r="D3471">
        <v>-1000</v>
      </c>
      <c r="E3471" t="s">
        <v>12</v>
      </c>
      <c r="F3471">
        <v>9475505437</v>
      </c>
      <c r="G3471" s="1">
        <v>45120</v>
      </c>
    </row>
    <row r="3472" spans="1:7">
      <c r="A3472" t="s">
        <v>8332</v>
      </c>
      <c r="B3472">
        <v>67</v>
      </c>
      <c r="C3472" t="s">
        <v>8333</v>
      </c>
      <c r="D3472">
        <v>127137</v>
      </c>
      <c r="E3472" t="s">
        <v>90</v>
      </c>
      <c r="F3472">
        <v>1473301871</v>
      </c>
      <c r="G3472" s="1">
        <v>44995</v>
      </c>
    </row>
    <row r="3473" spans="1:7">
      <c r="A3473" t="s">
        <v>8334</v>
      </c>
      <c r="B3473">
        <v>79</v>
      </c>
      <c r="C3473" t="s">
        <v>8335</v>
      </c>
      <c r="E3473" t="s">
        <v>27</v>
      </c>
      <c r="F3473">
        <v>3429889433</v>
      </c>
      <c r="G3473" s="1">
        <v>45135</v>
      </c>
    </row>
    <row r="3474" spans="1:7">
      <c r="A3474" t="s">
        <v>6088</v>
      </c>
      <c r="B3474">
        <v>45</v>
      </c>
      <c r="C3474" t="s">
        <v>8336</v>
      </c>
      <c r="D3474">
        <v>164855</v>
      </c>
      <c r="E3474" t="s">
        <v>12</v>
      </c>
      <c r="F3474" t="s">
        <v>8337</v>
      </c>
      <c r="G3474" s="1">
        <v>45278</v>
      </c>
    </row>
    <row r="3475" spans="1:7">
      <c r="A3475" t="s">
        <v>8338</v>
      </c>
      <c r="B3475">
        <v>0</v>
      </c>
      <c r="C3475" t="s">
        <v>8339</v>
      </c>
      <c r="D3475">
        <v>179335</v>
      </c>
      <c r="E3475" t="s">
        <v>12</v>
      </c>
      <c r="F3475" t="s">
        <v>8340</v>
      </c>
      <c r="G3475" s="1">
        <v>45158</v>
      </c>
    </row>
    <row r="3476" spans="1:7">
      <c r="A3476" t="s">
        <v>8341</v>
      </c>
      <c r="B3476">
        <v>56</v>
      </c>
      <c r="C3476" t="s">
        <v>8342</v>
      </c>
      <c r="D3476">
        <v>123076</v>
      </c>
      <c r="E3476" t="s">
        <v>27</v>
      </c>
      <c r="F3476" t="s">
        <v>8343</v>
      </c>
      <c r="G3476" t="s">
        <v>180</v>
      </c>
    </row>
    <row r="3477" spans="1:7">
      <c r="A3477" t="s">
        <v>8344</v>
      </c>
      <c r="B3477">
        <v>79</v>
      </c>
      <c r="D3477">
        <v>192384</v>
      </c>
      <c r="E3477" t="s">
        <v>27</v>
      </c>
      <c r="F3477" t="s">
        <v>8345</v>
      </c>
      <c r="G3477" t="s">
        <v>422</v>
      </c>
    </row>
    <row r="3478" spans="1:7">
      <c r="A3478" t="s">
        <v>8346</v>
      </c>
      <c r="B3478">
        <v>66</v>
      </c>
      <c r="C3478" t="s">
        <v>8347</v>
      </c>
      <c r="D3478">
        <v>63776</v>
      </c>
      <c r="E3478" t="s">
        <v>27</v>
      </c>
      <c r="F3478" t="s">
        <v>8348</v>
      </c>
      <c r="G3478" s="1">
        <v>45092</v>
      </c>
    </row>
    <row r="3479" spans="1:7">
      <c r="A3479" t="s">
        <v>8349</v>
      </c>
      <c r="B3479">
        <v>21</v>
      </c>
      <c r="C3479" t="s">
        <v>8350</v>
      </c>
      <c r="D3479">
        <v>39615</v>
      </c>
      <c r="E3479" t="s">
        <v>12</v>
      </c>
      <c r="F3479" t="s">
        <v>8351</v>
      </c>
      <c r="G3479" s="1">
        <v>45269</v>
      </c>
    </row>
    <row r="3480" spans="1:7">
      <c r="A3480" t="s">
        <v>8352</v>
      </c>
      <c r="B3480">
        <v>-1</v>
      </c>
      <c r="C3480" t="s">
        <v>8353</v>
      </c>
      <c r="D3480">
        <v>152332</v>
      </c>
      <c r="E3480" t="s">
        <v>36</v>
      </c>
      <c r="F3480">
        <f>1-973-773-8208</f>
        <v>-9953</v>
      </c>
      <c r="G3480" s="1">
        <v>44961</v>
      </c>
    </row>
    <row r="3481" spans="1:7">
      <c r="A3481" t="s">
        <v>8354</v>
      </c>
      <c r="B3481">
        <v>42</v>
      </c>
      <c r="C3481" t="s">
        <v>8355</v>
      </c>
      <c r="D3481">
        <v>33326</v>
      </c>
      <c r="E3481" t="s">
        <v>9</v>
      </c>
      <c r="F3481" t="s">
        <v>8356</v>
      </c>
      <c r="G3481" s="1">
        <v>45242</v>
      </c>
    </row>
    <row r="3482" spans="1:7">
      <c r="A3482" t="s">
        <v>8357</v>
      </c>
      <c r="B3482">
        <v>500</v>
      </c>
      <c r="C3482" t="s">
        <v>8358</v>
      </c>
      <c r="D3482">
        <v>96677</v>
      </c>
      <c r="E3482" t="s">
        <v>27</v>
      </c>
      <c r="F3482" t="s">
        <v>8359</v>
      </c>
      <c r="G3482" s="1">
        <v>44989</v>
      </c>
    </row>
    <row r="3483" spans="1:7">
      <c r="A3483" t="s">
        <v>8360</v>
      </c>
      <c r="B3483">
        <v>71</v>
      </c>
      <c r="C3483" t="s">
        <v>8361</v>
      </c>
      <c r="D3483">
        <v>95911</v>
      </c>
      <c r="E3483" t="s">
        <v>49</v>
      </c>
      <c r="F3483" t="s">
        <v>8362</v>
      </c>
      <c r="G3483" s="1">
        <v>45160</v>
      </c>
    </row>
    <row r="3484" spans="1:7">
      <c r="A3484" t="s">
        <v>8363</v>
      </c>
      <c r="B3484">
        <v>29</v>
      </c>
      <c r="C3484" t="s">
        <v>299</v>
      </c>
      <c r="D3484">
        <v>177531</v>
      </c>
      <c r="E3484" t="s">
        <v>36</v>
      </c>
      <c r="F3484">
        <f>1-668-686-4495</f>
        <v>-5848</v>
      </c>
      <c r="G3484" s="1">
        <v>45005</v>
      </c>
    </row>
    <row r="3485" spans="1:7">
      <c r="A3485" t="s">
        <v>4663</v>
      </c>
      <c r="B3485">
        <v>69</v>
      </c>
      <c r="C3485" t="s">
        <v>8364</v>
      </c>
      <c r="D3485">
        <v>125345</v>
      </c>
      <c r="E3485" t="s">
        <v>27</v>
      </c>
      <c r="G3485" s="1">
        <v>45134</v>
      </c>
    </row>
    <row r="3486" spans="1:7">
      <c r="A3486" t="s">
        <v>8365</v>
      </c>
      <c r="B3486">
        <v>54</v>
      </c>
      <c r="D3486">
        <v>100990</v>
      </c>
      <c r="E3486" t="s">
        <v>27</v>
      </c>
      <c r="F3486">
        <v>4001759769</v>
      </c>
      <c r="G3486" s="1">
        <v>44927</v>
      </c>
    </row>
    <row r="3487" spans="1:7">
      <c r="A3487" t="s">
        <v>8366</v>
      </c>
      <c r="B3487">
        <v>0</v>
      </c>
      <c r="D3487">
        <v>136732</v>
      </c>
      <c r="E3487" t="s">
        <v>9</v>
      </c>
      <c r="F3487" t="s">
        <v>8367</v>
      </c>
      <c r="G3487" s="1">
        <v>45047</v>
      </c>
    </row>
    <row r="3488" spans="1:7">
      <c r="A3488" t="s">
        <v>8368</v>
      </c>
      <c r="B3488">
        <v>34</v>
      </c>
      <c r="C3488" t="s">
        <v>8369</v>
      </c>
      <c r="D3488">
        <v>187636</v>
      </c>
      <c r="E3488" t="s">
        <v>9</v>
      </c>
      <c r="F3488" t="s">
        <v>8370</v>
      </c>
      <c r="G3488" s="1">
        <v>45238</v>
      </c>
    </row>
    <row r="3489" spans="1:7">
      <c r="A3489" t="s">
        <v>8371</v>
      </c>
      <c r="B3489">
        <v>73</v>
      </c>
      <c r="C3489" t="s">
        <v>8372</v>
      </c>
      <c r="E3489" t="s">
        <v>12</v>
      </c>
      <c r="F3489">
        <f>1-418-636-2681</f>
        <v>-3734</v>
      </c>
      <c r="G3489" s="1">
        <v>45258</v>
      </c>
    </row>
    <row r="3490" spans="1:7">
      <c r="A3490" t="s">
        <v>8373</v>
      </c>
      <c r="B3490">
        <v>75</v>
      </c>
      <c r="D3490">
        <v>197031</v>
      </c>
      <c r="E3490" t="s">
        <v>12</v>
      </c>
      <c r="F3490" t="s">
        <v>8374</v>
      </c>
      <c r="G3490" s="1">
        <v>45191</v>
      </c>
    </row>
    <row r="3491" spans="1:7">
      <c r="A3491" t="s">
        <v>8375</v>
      </c>
      <c r="B3491">
        <v>51</v>
      </c>
      <c r="D3491">
        <v>79434</v>
      </c>
      <c r="E3491" t="s">
        <v>12</v>
      </c>
      <c r="F3491" t="s">
        <v>8376</v>
      </c>
      <c r="G3491" s="1">
        <v>45063</v>
      </c>
    </row>
    <row r="3492" spans="1:7">
      <c r="A3492" t="s">
        <v>8377</v>
      </c>
      <c r="B3492">
        <v>79</v>
      </c>
      <c r="C3492" t="s">
        <v>8378</v>
      </c>
      <c r="D3492">
        <v>79111</v>
      </c>
      <c r="E3492" t="s">
        <v>36</v>
      </c>
      <c r="F3492" t="s">
        <v>8379</v>
      </c>
      <c r="G3492" s="1">
        <v>45106</v>
      </c>
    </row>
    <row r="3493" spans="1:7">
      <c r="A3493" t="s">
        <v>8380</v>
      </c>
      <c r="B3493">
        <v>69</v>
      </c>
      <c r="C3493" t="s">
        <v>8381</v>
      </c>
      <c r="D3493">
        <v>67327</v>
      </c>
      <c r="E3493" t="s">
        <v>90</v>
      </c>
      <c r="F3493">
        <f>1-366-252-2459</f>
        <v>-3076</v>
      </c>
      <c r="G3493" s="1">
        <v>45161</v>
      </c>
    </row>
    <row r="3494" spans="1:7">
      <c r="A3494" t="s">
        <v>8382</v>
      </c>
      <c r="B3494">
        <v>40</v>
      </c>
      <c r="C3494" t="s">
        <v>8383</v>
      </c>
      <c r="D3494">
        <v>89557</v>
      </c>
      <c r="E3494" t="s">
        <v>36</v>
      </c>
      <c r="G3494" s="1">
        <v>45001</v>
      </c>
    </row>
    <row r="3495" spans="1:7">
      <c r="A3495" t="s">
        <v>8384</v>
      </c>
      <c r="B3495">
        <v>76</v>
      </c>
      <c r="C3495" t="s">
        <v>8385</v>
      </c>
      <c r="D3495">
        <v>71256</v>
      </c>
      <c r="E3495" t="s">
        <v>49</v>
      </c>
      <c r="G3495" s="1">
        <v>45023</v>
      </c>
    </row>
    <row r="3496" spans="1:7">
      <c r="A3496" t="s">
        <v>8386</v>
      </c>
      <c r="B3496">
        <v>22</v>
      </c>
      <c r="D3496">
        <v>37642</v>
      </c>
      <c r="E3496" t="s">
        <v>27</v>
      </c>
      <c r="F3496">
        <f>1-513-573-9715</f>
        <v>-10800</v>
      </c>
      <c r="G3496" s="1">
        <v>45108</v>
      </c>
    </row>
    <row r="3497" spans="1:7">
      <c r="A3497" t="s">
        <v>8387</v>
      </c>
      <c r="B3497">
        <v>0</v>
      </c>
      <c r="C3497" t="s">
        <v>8388</v>
      </c>
      <c r="D3497">
        <v>148222</v>
      </c>
      <c r="E3497" t="s">
        <v>12</v>
      </c>
      <c r="F3497">
        <v>2419183659</v>
      </c>
      <c r="G3497" s="1">
        <v>45248</v>
      </c>
    </row>
    <row r="3498" spans="1:7">
      <c r="A3498" t="s">
        <v>8389</v>
      </c>
      <c r="B3498">
        <v>39</v>
      </c>
      <c r="C3498" t="s">
        <v>8390</v>
      </c>
      <c r="D3498">
        <v>69220</v>
      </c>
      <c r="E3498" t="s">
        <v>36</v>
      </c>
      <c r="F3498" t="s">
        <v>8391</v>
      </c>
      <c r="G3498" s="1">
        <v>45116</v>
      </c>
    </row>
    <row r="3499" spans="1:7">
      <c r="A3499" t="s">
        <v>8392</v>
      </c>
      <c r="B3499">
        <v>52</v>
      </c>
      <c r="C3499" t="s">
        <v>8393</v>
      </c>
      <c r="F3499" t="s">
        <v>8394</v>
      </c>
      <c r="G3499" s="1">
        <v>44955</v>
      </c>
    </row>
    <row r="3500" spans="1:7">
      <c r="A3500" t="s">
        <v>8395</v>
      </c>
      <c r="B3500">
        <v>66</v>
      </c>
      <c r="C3500" t="s">
        <v>8396</v>
      </c>
      <c r="D3500">
        <v>135686</v>
      </c>
      <c r="E3500" t="s">
        <v>9</v>
      </c>
      <c r="F3500" t="s">
        <v>8397</v>
      </c>
      <c r="G3500" s="1">
        <v>45060</v>
      </c>
    </row>
    <row r="3501" spans="1:7">
      <c r="A3501" t="s">
        <v>8398</v>
      </c>
      <c r="B3501">
        <v>41</v>
      </c>
      <c r="C3501" t="s">
        <v>8399</v>
      </c>
      <c r="D3501">
        <v>164794</v>
      </c>
      <c r="E3501" t="s">
        <v>12</v>
      </c>
      <c r="F3501" t="s">
        <v>8400</v>
      </c>
      <c r="G3501" t="s">
        <v>1627</v>
      </c>
    </row>
    <row r="3502" spans="1:7">
      <c r="A3502" t="s">
        <v>8401</v>
      </c>
      <c r="B3502">
        <v>66</v>
      </c>
      <c r="C3502" t="s">
        <v>8402</v>
      </c>
      <c r="D3502">
        <v>103948</v>
      </c>
      <c r="E3502" t="s">
        <v>36</v>
      </c>
      <c r="F3502" t="s">
        <v>8403</v>
      </c>
      <c r="G3502" s="1">
        <v>45169</v>
      </c>
    </row>
    <row r="3503" spans="1:7">
      <c r="A3503" t="s">
        <v>8404</v>
      </c>
      <c r="B3503">
        <v>-10</v>
      </c>
      <c r="D3503">
        <v>125865</v>
      </c>
      <c r="E3503" t="s">
        <v>36</v>
      </c>
      <c r="F3503">
        <f>1-631-991-7268</f>
        <v>-8889</v>
      </c>
      <c r="G3503" s="1">
        <v>45249</v>
      </c>
    </row>
    <row r="3504" spans="1:7">
      <c r="A3504" t="s">
        <v>8405</v>
      </c>
      <c r="B3504">
        <v>55</v>
      </c>
      <c r="C3504" t="s">
        <v>8406</v>
      </c>
      <c r="D3504">
        <v>0</v>
      </c>
      <c r="E3504" t="s">
        <v>9</v>
      </c>
      <c r="F3504" t="s">
        <v>8407</v>
      </c>
      <c r="G3504" s="1">
        <v>45252</v>
      </c>
    </row>
    <row r="3505" spans="1:7">
      <c r="A3505" t="s">
        <v>8408</v>
      </c>
      <c r="B3505">
        <v>130</v>
      </c>
      <c r="C3505" t="s">
        <v>8409</v>
      </c>
      <c r="D3505">
        <v>197619</v>
      </c>
      <c r="E3505" t="s">
        <v>9</v>
      </c>
      <c r="F3505" t="s">
        <v>8410</v>
      </c>
      <c r="G3505" s="1">
        <v>45186</v>
      </c>
    </row>
    <row r="3506" spans="1:7">
      <c r="A3506" t="s">
        <v>8411</v>
      </c>
      <c r="B3506">
        <v>250</v>
      </c>
      <c r="C3506" t="s">
        <v>8412</v>
      </c>
      <c r="D3506">
        <v>33164</v>
      </c>
      <c r="E3506" t="s">
        <v>9</v>
      </c>
      <c r="F3506" t="s">
        <v>8413</v>
      </c>
      <c r="G3506" t="s">
        <v>371</v>
      </c>
    </row>
    <row r="3507" spans="1:7">
      <c r="A3507" t="s">
        <v>8414</v>
      </c>
      <c r="D3507">
        <v>189132</v>
      </c>
      <c r="E3507" t="s">
        <v>9</v>
      </c>
      <c r="F3507" t="s">
        <v>8415</v>
      </c>
      <c r="G3507" s="1">
        <v>45104</v>
      </c>
    </row>
    <row r="3508" spans="1:7">
      <c r="A3508" t="s">
        <v>8416</v>
      </c>
      <c r="B3508">
        <v>-50</v>
      </c>
      <c r="C3508" t="s">
        <v>8417</v>
      </c>
      <c r="D3508">
        <v>161965</v>
      </c>
      <c r="E3508" t="s">
        <v>9</v>
      </c>
      <c r="F3508" t="s">
        <v>8418</v>
      </c>
      <c r="G3508" s="1">
        <v>45109</v>
      </c>
    </row>
    <row r="3509" spans="1:7">
      <c r="A3509" t="s">
        <v>8419</v>
      </c>
      <c r="B3509">
        <v>63</v>
      </c>
      <c r="C3509" t="s">
        <v>8420</v>
      </c>
      <c r="D3509">
        <v>114573</v>
      </c>
      <c r="E3509" t="s">
        <v>12</v>
      </c>
      <c r="G3509" s="1">
        <v>45113</v>
      </c>
    </row>
    <row r="3510" spans="1:7">
      <c r="A3510" t="s">
        <v>8421</v>
      </c>
      <c r="B3510">
        <v>76</v>
      </c>
      <c r="C3510" t="s">
        <v>8422</v>
      </c>
      <c r="D3510">
        <v>182271</v>
      </c>
      <c r="E3510" t="s">
        <v>36</v>
      </c>
      <c r="F3510">
        <f>1-926-550-7969</f>
        <v>-9444</v>
      </c>
      <c r="G3510" s="1">
        <v>45281</v>
      </c>
    </row>
    <row r="3511" spans="1:7">
      <c r="A3511" t="s">
        <v>4008</v>
      </c>
      <c r="B3511">
        <v>64</v>
      </c>
      <c r="C3511" t="s">
        <v>8423</v>
      </c>
      <c r="D3511">
        <v>76501</v>
      </c>
      <c r="E3511" t="s">
        <v>27</v>
      </c>
      <c r="F3511" t="s">
        <v>8424</v>
      </c>
      <c r="G3511" s="1">
        <v>45165</v>
      </c>
    </row>
    <row r="3512" spans="1:7">
      <c r="A3512" t="s">
        <v>8425</v>
      </c>
      <c r="B3512">
        <v>77</v>
      </c>
      <c r="C3512" t="s">
        <v>8426</v>
      </c>
      <c r="D3512">
        <v>133864</v>
      </c>
      <c r="E3512" t="s">
        <v>12</v>
      </c>
      <c r="F3512">
        <v>6164826959</v>
      </c>
      <c r="G3512" s="1">
        <v>44987</v>
      </c>
    </row>
    <row r="3513" spans="1:7">
      <c r="A3513" t="s">
        <v>8427</v>
      </c>
      <c r="B3513">
        <v>18</v>
      </c>
      <c r="D3513">
        <v>190212</v>
      </c>
      <c r="E3513" t="s">
        <v>36</v>
      </c>
      <c r="F3513" t="s">
        <v>8428</v>
      </c>
      <c r="G3513" s="1">
        <v>44981</v>
      </c>
    </row>
    <row r="3514" spans="1:7">
      <c r="A3514" t="s">
        <v>8429</v>
      </c>
      <c r="B3514">
        <v>62</v>
      </c>
      <c r="C3514" t="s">
        <v>8430</v>
      </c>
      <c r="D3514">
        <v>107994</v>
      </c>
      <c r="E3514" t="s">
        <v>27</v>
      </c>
      <c r="F3514" t="s">
        <v>8431</v>
      </c>
      <c r="G3514" s="1">
        <v>45127</v>
      </c>
    </row>
    <row r="3515" spans="1:7">
      <c r="A3515" t="s">
        <v>8432</v>
      </c>
      <c r="B3515">
        <v>65</v>
      </c>
      <c r="D3515">
        <v>116694</v>
      </c>
      <c r="E3515" t="s">
        <v>27</v>
      </c>
      <c r="F3515" t="s">
        <v>8433</v>
      </c>
      <c r="G3515" s="1">
        <v>45013</v>
      </c>
    </row>
    <row r="3516" spans="1:7">
      <c r="A3516" t="s">
        <v>8434</v>
      </c>
      <c r="B3516">
        <v>67</v>
      </c>
      <c r="D3516">
        <v>123860</v>
      </c>
      <c r="E3516" t="s">
        <v>12</v>
      </c>
      <c r="F3516" t="s">
        <v>8435</v>
      </c>
      <c r="G3516" s="1">
        <v>45202</v>
      </c>
    </row>
    <row r="3517" spans="1:7">
      <c r="A3517" t="s">
        <v>8436</v>
      </c>
      <c r="B3517">
        <v>71</v>
      </c>
      <c r="C3517" t="s">
        <v>8437</v>
      </c>
      <c r="D3517">
        <v>85182</v>
      </c>
      <c r="E3517" t="s">
        <v>12</v>
      </c>
      <c r="F3517">
        <f>1-369-495-6314</f>
        <v>-7177</v>
      </c>
      <c r="G3517" s="1">
        <v>45112</v>
      </c>
    </row>
    <row r="3518" spans="1:7">
      <c r="A3518" t="s">
        <v>8438</v>
      </c>
      <c r="B3518">
        <v>30</v>
      </c>
      <c r="C3518" t="s">
        <v>445</v>
      </c>
      <c r="D3518">
        <v>158588</v>
      </c>
      <c r="E3518" t="s">
        <v>36</v>
      </c>
      <c r="F3518" t="s">
        <v>8439</v>
      </c>
      <c r="G3518" s="1">
        <v>45278</v>
      </c>
    </row>
    <row r="3519" spans="1:7">
      <c r="A3519" t="s">
        <v>8440</v>
      </c>
      <c r="B3519">
        <v>76</v>
      </c>
      <c r="C3519" t="s">
        <v>8441</v>
      </c>
      <c r="D3519">
        <v>158674</v>
      </c>
      <c r="E3519" t="s">
        <v>27</v>
      </c>
      <c r="F3519">
        <f>1-211-758-6089</f>
        <v>-7057</v>
      </c>
      <c r="G3519" s="1">
        <v>45070</v>
      </c>
    </row>
    <row r="3520" spans="1:7">
      <c r="A3520" t="s">
        <v>8442</v>
      </c>
      <c r="B3520">
        <v>62</v>
      </c>
      <c r="D3520">
        <v>40068</v>
      </c>
      <c r="E3520" t="s">
        <v>9</v>
      </c>
      <c r="F3520">
        <v>9130280665</v>
      </c>
      <c r="G3520" s="1">
        <v>44949</v>
      </c>
    </row>
    <row r="3521" spans="1:7">
      <c r="A3521" t="s">
        <v>8443</v>
      </c>
      <c r="B3521">
        <v>57</v>
      </c>
      <c r="D3521">
        <v>59992</v>
      </c>
      <c r="E3521" t="s">
        <v>527</v>
      </c>
      <c r="F3521" t="s">
        <v>8444</v>
      </c>
      <c r="G3521" s="1">
        <v>45142</v>
      </c>
    </row>
    <row r="3522" spans="1:7">
      <c r="A3522" t="s">
        <v>8445</v>
      </c>
      <c r="B3522">
        <v>43</v>
      </c>
      <c r="C3522" t="s">
        <v>8446</v>
      </c>
      <c r="D3522">
        <v>195289</v>
      </c>
      <c r="E3522" t="s">
        <v>12</v>
      </c>
      <c r="F3522" t="s">
        <v>8447</v>
      </c>
      <c r="G3522" s="1">
        <v>44929</v>
      </c>
    </row>
    <row r="3523" spans="1:7">
      <c r="A3523" t="s">
        <v>8448</v>
      </c>
      <c r="B3523">
        <v>79</v>
      </c>
      <c r="C3523" t="s">
        <v>8449</v>
      </c>
      <c r="D3523">
        <v>125408</v>
      </c>
      <c r="E3523" t="s">
        <v>12</v>
      </c>
      <c r="F3523" t="s">
        <v>8450</v>
      </c>
      <c r="G3523" t="s">
        <v>371</v>
      </c>
    </row>
    <row r="3524" spans="1:7">
      <c r="A3524" t="s">
        <v>8451</v>
      </c>
      <c r="B3524">
        <v>30</v>
      </c>
      <c r="C3524" t="s">
        <v>8452</v>
      </c>
      <c r="D3524">
        <v>129122</v>
      </c>
      <c r="E3524" t="s">
        <v>27</v>
      </c>
      <c r="F3524" t="s">
        <v>8453</v>
      </c>
      <c r="G3524" s="1">
        <v>45152</v>
      </c>
    </row>
    <row r="3525" spans="1:7">
      <c r="A3525" t="s">
        <v>8454</v>
      </c>
      <c r="B3525">
        <v>58</v>
      </c>
      <c r="C3525" t="s">
        <v>8455</v>
      </c>
      <c r="D3525">
        <v>76546</v>
      </c>
      <c r="E3525" t="s">
        <v>9</v>
      </c>
      <c r="F3525">
        <v>9278870900</v>
      </c>
      <c r="G3525" t="s">
        <v>371</v>
      </c>
    </row>
    <row r="3526" spans="1:7">
      <c r="A3526" t="s">
        <v>8456</v>
      </c>
      <c r="B3526">
        <v>33</v>
      </c>
      <c r="C3526" t="s">
        <v>8457</v>
      </c>
      <c r="D3526">
        <v>155849</v>
      </c>
      <c r="E3526" t="s">
        <v>27</v>
      </c>
      <c r="F3526" t="s">
        <v>8458</v>
      </c>
      <c r="G3526" s="1">
        <v>45094</v>
      </c>
    </row>
    <row r="3527" spans="1:7">
      <c r="A3527" t="s">
        <v>8459</v>
      </c>
      <c r="B3527">
        <v>18</v>
      </c>
      <c r="C3527" t="s">
        <v>8460</v>
      </c>
      <c r="D3527">
        <v>199357</v>
      </c>
      <c r="E3527" t="s">
        <v>12</v>
      </c>
      <c r="G3527" s="1">
        <v>44980</v>
      </c>
    </row>
    <row r="3528" spans="1:7">
      <c r="B3528">
        <v>34</v>
      </c>
      <c r="C3528" t="s">
        <v>8461</v>
      </c>
      <c r="D3528">
        <v>178725</v>
      </c>
      <c r="E3528" t="s">
        <v>12</v>
      </c>
      <c r="F3528" t="s">
        <v>8462</v>
      </c>
      <c r="G3528" s="1">
        <v>45264</v>
      </c>
    </row>
    <row r="3529" spans="1:7">
      <c r="A3529" t="s">
        <v>8463</v>
      </c>
      <c r="B3529">
        <v>62</v>
      </c>
      <c r="C3529" t="s">
        <v>8464</v>
      </c>
      <c r="D3529">
        <v>107462</v>
      </c>
      <c r="E3529" t="s">
        <v>90</v>
      </c>
      <c r="F3529" t="s">
        <v>8465</v>
      </c>
      <c r="G3529" s="1">
        <v>45050</v>
      </c>
    </row>
    <row r="3530" spans="1:7">
      <c r="A3530" t="s">
        <v>8466</v>
      </c>
      <c r="B3530">
        <v>58</v>
      </c>
      <c r="C3530" t="s">
        <v>478</v>
      </c>
      <c r="D3530">
        <v>132489</v>
      </c>
      <c r="E3530" t="s">
        <v>27</v>
      </c>
      <c r="F3530">
        <f>1-369-589-2094</f>
        <v>-3051</v>
      </c>
      <c r="G3530" s="1">
        <v>45249</v>
      </c>
    </row>
    <row r="3531" spans="1:7">
      <c r="A3531" t="s">
        <v>8467</v>
      </c>
      <c r="B3531">
        <v>33</v>
      </c>
      <c r="C3531" t="s">
        <v>8468</v>
      </c>
      <c r="E3531" t="s">
        <v>9</v>
      </c>
      <c r="F3531">
        <f>1-596-509-2333</f>
        <v>-3437</v>
      </c>
      <c r="G3531" s="1">
        <v>44981</v>
      </c>
    </row>
    <row r="3532" spans="1:7">
      <c r="A3532" t="s">
        <v>8469</v>
      </c>
      <c r="B3532">
        <v>73</v>
      </c>
      <c r="C3532" t="s">
        <v>8470</v>
      </c>
      <c r="D3532">
        <v>58036</v>
      </c>
      <c r="E3532" t="s">
        <v>36</v>
      </c>
      <c r="F3532">
        <v>1027339118</v>
      </c>
      <c r="G3532" s="1">
        <v>45191</v>
      </c>
    </row>
    <row r="3533" spans="1:7">
      <c r="A3533" t="s">
        <v>8471</v>
      </c>
      <c r="B3533">
        <v>46</v>
      </c>
      <c r="C3533" t="s">
        <v>8472</v>
      </c>
      <c r="D3533">
        <v>122067</v>
      </c>
      <c r="E3533" t="s">
        <v>12</v>
      </c>
      <c r="F3533" t="s">
        <v>8473</v>
      </c>
      <c r="G3533" s="1">
        <v>45174</v>
      </c>
    </row>
    <row r="3534" spans="1:7">
      <c r="A3534" t="s">
        <v>8474</v>
      </c>
      <c r="B3534">
        <v>64</v>
      </c>
      <c r="C3534" t="s">
        <v>8475</v>
      </c>
      <c r="D3534">
        <v>182297</v>
      </c>
      <c r="E3534" t="s">
        <v>12</v>
      </c>
      <c r="F3534" t="s">
        <v>8476</v>
      </c>
      <c r="G3534" s="1">
        <v>44927</v>
      </c>
    </row>
    <row r="3535" spans="1:7">
      <c r="A3535" t="s">
        <v>6160</v>
      </c>
      <c r="B3535">
        <v>75</v>
      </c>
      <c r="C3535" t="s">
        <v>8477</v>
      </c>
      <c r="D3535">
        <v>62167</v>
      </c>
      <c r="E3535" t="s">
        <v>12</v>
      </c>
      <c r="F3535">
        <f>1-811-670-5475</f>
        <v>-6955</v>
      </c>
      <c r="G3535" s="1">
        <v>45179</v>
      </c>
    </row>
    <row r="3536" spans="1:7">
      <c r="A3536" t="s">
        <v>8478</v>
      </c>
      <c r="B3536">
        <v>64</v>
      </c>
      <c r="C3536" t="s">
        <v>8479</v>
      </c>
      <c r="D3536">
        <v>98207</v>
      </c>
      <c r="E3536" t="s">
        <v>27</v>
      </c>
      <c r="F3536">
        <v>1013343914</v>
      </c>
      <c r="G3536" s="1">
        <v>44935</v>
      </c>
    </row>
    <row r="3537" spans="1:7">
      <c r="A3537" t="s">
        <v>8480</v>
      </c>
      <c r="B3537">
        <v>19</v>
      </c>
      <c r="C3537" t="s">
        <v>8481</v>
      </c>
      <c r="D3537">
        <v>99444</v>
      </c>
      <c r="E3537" t="s">
        <v>358</v>
      </c>
      <c r="F3537" t="s">
        <v>8482</v>
      </c>
      <c r="G3537" s="1">
        <v>45200</v>
      </c>
    </row>
    <row r="3538" spans="1:7">
      <c r="A3538" t="s">
        <v>8483</v>
      </c>
      <c r="B3538">
        <v>42</v>
      </c>
      <c r="C3538" t="s">
        <v>8484</v>
      </c>
      <c r="D3538">
        <v>92551</v>
      </c>
      <c r="E3538" t="s">
        <v>12</v>
      </c>
      <c r="F3538" t="s">
        <v>8485</v>
      </c>
      <c r="G3538" s="1">
        <v>44974</v>
      </c>
    </row>
    <row r="3539" spans="1:7">
      <c r="A3539" t="s">
        <v>8486</v>
      </c>
      <c r="B3539">
        <v>78</v>
      </c>
      <c r="C3539" t="s">
        <v>8487</v>
      </c>
      <c r="D3539">
        <v>108077</v>
      </c>
      <c r="E3539" t="s">
        <v>36</v>
      </c>
      <c r="F3539">
        <f>1-775-981-5965</f>
        <v>-7720</v>
      </c>
      <c r="G3539" s="1">
        <v>45282</v>
      </c>
    </row>
    <row r="3540" spans="1:7">
      <c r="A3540" t="s">
        <v>7955</v>
      </c>
      <c r="B3540">
        <v>38</v>
      </c>
      <c r="C3540" t="s">
        <v>8488</v>
      </c>
      <c r="D3540">
        <v>55963</v>
      </c>
      <c r="E3540" t="s">
        <v>12</v>
      </c>
      <c r="F3540" t="s">
        <v>8489</v>
      </c>
      <c r="G3540" s="1">
        <v>45102</v>
      </c>
    </row>
    <row r="3541" spans="1:7">
      <c r="A3541" t="s">
        <v>8490</v>
      </c>
      <c r="B3541">
        <v>60</v>
      </c>
      <c r="C3541" t="s">
        <v>8491</v>
      </c>
      <c r="E3541" t="s">
        <v>9</v>
      </c>
      <c r="F3541" t="s">
        <v>8492</v>
      </c>
      <c r="G3541" s="1">
        <v>44930</v>
      </c>
    </row>
    <row r="3542" spans="1:7">
      <c r="A3542" t="s">
        <v>2208</v>
      </c>
      <c r="B3542">
        <v>73</v>
      </c>
      <c r="C3542" t="s">
        <v>8493</v>
      </c>
      <c r="D3542">
        <v>76830</v>
      </c>
      <c r="E3542" t="s">
        <v>9</v>
      </c>
      <c r="F3542" t="s">
        <v>8494</v>
      </c>
      <c r="G3542" s="1">
        <v>45018</v>
      </c>
    </row>
    <row r="3543" spans="1:7">
      <c r="A3543" t="s">
        <v>8495</v>
      </c>
      <c r="B3543">
        <v>-100</v>
      </c>
      <c r="C3543" t="s">
        <v>594</v>
      </c>
      <c r="D3543">
        <v>100744</v>
      </c>
      <c r="E3543" t="s">
        <v>36</v>
      </c>
      <c r="F3543">
        <f>1-604-927-1175</f>
        <v>-2705</v>
      </c>
      <c r="G3543" s="1">
        <v>45140</v>
      </c>
    </row>
    <row r="3544" spans="1:7">
      <c r="A3544" t="s">
        <v>8496</v>
      </c>
      <c r="B3544">
        <v>23</v>
      </c>
      <c r="C3544" t="s">
        <v>8497</v>
      </c>
      <c r="D3544">
        <v>-50000</v>
      </c>
      <c r="E3544" t="s">
        <v>9</v>
      </c>
      <c r="F3544">
        <v>6902842342</v>
      </c>
      <c r="G3544" s="1">
        <v>45183</v>
      </c>
    </row>
    <row r="3545" spans="1:7">
      <c r="A3545" t="s">
        <v>8498</v>
      </c>
      <c r="B3545">
        <v>66</v>
      </c>
      <c r="D3545">
        <v>183512</v>
      </c>
      <c r="E3545" t="s">
        <v>27</v>
      </c>
      <c r="F3545" t="s">
        <v>8499</v>
      </c>
      <c r="G3545" s="1">
        <v>45042</v>
      </c>
    </row>
    <row r="3546" spans="1:7">
      <c r="A3546" t="s">
        <v>8500</v>
      </c>
      <c r="B3546">
        <v>63</v>
      </c>
      <c r="C3546" t="s">
        <v>8501</v>
      </c>
      <c r="D3546">
        <v>177705</v>
      </c>
      <c r="E3546" t="s">
        <v>36</v>
      </c>
      <c r="F3546" t="s">
        <v>8502</v>
      </c>
      <c r="G3546" s="1">
        <v>44954</v>
      </c>
    </row>
    <row r="3547" spans="1:7">
      <c r="A3547" t="s">
        <v>8503</v>
      </c>
      <c r="B3547">
        <v>56</v>
      </c>
      <c r="C3547" t="s">
        <v>8504</v>
      </c>
      <c r="D3547">
        <v>30882</v>
      </c>
      <c r="E3547" t="s">
        <v>36</v>
      </c>
      <c r="F3547">
        <v>7406028880</v>
      </c>
      <c r="G3547" s="1">
        <v>45246</v>
      </c>
    </row>
    <row r="3548" spans="1:7">
      <c r="A3548" t="s">
        <v>8505</v>
      </c>
      <c r="B3548">
        <v>19</v>
      </c>
      <c r="C3548" t="s">
        <v>8506</v>
      </c>
      <c r="D3548">
        <v>150018</v>
      </c>
      <c r="E3548" t="s">
        <v>36</v>
      </c>
      <c r="F3548" t="s">
        <v>8507</v>
      </c>
      <c r="G3548" s="1">
        <v>45178</v>
      </c>
    </row>
    <row r="3549" spans="1:7">
      <c r="A3549" t="s">
        <v>8508</v>
      </c>
      <c r="B3549">
        <v>43</v>
      </c>
      <c r="C3549" t="s">
        <v>8509</v>
      </c>
      <c r="D3549">
        <v>50750</v>
      </c>
      <c r="E3549" t="s">
        <v>12</v>
      </c>
      <c r="F3549" t="s">
        <v>8510</v>
      </c>
      <c r="G3549" s="1">
        <v>45181</v>
      </c>
    </row>
    <row r="3550" spans="1:7">
      <c r="A3550" t="s">
        <v>8511</v>
      </c>
      <c r="C3550" t="s">
        <v>8512</v>
      </c>
      <c r="E3550" t="s">
        <v>36</v>
      </c>
      <c r="F3550">
        <v>7075558807</v>
      </c>
      <c r="G3550" s="1">
        <v>45239</v>
      </c>
    </row>
    <row r="3551" spans="1:7">
      <c r="A3551" t="s">
        <v>8513</v>
      </c>
      <c r="B3551">
        <v>59</v>
      </c>
      <c r="C3551" t="s">
        <v>8514</v>
      </c>
      <c r="D3551">
        <v>46061</v>
      </c>
      <c r="E3551" t="s">
        <v>12</v>
      </c>
      <c r="F3551" t="s">
        <v>8515</v>
      </c>
      <c r="G3551" s="1">
        <v>44957</v>
      </c>
    </row>
    <row r="3552" spans="1:7">
      <c r="A3552" t="s">
        <v>8516</v>
      </c>
      <c r="B3552">
        <v>28</v>
      </c>
      <c r="D3552">
        <v>145819</v>
      </c>
      <c r="E3552" t="s">
        <v>9</v>
      </c>
      <c r="G3552" s="1">
        <v>45028</v>
      </c>
    </row>
    <row r="3553" spans="1:7">
      <c r="A3553" t="s">
        <v>8517</v>
      </c>
      <c r="B3553">
        <v>40</v>
      </c>
      <c r="D3553">
        <v>106996</v>
      </c>
      <c r="E3553" t="s">
        <v>27</v>
      </c>
      <c r="F3553" t="s">
        <v>8518</v>
      </c>
      <c r="G3553" s="1">
        <v>45130</v>
      </c>
    </row>
    <row r="3554" spans="1:7">
      <c r="A3554" t="s">
        <v>8519</v>
      </c>
      <c r="B3554">
        <v>76</v>
      </c>
      <c r="C3554" t="s">
        <v>8520</v>
      </c>
      <c r="D3554">
        <v>110811</v>
      </c>
      <c r="E3554" t="s">
        <v>27</v>
      </c>
      <c r="F3554">
        <v>4744675014</v>
      </c>
      <c r="G3554" s="1">
        <v>45197</v>
      </c>
    </row>
    <row r="3555" spans="1:7">
      <c r="A3555" t="s">
        <v>8521</v>
      </c>
      <c r="B3555">
        <v>64</v>
      </c>
      <c r="C3555" t="s">
        <v>8522</v>
      </c>
      <c r="D3555">
        <v>137524</v>
      </c>
      <c r="E3555" t="s">
        <v>36</v>
      </c>
      <c r="F3555" t="s">
        <v>8523</v>
      </c>
      <c r="G3555" s="1">
        <v>45082</v>
      </c>
    </row>
    <row r="3556" spans="1:7">
      <c r="A3556" t="s">
        <v>8524</v>
      </c>
      <c r="B3556">
        <v>60</v>
      </c>
      <c r="C3556" t="s">
        <v>8525</v>
      </c>
      <c r="D3556">
        <v>148972</v>
      </c>
      <c r="E3556" t="s">
        <v>9</v>
      </c>
      <c r="F3556" t="s">
        <v>8526</v>
      </c>
      <c r="G3556" s="1">
        <v>45172</v>
      </c>
    </row>
    <row r="3557" spans="1:7">
      <c r="A3557" t="s">
        <v>3575</v>
      </c>
      <c r="B3557">
        <v>39</v>
      </c>
      <c r="C3557" t="s">
        <v>8527</v>
      </c>
      <c r="D3557">
        <v>167227</v>
      </c>
      <c r="E3557" t="s">
        <v>49</v>
      </c>
      <c r="F3557" t="s">
        <v>8528</v>
      </c>
      <c r="G3557" t="s">
        <v>180</v>
      </c>
    </row>
    <row r="3558" spans="1:7">
      <c r="A3558" t="s">
        <v>8529</v>
      </c>
      <c r="B3558">
        <v>73</v>
      </c>
      <c r="C3558" t="s">
        <v>61</v>
      </c>
      <c r="D3558">
        <v>59437</v>
      </c>
      <c r="E3558" t="s">
        <v>9</v>
      </c>
      <c r="F3558">
        <f>1-615-909-1358</f>
        <v>-2881</v>
      </c>
      <c r="G3558" s="1">
        <v>45201</v>
      </c>
    </row>
    <row r="3559" spans="1:7">
      <c r="A3559" t="s">
        <v>8530</v>
      </c>
      <c r="B3559">
        <v>59</v>
      </c>
      <c r="C3559" t="s">
        <v>8531</v>
      </c>
      <c r="D3559">
        <v>160744</v>
      </c>
      <c r="E3559" t="s">
        <v>27</v>
      </c>
      <c r="F3559" t="s">
        <v>8532</v>
      </c>
      <c r="G3559" s="1">
        <v>45276</v>
      </c>
    </row>
    <row r="3560" spans="1:7">
      <c r="A3560" t="s">
        <v>8533</v>
      </c>
      <c r="B3560">
        <v>54</v>
      </c>
      <c r="C3560" t="s">
        <v>299</v>
      </c>
      <c r="D3560">
        <v>182483</v>
      </c>
      <c r="E3560" t="s">
        <v>36</v>
      </c>
      <c r="F3560">
        <v>9194526349</v>
      </c>
      <c r="G3560" s="1">
        <v>45002</v>
      </c>
    </row>
    <row r="3561" spans="1:7">
      <c r="A3561" t="s">
        <v>1963</v>
      </c>
      <c r="B3561">
        <v>51</v>
      </c>
      <c r="C3561" t="s">
        <v>8534</v>
      </c>
      <c r="D3561">
        <v>158303</v>
      </c>
      <c r="E3561" t="s">
        <v>27</v>
      </c>
      <c r="F3561">
        <f>1-577-836-1130</f>
        <v>-2542</v>
      </c>
      <c r="G3561" t="s">
        <v>371</v>
      </c>
    </row>
    <row r="3562" spans="1:7">
      <c r="A3562" t="s">
        <v>8535</v>
      </c>
      <c r="B3562">
        <v>58</v>
      </c>
      <c r="C3562" t="s">
        <v>8536</v>
      </c>
      <c r="D3562">
        <v>50002</v>
      </c>
      <c r="E3562" t="s">
        <v>49</v>
      </c>
      <c r="F3562" t="s">
        <v>8537</v>
      </c>
      <c r="G3562" t="s">
        <v>301</v>
      </c>
    </row>
    <row r="3563" spans="1:7">
      <c r="A3563" t="s">
        <v>8538</v>
      </c>
      <c r="B3563">
        <v>22</v>
      </c>
      <c r="C3563" t="s">
        <v>8539</v>
      </c>
      <c r="D3563">
        <v>177646</v>
      </c>
      <c r="E3563" t="s">
        <v>9</v>
      </c>
      <c r="F3563">
        <v>6377359759</v>
      </c>
      <c r="G3563" s="1">
        <v>45162</v>
      </c>
    </row>
    <row r="3564" spans="1:7">
      <c r="A3564" t="s">
        <v>8540</v>
      </c>
      <c r="B3564">
        <v>79</v>
      </c>
      <c r="C3564" t="s">
        <v>8541</v>
      </c>
      <c r="D3564">
        <v>196353</v>
      </c>
      <c r="E3564" t="s">
        <v>27</v>
      </c>
      <c r="F3564" t="s">
        <v>8542</v>
      </c>
      <c r="G3564" s="1">
        <v>44979</v>
      </c>
    </row>
    <row r="3565" spans="1:7">
      <c r="A3565" t="s">
        <v>8543</v>
      </c>
      <c r="B3565">
        <v>42</v>
      </c>
      <c r="C3565" t="s">
        <v>8544</v>
      </c>
      <c r="D3565">
        <v>104854</v>
      </c>
      <c r="E3565" t="s">
        <v>36</v>
      </c>
      <c r="F3565" t="s">
        <v>8545</v>
      </c>
      <c r="G3565" s="1">
        <v>45010</v>
      </c>
    </row>
    <row r="3566" spans="1:7">
      <c r="A3566" t="s">
        <v>8546</v>
      </c>
      <c r="B3566">
        <v>47</v>
      </c>
      <c r="C3566" t="s">
        <v>8547</v>
      </c>
      <c r="D3566">
        <v>83822</v>
      </c>
      <c r="E3566" t="s">
        <v>36</v>
      </c>
      <c r="F3566">
        <v>9911302073</v>
      </c>
      <c r="G3566" s="1">
        <v>45053</v>
      </c>
    </row>
    <row r="3567" spans="1:7">
      <c r="A3567" t="s">
        <v>8548</v>
      </c>
      <c r="B3567">
        <v>79</v>
      </c>
      <c r="C3567" t="s">
        <v>115</v>
      </c>
      <c r="D3567">
        <v>189450</v>
      </c>
      <c r="E3567" t="s">
        <v>9</v>
      </c>
      <c r="F3567" t="s">
        <v>8549</v>
      </c>
      <c r="G3567" s="1">
        <v>45267</v>
      </c>
    </row>
    <row r="3568" spans="1:7">
      <c r="A3568" t="s">
        <v>8550</v>
      </c>
      <c r="B3568">
        <v>22</v>
      </c>
      <c r="C3568" t="s">
        <v>8551</v>
      </c>
      <c r="D3568">
        <v>121911</v>
      </c>
      <c r="E3568" t="s">
        <v>12</v>
      </c>
      <c r="F3568">
        <v>8103123072</v>
      </c>
      <c r="G3568" t="s">
        <v>483</v>
      </c>
    </row>
    <row r="3569" spans="1:7">
      <c r="A3569" t="s">
        <v>8552</v>
      </c>
      <c r="B3569">
        <v>79</v>
      </c>
      <c r="C3569" t="s">
        <v>61</v>
      </c>
      <c r="D3569">
        <v>33009</v>
      </c>
      <c r="E3569" t="s">
        <v>36</v>
      </c>
      <c r="G3569" s="1">
        <v>45073</v>
      </c>
    </row>
    <row r="3570" spans="1:7">
      <c r="A3570" t="s">
        <v>8553</v>
      </c>
      <c r="B3570">
        <v>52</v>
      </c>
      <c r="C3570" t="s">
        <v>8554</v>
      </c>
      <c r="D3570">
        <v>114526</v>
      </c>
      <c r="E3570" t="s">
        <v>27</v>
      </c>
      <c r="F3570" t="s">
        <v>8555</v>
      </c>
      <c r="G3570" s="1">
        <v>44997</v>
      </c>
    </row>
    <row r="3571" spans="1:7">
      <c r="A3571" t="s">
        <v>8556</v>
      </c>
      <c r="B3571">
        <v>70</v>
      </c>
      <c r="C3571" t="s">
        <v>8557</v>
      </c>
      <c r="D3571">
        <v>68445</v>
      </c>
      <c r="E3571" t="s">
        <v>36</v>
      </c>
      <c r="F3571">
        <f>1-628-505-8883</f>
        <v>-10015</v>
      </c>
      <c r="G3571" s="1">
        <v>44947</v>
      </c>
    </row>
    <row r="3572" spans="1:7">
      <c r="A3572" t="s">
        <v>8558</v>
      </c>
      <c r="B3572">
        <v>59</v>
      </c>
      <c r="C3572" t="s">
        <v>8559</v>
      </c>
      <c r="D3572">
        <v>130435</v>
      </c>
      <c r="E3572" t="s">
        <v>12</v>
      </c>
      <c r="F3572" t="s">
        <v>8560</v>
      </c>
      <c r="G3572" s="1">
        <v>45218</v>
      </c>
    </row>
    <row r="3573" spans="1:7">
      <c r="A3573" t="s">
        <v>1356</v>
      </c>
      <c r="B3573">
        <v>76</v>
      </c>
      <c r="C3573" t="s">
        <v>8561</v>
      </c>
      <c r="D3573">
        <v>53382</v>
      </c>
      <c r="E3573" t="s">
        <v>9</v>
      </c>
      <c r="F3573">
        <f>1-489-746-4845</f>
        <v>-6079</v>
      </c>
      <c r="G3573" s="1">
        <v>44927</v>
      </c>
    </row>
    <row r="3574" spans="1:7">
      <c r="A3574" t="s">
        <v>8562</v>
      </c>
      <c r="B3574">
        <v>45</v>
      </c>
      <c r="C3574" t="s">
        <v>445</v>
      </c>
      <c r="D3574">
        <v>173888</v>
      </c>
      <c r="E3574" t="s">
        <v>36</v>
      </c>
      <c r="F3574">
        <v>6283986629</v>
      </c>
      <c r="G3574" s="1">
        <v>44927</v>
      </c>
    </row>
    <row r="3575" spans="1:7">
      <c r="A3575" t="s">
        <v>8563</v>
      </c>
      <c r="B3575">
        <v>51</v>
      </c>
      <c r="C3575" t="s">
        <v>8564</v>
      </c>
      <c r="D3575">
        <v>149156</v>
      </c>
      <c r="E3575" t="s">
        <v>12</v>
      </c>
      <c r="F3575" t="s">
        <v>8565</v>
      </c>
      <c r="G3575" s="1">
        <v>45274</v>
      </c>
    </row>
    <row r="3576" spans="1:7">
      <c r="A3576" t="s">
        <v>8566</v>
      </c>
      <c r="B3576">
        <v>66</v>
      </c>
      <c r="D3576">
        <v>196601</v>
      </c>
      <c r="E3576" t="s">
        <v>49</v>
      </c>
      <c r="F3576" t="s">
        <v>8567</v>
      </c>
      <c r="G3576" s="1">
        <v>44985</v>
      </c>
    </row>
    <row r="3577" spans="1:7">
      <c r="A3577" t="s">
        <v>8568</v>
      </c>
      <c r="B3577">
        <v>50</v>
      </c>
      <c r="C3577" t="s">
        <v>8569</v>
      </c>
      <c r="D3577">
        <v>181519</v>
      </c>
      <c r="E3577" t="s">
        <v>18</v>
      </c>
      <c r="F3577" t="s">
        <v>8570</v>
      </c>
      <c r="G3577" s="1">
        <v>45083</v>
      </c>
    </row>
    <row r="3578" spans="1:7">
      <c r="B3578">
        <v>46</v>
      </c>
      <c r="C3578" t="s">
        <v>115</v>
      </c>
      <c r="E3578" t="s">
        <v>36</v>
      </c>
      <c r="F3578" t="s">
        <v>8571</v>
      </c>
      <c r="G3578" s="1">
        <v>44962</v>
      </c>
    </row>
    <row r="3579" spans="1:7">
      <c r="A3579" t="s">
        <v>8572</v>
      </c>
      <c r="B3579">
        <v>56</v>
      </c>
      <c r="C3579" t="s">
        <v>8573</v>
      </c>
      <c r="D3579">
        <v>70696</v>
      </c>
      <c r="E3579" t="s">
        <v>12</v>
      </c>
      <c r="F3579" t="s">
        <v>8574</v>
      </c>
      <c r="G3579" s="1">
        <v>44951</v>
      </c>
    </row>
    <row r="3580" spans="1:7">
      <c r="A3580" t="s">
        <v>8575</v>
      </c>
      <c r="B3580">
        <v>74</v>
      </c>
      <c r="C3580" t="s">
        <v>8576</v>
      </c>
      <c r="D3580">
        <v>-20000</v>
      </c>
      <c r="E3580" t="s">
        <v>27</v>
      </c>
      <c r="F3580" t="s">
        <v>8577</v>
      </c>
      <c r="G3580" s="1">
        <v>45094</v>
      </c>
    </row>
    <row r="3581" spans="1:7">
      <c r="A3581" t="s">
        <v>8578</v>
      </c>
      <c r="B3581">
        <v>37</v>
      </c>
      <c r="C3581" t="s">
        <v>8579</v>
      </c>
      <c r="D3581">
        <v>148920</v>
      </c>
      <c r="E3581" t="s">
        <v>12</v>
      </c>
      <c r="G3581" s="1">
        <v>44937</v>
      </c>
    </row>
    <row r="3582" spans="1:7">
      <c r="A3582" t="s">
        <v>8580</v>
      </c>
      <c r="B3582">
        <v>36</v>
      </c>
      <c r="C3582" t="s">
        <v>8581</v>
      </c>
      <c r="D3582">
        <v>140107</v>
      </c>
      <c r="E3582" t="s">
        <v>12</v>
      </c>
      <c r="F3582">
        <v>8256557537</v>
      </c>
      <c r="G3582" s="1">
        <v>45203</v>
      </c>
    </row>
    <row r="3583" spans="1:7">
      <c r="A3583" t="s">
        <v>8582</v>
      </c>
      <c r="D3583">
        <v>186536</v>
      </c>
      <c r="E3583" t="s">
        <v>27</v>
      </c>
      <c r="F3583">
        <f>1-784-364-7927</f>
        <v>-9074</v>
      </c>
      <c r="G3583" s="1">
        <v>45047</v>
      </c>
    </row>
    <row r="3584" spans="1:7">
      <c r="A3584" t="s">
        <v>8583</v>
      </c>
      <c r="B3584">
        <v>39</v>
      </c>
      <c r="E3584" t="s">
        <v>12</v>
      </c>
      <c r="F3584" t="s">
        <v>8584</v>
      </c>
      <c r="G3584" s="1">
        <v>45100</v>
      </c>
    </row>
    <row r="3585" spans="1:7">
      <c r="B3585">
        <v>71</v>
      </c>
      <c r="C3585" t="s">
        <v>8585</v>
      </c>
      <c r="D3585">
        <v>172692</v>
      </c>
      <c r="E3585" t="s">
        <v>36</v>
      </c>
      <c r="F3585">
        <f>1-325-433-6927</f>
        <v>-7684</v>
      </c>
      <c r="G3585" s="1">
        <v>45250</v>
      </c>
    </row>
    <row r="3586" spans="1:7">
      <c r="A3586" t="s">
        <v>8586</v>
      </c>
      <c r="B3586">
        <v>60</v>
      </c>
      <c r="C3586" t="s">
        <v>8587</v>
      </c>
      <c r="E3586" t="s">
        <v>27</v>
      </c>
      <c r="F3586" t="s">
        <v>8588</v>
      </c>
      <c r="G3586" s="1">
        <v>44991</v>
      </c>
    </row>
    <row r="3587" spans="1:7">
      <c r="A3587" t="s">
        <v>8589</v>
      </c>
      <c r="B3587">
        <v>-50</v>
      </c>
      <c r="D3587">
        <v>73618</v>
      </c>
      <c r="E3587" t="s">
        <v>49</v>
      </c>
      <c r="F3587" t="s">
        <v>8590</v>
      </c>
      <c r="G3587" s="1">
        <v>45205</v>
      </c>
    </row>
    <row r="3588" spans="1:7">
      <c r="A3588" t="s">
        <v>8591</v>
      </c>
      <c r="B3588">
        <v>47</v>
      </c>
      <c r="D3588">
        <v>158447</v>
      </c>
      <c r="E3588" t="s">
        <v>36</v>
      </c>
      <c r="F3588" t="s">
        <v>8592</v>
      </c>
      <c r="G3588" s="1">
        <v>45132</v>
      </c>
    </row>
    <row r="3589" spans="1:7">
      <c r="A3589" t="s">
        <v>8593</v>
      </c>
      <c r="B3589">
        <v>61</v>
      </c>
      <c r="C3589" t="s">
        <v>8594</v>
      </c>
      <c r="D3589">
        <v>196494</v>
      </c>
      <c r="E3589" t="s">
        <v>36</v>
      </c>
      <c r="F3589" t="s">
        <v>8595</v>
      </c>
      <c r="G3589" s="1">
        <v>44933</v>
      </c>
    </row>
    <row r="3590" spans="1:7">
      <c r="A3590" t="s">
        <v>8596</v>
      </c>
      <c r="B3590">
        <v>79</v>
      </c>
      <c r="C3590" t="s">
        <v>8597</v>
      </c>
      <c r="D3590">
        <v>177616</v>
      </c>
      <c r="E3590" t="s">
        <v>36</v>
      </c>
      <c r="F3590" t="s">
        <v>8598</v>
      </c>
      <c r="G3590" s="1">
        <v>45180</v>
      </c>
    </row>
    <row r="3591" spans="1:7">
      <c r="A3591" t="s">
        <v>8599</v>
      </c>
      <c r="B3591">
        <v>54</v>
      </c>
      <c r="C3591" t="s">
        <v>8600</v>
      </c>
      <c r="D3591">
        <v>109971</v>
      </c>
      <c r="E3591" t="s">
        <v>9</v>
      </c>
      <c r="F3591">
        <f>1-762-564-7651</f>
        <v>-8976</v>
      </c>
      <c r="G3591" s="1">
        <v>45178</v>
      </c>
    </row>
    <row r="3592" spans="1:7">
      <c r="A3592" t="s">
        <v>8601</v>
      </c>
      <c r="B3592">
        <v>54</v>
      </c>
      <c r="C3592" t="s">
        <v>8602</v>
      </c>
      <c r="D3592">
        <v>171449</v>
      </c>
      <c r="E3592" t="s">
        <v>27</v>
      </c>
      <c r="F3592">
        <v>7040384625</v>
      </c>
      <c r="G3592" s="1">
        <v>44969</v>
      </c>
    </row>
    <row r="3593" spans="1:7">
      <c r="A3593" t="s">
        <v>8603</v>
      </c>
      <c r="B3593">
        <v>31</v>
      </c>
      <c r="C3593" t="s">
        <v>8604</v>
      </c>
      <c r="D3593">
        <v>188029</v>
      </c>
      <c r="E3593" t="s">
        <v>9</v>
      </c>
      <c r="F3593" t="s">
        <v>8605</v>
      </c>
      <c r="G3593" s="1">
        <v>45215</v>
      </c>
    </row>
    <row r="3594" spans="1:7">
      <c r="A3594" t="s">
        <v>8606</v>
      </c>
      <c r="B3594">
        <v>-25</v>
      </c>
      <c r="C3594" t="s">
        <v>8607</v>
      </c>
      <c r="D3594">
        <v>190131</v>
      </c>
      <c r="E3594" t="s">
        <v>27</v>
      </c>
      <c r="F3594">
        <v>1839293859</v>
      </c>
      <c r="G3594" s="1">
        <v>45239</v>
      </c>
    </row>
    <row r="3595" spans="1:7">
      <c r="A3595" t="s">
        <v>8608</v>
      </c>
      <c r="B3595">
        <v>56</v>
      </c>
      <c r="C3595" t="s">
        <v>8609</v>
      </c>
      <c r="D3595">
        <v>-20000</v>
      </c>
      <c r="E3595" t="s">
        <v>9</v>
      </c>
      <c r="F3595">
        <v>4849412401</v>
      </c>
      <c r="G3595" s="1">
        <v>45122</v>
      </c>
    </row>
    <row r="3596" spans="1:7">
      <c r="A3596" t="s">
        <v>4458</v>
      </c>
      <c r="B3596">
        <v>74</v>
      </c>
      <c r="C3596" t="s">
        <v>8610</v>
      </c>
      <c r="D3596">
        <v>92368</v>
      </c>
      <c r="E3596" t="s">
        <v>12</v>
      </c>
      <c r="F3596" t="s">
        <v>8611</v>
      </c>
      <c r="G3596" s="1">
        <v>44952</v>
      </c>
    </row>
    <row r="3597" spans="1:7">
      <c r="A3597" t="s">
        <v>8612</v>
      </c>
      <c r="B3597">
        <v>60</v>
      </c>
      <c r="C3597" t="s">
        <v>8613</v>
      </c>
      <c r="D3597">
        <v>130649</v>
      </c>
      <c r="E3597" t="s">
        <v>27</v>
      </c>
      <c r="G3597" s="1">
        <v>45220</v>
      </c>
    </row>
    <row r="3598" spans="1:7">
      <c r="A3598" t="s">
        <v>8614</v>
      </c>
      <c r="B3598">
        <v>63</v>
      </c>
      <c r="C3598" t="s">
        <v>8615</v>
      </c>
      <c r="D3598">
        <v>54502</v>
      </c>
      <c r="E3598" t="s">
        <v>12</v>
      </c>
      <c r="F3598">
        <f>1-225-341-7766</f>
        <v>-8331</v>
      </c>
      <c r="G3598" t="s">
        <v>715</v>
      </c>
    </row>
    <row r="3599" spans="1:7">
      <c r="A3599" t="s">
        <v>8616</v>
      </c>
      <c r="B3599">
        <v>54</v>
      </c>
      <c r="C3599" t="s">
        <v>8617</v>
      </c>
      <c r="D3599">
        <v>142025</v>
      </c>
      <c r="E3599" t="s">
        <v>27</v>
      </c>
      <c r="G3599" s="1">
        <v>45247</v>
      </c>
    </row>
    <row r="3600" spans="1:7">
      <c r="A3600" t="s">
        <v>8618</v>
      </c>
      <c r="B3600">
        <v>27</v>
      </c>
      <c r="C3600" t="s">
        <v>8619</v>
      </c>
      <c r="D3600">
        <v>42720</v>
      </c>
      <c r="E3600" t="s">
        <v>12</v>
      </c>
      <c r="F3600">
        <v>9525283313</v>
      </c>
      <c r="G3600" s="1">
        <v>44954</v>
      </c>
    </row>
    <row r="3601" spans="1:7">
      <c r="A3601" t="s">
        <v>8620</v>
      </c>
      <c r="B3601">
        <v>71</v>
      </c>
      <c r="D3601">
        <v>-10000</v>
      </c>
      <c r="E3601" t="s">
        <v>36</v>
      </c>
      <c r="F3601" t="s">
        <v>8621</v>
      </c>
      <c r="G3601" s="1">
        <v>45001</v>
      </c>
    </row>
    <row r="3602" spans="1:7">
      <c r="A3602" t="s">
        <v>8622</v>
      </c>
      <c r="B3602">
        <v>64</v>
      </c>
      <c r="C3602" t="s">
        <v>8623</v>
      </c>
      <c r="D3602">
        <v>135603</v>
      </c>
      <c r="E3602" t="s">
        <v>36</v>
      </c>
      <c r="F3602" t="s">
        <v>8624</v>
      </c>
      <c r="G3602" s="1">
        <v>45051</v>
      </c>
    </row>
    <row r="3603" spans="1:7">
      <c r="A3603" t="s">
        <v>3121</v>
      </c>
      <c r="C3603" t="s">
        <v>8625</v>
      </c>
      <c r="D3603">
        <v>199831</v>
      </c>
      <c r="E3603" t="s">
        <v>27</v>
      </c>
      <c r="F3603">
        <v>5620905678</v>
      </c>
      <c r="G3603" s="1">
        <v>45004</v>
      </c>
    </row>
    <row r="3604" spans="1:7">
      <c r="A3604" t="s">
        <v>8626</v>
      </c>
      <c r="B3604">
        <v>51</v>
      </c>
      <c r="C3604" t="s">
        <v>8627</v>
      </c>
      <c r="D3604">
        <v>89025</v>
      </c>
      <c r="E3604" t="s">
        <v>36</v>
      </c>
      <c r="F3604" t="s">
        <v>8628</v>
      </c>
      <c r="G3604" s="1">
        <v>45149</v>
      </c>
    </row>
    <row r="3605" spans="1:7">
      <c r="A3605" t="s">
        <v>8629</v>
      </c>
      <c r="B3605">
        <v>28</v>
      </c>
      <c r="C3605" t="s">
        <v>8630</v>
      </c>
      <c r="D3605">
        <v>36968</v>
      </c>
      <c r="E3605" t="s">
        <v>12</v>
      </c>
      <c r="F3605" t="s">
        <v>8631</v>
      </c>
      <c r="G3605" s="1">
        <v>44952</v>
      </c>
    </row>
    <row r="3606" spans="1:7">
      <c r="A3606" t="s">
        <v>8632</v>
      </c>
      <c r="B3606">
        <v>63</v>
      </c>
      <c r="C3606" t="s">
        <v>8633</v>
      </c>
      <c r="D3606">
        <v>52936</v>
      </c>
      <c r="E3606" t="s">
        <v>36</v>
      </c>
      <c r="F3606" t="s">
        <v>8634</v>
      </c>
      <c r="G3606" s="1">
        <v>45280</v>
      </c>
    </row>
    <row r="3607" spans="1:7">
      <c r="B3607">
        <v>0</v>
      </c>
      <c r="C3607" t="s">
        <v>8635</v>
      </c>
      <c r="D3607">
        <v>94016</v>
      </c>
      <c r="E3607" t="s">
        <v>36</v>
      </c>
      <c r="F3607" t="s">
        <v>8636</v>
      </c>
      <c r="G3607" s="1">
        <v>44981</v>
      </c>
    </row>
    <row r="3608" spans="1:7">
      <c r="A3608" t="s">
        <v>8637</v>
      </c>
      <c r="B3608">
        <v>18</v>
      </c>
      <c r="C3608" t="s">
        <v>478</v>
      </c>
      <c r="D3608">
        <v>32637</v>
      </c>
      <c r="E3608" t="s">
        <v>9</v>
      </c>
      <c r="F3608" t="s">
        <v>8638</v>
      </c>
      <c r="G3608" s="1">
        <v>45172</v>
      </c>
    </row>
    <row r="3609" spans="1:7">
      <c r="A3609" t="s">
        <v>3423</v>
      </c>
      <c r="B3609">
        <v>26</v>
      </c>
      <c r="C3609" t="s">
        <v>8639</v>
      </c>
      <c r="D3609">
        <v>195596</v>
      </c>
      <c r="E3609" t="s">
        <v>27</v>
      </c>
      <c r="F3609" t="s">
        <v>8640</v>
      </c>
      <c r="G3609" s="1">
        <v>45211</v>
      </c>
    </row>
    <row r="3610" spans="1:7">
      <c r="A3610" t="s">
        <v>8641</v>
      </c>
      <c r="B3610">
        <v>28</v>
      </c>
      <c r="C3610" t="s">
        <v>8642</v>
      </c>
      <c r="D3610">
        <v>109380</v>
      </c>
      <c r="E3610" t="s">
        <v>27</v>
      </c>
      <c r="F3610" t="s">
        <v>8643</v>
      </c>
      <c r="G3610" s="1">
        <v>44993</v>
      </c>
    </row>
    <row r="3611" spans="1:7">
      <c r="A3611" t="s">
        <v>8644</v>
      </c>
      <c r="B3611">
        <v>52</v>
      </c>
      <c r="C3611" t="s">
        <v>8645</v>
      </c>
      <c r="D3611">
        <v>67493</v>
      </c>
      <c r="E3611" t="s">
        <v>27</v>
      </c>
      <c r="F3611">
        <v>1839674756</v>
      </c>
      <c r="G3611" s="1">
        <v>45038</v>
      </c>
    </row>
    <row r="3612" spans="1:7">
      <c r="A3612" t="s">
        <v>8646</v>
      </c>
      <c r="B3612">
        <v>45</v>
      </c>
      <c r="C3612" t="s">
        <v>8647</v>
      </c>
      <c r="D3612">
        <v>160841</v>
      </c>
      <c r="E3612" t="s">
        <v>12</v>
      </c>
      <c r="F3612" t="s">
        <v>8648</v>
      </c>
      <c r="G3612" s="1">
        <v>45078</v>
      </c>
    </row>
    <row r="3613" spans="1:7">
      <c r="A3613" t="s">
        <v>8649</v>
      </c>
      <c r="B3613">
        <v>23</v>
      </c>
      <c r="C3613" t="s">
        <v>8650</v>
      </c>
      <c r="D3613">
        <v>175188</v>
      </c>
      <c r="E3613" t="s">
        <v>36</v>
      </c>
      <c r="F3613" t="s">
        <v>8651</v>
      </c>
      <c r="G3613" s="1">
        <v>45199</v>
      </c>
    </row>
    <row r="3614" spans="1:7">
      <c r="A3614" t="s">
        <v>8652</v>
      </c>
      <c r="B3614">
        <v>41</v>
      </c>
      <c r="D3614">
        <v>79223</v>
      </c>
      <c r="E3614" t="s">
        <v>12</v>
      </c>
      <c r="F3614">
        <v>1135078768</v>
      </c>
      <c r="G3614" s="1">
        <v>44957</v>
      </c>
    </row>
    <row r="3615" spans="1:7">
      <c r="A3615" t="s">
        <v>8653</v>
      </c>
      <c r="B3615">
        <v>19</v>
      </c>
      <c r="D3615">
        <v>104960</v>
      </c>
      <c r="E3615" t="s">
        <v>27</v>
      </c>
      <c r="F3615">
        <v>8671018609</v>
      </c>
      <c r="G3615" s="1">
        <v>45049</v>
      </c>
    </row>
    <row r="3616" spans="1:7">
      <c r="A3616" t="s">
        <v>8654</v>
      </c>
      <c r="B3616">
        <v>66</v>
      </c>
      <c r="C3616" t="s">
        <v>8655</v>
      </c>
      <c r="D3616">
        <v>106709</v>
      </c>
      <c r="E3616" t="s">
        <v>9</v>
      </c>
      <c r="F3616">
        <f>1-119-223-9713</f>
        <v>-10054</v>
      </c>
      <c r="G3616" s="1">
        <v>45221</v>
      </c>
    </row>
    <row r="3617" spans="1:7">
      <c r="A3617" t="s">
        <v>8656</v>
      </c>
      <c r="B3617">
        <v>77</v>
      </c>
      <c r="C3617" t="s">
        <v>169</v>
      </c>
      <c r="E3617" t="s">
        <v>12</v>
      </c>
      <c r="F3617" t="s">
        <v>8657</v>
      </c>
      <c r="G3617" s="1">
        <v>45226</v>
      </c>
    </row>
    <row r="3618" spans="1:7">
      <c r="A3618" t="s">
        <v>8658</v>
      </c>
      <c r="B3618">
        <v>61</v>
      </c>
      <c r="C3618" t="s">
        <v>8659</v>
      </c>
      <c r="D3618">
        <v>101743</v>
      </c>
      <c r="E3618" t="s">
        <v>12</v>
      </c>
      <c r="G3618" s="1">
        <v>45101</v>
      </c>
    </row>
    <row r="3619" spans="1:7">
      <c r="A3619" t="s">
        <v>8660</v>
      </c>
      <c r="B3619">
        <v>48</v>
      </c>
      <c r="C3619" t="s">
        <v>8661</v>
      </c>
      <c r="D3619">
        <v>153723</v>
      </c>
      <c r="E3619" t="s">
        <v>36</v>
      </c>
      <c r="F3619">
        <f>1-856-505-5073</f>
        <v>-6433</v>
      </c>
      <c r="G3619" s="1">
        <v>45202</v>
      </c>
    </row>
    <row r="3620" spans="1:7">
      <c r="A3620" t="s">
        <v>8662</v>
      </c>
      <c r="B3620">
        <v>71</v>
      </c>
      <c r="C3620" t="s">
        <v>8663</v>
      </c>
      <c r="D3620">
        <v>174933</v>
      </c>
      <c r="E3620" t="s">
        <v>36</v>
      </c>
      <c r="F3620" t="s">
        <v>8664</v>
      </c>
      <c r="G3620" s="1">
        <v>45068</v>
      </c>
    </row>
    <row r="3621" spans="1:7">
      <c r="A3621" t="s">
        <v>8665</v>
      </c>
      <c r="B3621">
        <v>55</v>
      </c>
      <c r="C3621" t="s">
        <v>8666</v>
      </c>
      <c r="E3621" t="s">
        <v>9</v>
      </c>
      <c r="F3621" t="s">
        <v>8667</v>
      </c>
      <c r="G3621" s="1">
        <v>45092</v>
      </c>
    </row>
    <row r="3622" spans="1:7">
      <c r="A3622" t="s">
        <v>8668</v>
      </c>
      <c r="B3622">
        <v>36</v>
      </c>
      <c r="C3622" t="s">
        <v>8669</v>
      </c>
      <c r="D3622">
        <v>134859</v>
      </c>
      <c r="E3622" t="s">
        <v>9</v>
      </c>
      <c r="F3622" t="s">
        <v>8670</v>
      </c>
      <c r="G3622" s="1">
        <v>45244</v>
      </c>
    </row>
    <row r="3623" spans="1:7">
      <c r="A3623" t="s">
        <v>8671</v>
      </c>
      <c r="B3623">
        <v>68</v>
      </c>
      <c r="C3623" t="s">
        <v>518</v>
      </c>
      <c r="D3623">
        <v>64812</v>
      </c>
      <c r="E3623" t="s">
        <v>12</v>
      </c>
      <c r="F3623" t="s">
        <v>8672</v>
      </c>
      <c r="G3623" s="1">
        <v>45121</v>
      </c>
    </row>
    <row r="3624" spans="1:7">
      <c r="A3624" t="s">
        <v>8673</v>
      </c>
      <c r="B3624">
        <v>43</v>
      </c>
      <c r="C3624" t="s">
        <v>8674</v>
      </c>
      <c r="D3624">
        <v>96981</v>
      </c>
      <c r="E3624" t="s">
        <v>9</v>
      </c>
      <c r="F3624" t="s">
        <v>8675</v>
      </c>
      <c r="G3624" s="1">
        <v>45007</v>
      </c>
    </row>
    <row r="3625" spans="1:7">
      <c r="A3625" t="s">
        <v>8676</v>
      </c>
      <c r="B3625">
        <v>38</v>
      </c>
      <c r="C3625" t="s">
        <v>594</v>
      </c>
      <c r="D3625">
        <v>173029</v>
      </c>
      <c r="E3625" t="s">
        <v>27</v>
      </c>
      <c r="F3625" t="s">
        <v>8677</v>
      </c>
      <c r="G3625" s="1">
        <v>45278</v>
      </c>
    </row>
    <row r="3626" spans="1:7">
      <c r="A3626" t="s">
        <v>8678</v>
      </c>
      <c r="B3626">
        <v>53</v>
      </c>
      <c r="C3626" t="s">
        <v>445</v>
      </c>
      <c r="D3626">
        <v>193623</v>
      </c>
      <c r="E3626" t="s">
        <v>36</v>
      </c>
      <c r="F3626">
        <f>1-486-228-4471</f>
        <v>-5184</v>
      </c>
      <c r="G3626" s="1">
        <v>45151</v>
      </c>
    </row>
    <row r="3627" spans="1:7">
      <c r="A3627" t="s">
        <v>8679</v>
      </c>
      <c r="B3627">
        <v>70</v>
      </c>
      <c r="C3627" t="s">
        <v>8680</v>
      </c>
      <c r="D3627">
        <v>111257</v>
      </c>
      <c r="E3627" t="s">
        <v>27</v>
      </c>
      <c r="G3627" s="1">
        <v>45231</v>
      </c>
    </row>
    <row r="3628" spans="1:7">
      <c r="A3628" t="s">
        <v>8681</v>
      </c>
      <c r="B3628">
        <v>48</v>
      </c>
      <c r="C3628" t="s">
        <v>8682</v>
      </c>
      <c r="D3628">
        <v>154647</v>
      </c>
      <c r="E3628" t="s">
        <v>27</v>
      </c>
      <c r="F3628">
        <v>5884207222</v>
      </c>
      <c r="G3628" s="1">
        <v>45248</v>
      </c>
    </row>
    <row r="3629" spans="1:7">
      <c r="A3629" t="s">
        <v>8683</v>
      </c>
      <c r="B3629">
        <v>24</v>
      </c>
      <c r="C3629" t="s">
        <v>299</v>
      </c>
      <c r="D3629">
        <v>188099</v>
      </c>
      <c r="E3629" t="s">
        <v>36</v>
      </c>
      <c r="F3629" t="s">
        <v>8684</v>
      </c>
      <c r="G3629" s="1">
        <v>45010</v>
      </c>
    </row>
    <row r="3630" spans="1:7">
      <c r="A3630" t="s">
        <v>8685</v>
      </c>
      <c r="B3630">
        <v>-10</v>
      </c>
      <c r="C3630" t="s">
        <v>8686</v>
      </c>
      <c r="D3630">
        <v>159753</v>
      </c>
      <c r="E3630" t="s">
        <v>27</v>
      </c>
      <c r="F3630" t="s">
        <v>8687</v>
      </c>
      <c r="G3630" s="1">
        <v>44939</v>
      </c>
    </row>
    <row r="3631" spans="1:7">
      <c r="A3631" t="s">
        <v>8688</v>
      </c>
      <c r="B3631">
        <v>150</v>
      </c>
      <c r="C3631" t="s">
        <v>8689</v>
      </c>
      <c r="D3631">
        <v>86396</v>
      </c>
      <c r="E3631" t="s">
        <v>36</v>
      </c>
      <c r="F3631" t="s">
        <v>8690</v>
      </c>
      <c r="G3631" s="1">
        <v>44995</v>
      </c>
    </row>
    <row r="3632" spans="1:7">
      <c r="A3632" t="s">
        <v>8691</v>
      </c>
      <c r="B3632">
        <v>54</v>
      </c>
      <c r="C3632" t="s">
        <v>8692</v>
      </c>
      <c r="D3632">
        <v>69029</v>
      </c>
      <c r="E3632" t="s">
        <v>9</v>
      </c>
      <c r="F3632" t="s">
        <v>8693</v>
      </c>
      <c r="G3632" s="1">
        <v>44949</v>
      </c>
    </row>
    <row r="3633" spans="1:7">
      <c r="A3633" t="s">
        <v>8694</v>
      </c>
      <c r="B3633">
        <v>20</v>
      </c>
      <c r="C3633" t="s">
        <v>8695</v>
      </c>
      <c r="D3633">
        <v>121244</v>
      </c>
      <c r="E3633" t="s">
        <v>9</v>
      </c>
      <c r="F3633">
        <f>1-311-993-9218</f>
        <v>-10521</v>
      </c>
      <c r="G3633" s="1">
        <v>45068</v>
      </c>
    </row>
    <row r="3634" spans="1:7">
      <c r="A3634" t="s">
        <v>8696</v>
      </c>
      <c r="B3634">
        <v>59</v>
      </c>
      <c r="C3634" t="s">
        <v>115</v>
      </c>
      <c r="D3634">
        <v>54495</v>
      </c>
      <c r="E3634" t="s">
        <v>36</v>
      </c>
      <c r="F3634">
        <v>4938269146</v>
      </c>
      <c r="G3634" s="1">
        <v>45010</v>
      </c>
    </row>
    <row r="3635" spans="1:7">
      <c r="A3635" t="s">
        <v>8697</v>
      </c>
      <c r="B3635">
        <v>-25</v>
      </c>
      <c r="C3635" t="s">
        <v>8698</v>
      </c>
      <c r="D3635">
        <v>156218</v>
      </c>
      <c r="E3635" t="s">
        <v>9</v>
      </c>
      <c r="F3635" t="s">
        <v>8699</v>
      </c>
      <c r="G3635" s="1">
        <v>44927</v>
      </c>
    </row>
    <row r="3636" spans="1:7">
      <c r="A3636" t="s">
        <v>8700</v>
      </c>
      <c r="B3636">
        <v>71</v>
      </c>
      <c r="C3636" t="s">
        <v>115</v>
      </c>
      <c r="D3636">
        <v>98842</v>
      </c>
      <c r="E3636" t="s">
        <v>12</v>
      </c>
      <c r="G3636" s="1">
        <v>45129</v>
      </c>
    </row>
    <row r="3637" spans="1:7">
      <c r="A3637" t="s">
        <v>8701</v>
      </c>
      <c r="B3637">
        <v>52</v>
      </c>
      <c r="C3637" t="s">
        <v>170</v>
      </c>
      <c r="D3637">
        <v>85044</v>
      </c>
      <c r="E3637" t="s">
        <v>9</v>
      </c>
      <c r="F3637" t="s">
        <v>8702</v>
      </c>
      <c r="G3637" s="1">
        <v>45134</v>
      </c>
    </row>
    <row r="3638" spans="1:7">
      <c r="A3638" t="s">
        <v>3548</v>
      </c>
      <c r="B3638">
        <v>74</v>
      </c>
      <c r="C3638" t="s">
        <v>8703</v>
      </c>
      <c r="D3638">
        <v>88703</v>
      </c>
      <c r="E3638" t="s">
        <v>36</v>
      </c>
      <c r="F3638">
        <f>1-224-505-5007</f>
        <v>-5735</v>
      </c>
      <c r="G3638" s="1">
        <v>44965</v>
      </c>
    </row>
    <row r="3639" spans="1:7">
      <c r="A3639" t="s">
        <v>8704</v>
      </c>
      <c r="B3639">
        <v>65</v>
      </c>
      <c r="C3639" t="s">
        <v>8705</v>
      </c>
      <c r="D3639">
        <v>40775</v>
      </c>
      <c r="E3639" t="s">
        <v>27</v>
      </c>
      <c r="F3639" t="s">
        <v>8706</v>
      </c>
      <c r="G3639" s="1">
        <v>45192</v>
      </c>
    </row>
    <row r="3640" spans="1:7">
      <c r="A3640" t="s">
        <v>8707</v>
      </c>
      <c r="B3640">
        <v>75</v>
      </c>
      <c r="C3640" t="s">
        <v>8708</v>
      </c>
      <c r="D3640">
        <v>152374</v>
      </c>
      <c r="E3640" t="s">
        <v>36</v>
      </c>
      <c r="F3640">
        <f>1-417-618-5853</f>
        <v>-6887</v>
      </c>
      <c r="G3640" s="1">
        <v>45075</v>
      </c>
    </row>
    <row r="3641" spans="1:7">
      <c r="A3641" t="s">
        <v>8709</v>
      </c>
      <c r="B3641">
        <v>22</v>
      </c>
      <c r="C3641" t="s">
        <v>8710</v>
      </c>
      <c r="D3641">
        <v>159999</v>
      </c>
      <c r="E3641" t="s">
        <v>9</v>
      </c>
      <c r="F3641" t="s">
        <v>8711</v>
      </c>
      <c r="G3641" s="1">
        <v>45067</v>
      </c>
    </row>
    <row r="3642" spans="1:7">
      <c r="A3642" t="s">
        <v>8712</v>
      </c>
      <c r="B3642">
        <v>999</v>
      </c>
      <c r="C3642" t="s">
        <v>8713</v>
      </c>
      <c r="D3642">
        <v>173933</v>
      </c>
      <c r="E3642" t="s">
        <v>36</v>
      </c>
      <c r="F3642">
        <f>1-853-865-5892</f>
        <v>-7609</v>
      </c>
      <c r="G3642" s="1">
        <v>45049</v>
      </c>
    </row>
    <row r="3643" spans="1:7">
      <c r="A3643" t="s">
        <v>8714</v>
      </c>
      <c r="B3643">
        <v>60</v>
      </c>
      <c r="D3643">
        <v>182353</v>
      </c>
      <c r="E3643" t="s">
        <v>9</v>
      </c>
      <c r="F3643">
        <f>1-913-798-6927</f>
        <v>-8637</v>
      </c>
      <c r="G3643" s="1">
        <v>45061</v>
      </c>
    </row>
    <row r="3644" spans="1:7">
      <c r="A3644" t="s">
        <v>8715</v>
      </c>
      <c r="C3644" t="s">
        <v>8716</v>
      </c>
      <c r="D3644">
        <v>174228</v>
      </c>
      <c r="E3644" t="s">
        <v>36</v>
      </c>
      <c r="F3644" t="s">
        <v>8717</v>
      </c>
      <c r="G3644" s="1">
        <v>45205</v>
      </c>
    </row>
    <row r="3645" spans="1:7">
      <c r="A3645" t="s">
        <v>8718</v>
      </c>
      <c r="B3645">
        <v>18</v>
      </c>
      <c r="C3645" t="s">
        <v>8719</v>
      </c>
      <c r="D3645">
        <v>-20000</v>
      </c>
      <c r="E3645" t="s">
        <v>27</v>
      </c>
      <c r="F3645" t="s">
        <v>8720</v>
      </c>
      <c r="G3645" s="1">
        <v>45247</v>
      </c>
    </row>
    <row r="3646" spans="1:7">
      <c r="A3646" t="s">
        <v>8721</v>
      </c>
      <c r="B3646">
        <v>0</v>
      </c>
      <c r="C3646" t="s">
        <v>8722</v>
      </c>
      <c r="D3646">
        <v>30368</v>
      </c>
      <c r="E3646" t="s">
        <v>9</v>
      </c>
      <c r="F3646" t="s">
        <v>8723</v>
      </c>
      <c r="G3646" s="1">
        <v>45179</v>
      </c>
    </row>
    <row r="3647" spans="1:7">
      <c r="A3647" t="s">
        <v>8724</v>
      </c>
      <c r="B3647">
        <v>52</v>
      </c>
      <c r="C3647" t="s">
        <v>8725</v>
      </c>
      <c r="D3647">
        <v>173022</v>
      </c>
      <c r="E3647" t="s">
        <v>9</v>
      </c>
      <c r="F3647" t="s">
        <v>8726</v>
      </c>
      <c r="G3647" s="1">
        <v>45085</v>
      </c>
    </row>
    <row r="3648" spans="1:7">
      <c r="A3648" t="s">
        <v>5278</v>
      </c>
      <c r="B3648">
        <v>-1</v>
      </c>
      <c r="C3648" t="s">
        <v>8727</v>
      </c>
      <c r="D3648">
        <v>56028</v>
      </c>
      <c r="E3648" t="s">
        <v>12</v>
      </c>
      <c r="F3648" t="s">
        <v>8728</v>
      </c>
      <c r="G3648" s="1">
        <v>45253</v>
      </c>
    </row>
    <row r="3649" spans="1:7">
      <c r="A3649" t="s">
        <v>8729</v>
      </c>
      <c r="B3649">
        <v>30</v>
      </c>
      <c r="C3649" t="s">
        <v>8730</v>
      </c>
      <c r="D3649">
        <v>140634</v>
      </c>
      <c r="E3649" t="s">
        <v>12</v>
      </c>
      <c r="F3649" t="s">
        <v>8731</v>
      </c>
      <c r="G3649" s="1">
        <v>45169</v>
      </c>
    </row>
    <row r="3650" spans="1:7">
      <c r="A3650" t="s">
        <v>8732</v>
      </c>
      <c r="B3650">
        <v>25</v>
      </c>
      <c r="D3650">
        <v>70502</v>
      </c>
      <c r="E3650" t="s">
        <v>36</v>
      </c>
      <c r="F3650" t="s">
        <v>8733</v>
      </c>
      <c r="G3650" s="1">
        <v>45103</v>
      </c>
    </row>
    <row r="3651" spans="1:7">
      <c r="A3651" t="s">
        <v>8734</v>
      </c>
      <c r="B3651">
        <v>22</v>
      </c>
      <c r="C3651" t="s">
        <v>8735</v>
      </c>
      <c r="D3651">
        <v>144894</v>
      </c>
      <c r="E3651" t="s">
        <v>9</v>
      </c>
      <c r="F3651">
        <f>1-779-716-4639</f>
        <v>-6133</v>
      </c>
      <c r="G3651" s="1">
        <v>45225</v>
      </c>
    </row>
    <row r="3652" spans="1:7">
      <c r="A3652" t="s">
        <v>8736</v>
      </c>
      <c r="B3652">
        <v>-999</v>
      </c>
      <c r="C3652" t="s">
        <v>531</v>
      </c>
      <c r="D3652">
        <v>-1</v>
      </c>
      <c r="E3652" t="s">
        <v>532</v>
      </c>
      <c r="G3652" t="s">
        <v>493</v>
      </c>
    </row>
    <row r="3653" spans="1:7">
      <c r="A3653" t="s">
        <v>8737</v>
      </c>
      <c r="B3653">
        <v>33</v>
      </c>
      <c r="C3653" t="s">
        <v>169</v>
      </c>
      <c r="D3653">
        <v>181317</v>
      </c>
      <c r="E3653" t="s">
        <v>9</v>
      </c>
      <c r="F3653">
        <v>4515536330</v>
      </c>
      <c r="G3653" s="1">
        <v>45218</v>
      </c>
    </row>
    <row r="3654" spans="1:7">
      <c r="A3654" t="s">
        <v>8738</v>
      </c>
      <c r="B3654">
        <v>32</v>
      </c>
      <c r="C3654" t="s">
        <v>8739</v>
      </c>
      <c r="D3654">
        <v>98968</v>
      </c>
      <c r="E3654" t="s">
        <v>27</v>
      </c>
      <c r="F3654" t="s">
        <v>8740</v>
      </c>
      <c r="G3654" s="1">
        <v>45286</v>
      </c>
    </row>
    <row r="3655" spans="1:7">
      <c r="A3655" t="s">
        <v>8741</v>
      </c>
      <c r="B3655">
        <v>74</v>
      </c>
      <c r="C3655" t="s">
        <v>8742</v>
      </c>
      <c r="D3655">
        <v>116394</v>
      </c>
      <c r="E3655" t="s">
        <v>9</v>
      </c>
      <c r="F3655">
        <v>2557901963</v>
      </c>
      <c r="G3655" s="1">
        <v>45173</v>
      </c>
    </row>
    <row r="3656" spans="1:7">
      <c r="A3656" t="s">
        <v>8743</v>
      </c>
      <c r="B3656">
        <v>58</v>
      </c>
      <c r="C3656" t="s">
        <v>8744</v>
      </c>
      <c r="D3656">
        <v>181130</v>
      </c>
      <c r="E3656" t="s">
        <v>36</v>
      </c>
      <c r="F3656" t="s">
        <v>8745</v>
      </c>
      <c r="G3656" s="1">
        <v>45002</v>
      </c>
    </row>
    <row r="3657" spans="1:7">
      <c r="A3657" t="s">
        <v>8746</v>
      </c>
      <c r="B3657">
        <v>60</v>
      </c>
      <c r="C3657" t="s">
        <v>8747</v>
      </c>
      <c r="D3657">
        <v>0</v>
      </c>
      <c r="E3657" t="s">
        <v>36</v>
      </c>
      <c r="F3657" t="s">
        <v>8748</v>
      </c>
      <c r="G3657" s="1">
        <v>45159</v>
      </c>
    </row>
    <row r="3658" spans="1:7">
      <c r="A3658" t="s">
        <v>8749</v>
      </c>
      <c r="B3658">
        <v>69</v>
      </c>
      <c r="C3658" t="s">
        <v>299</v>
      </c>
      <c r="D3658">
        <v>0</v>
      </c>
      <c r="E3658" t="s">
        <v>27</v>
      </c>
      <c r="F3658" t="s">
        <v>8750</v>
      </c>
      <c r="G3658" s="1">
        <v>44927</v>
      </c>
    </row>
    <row r="3659" spans="1:7">
      <c r="A3659" t="s">
        <v>8751</v>
      </c>
      <c r="B3659">
        <v>66</v>
      </c>
      <c r="C3659" t="s">
        <v>8752</v>
      </c>
      <c r="D3659">
        <v>181100</v>
      </c>
      <c r="E3659" t="s">
        <v>12</v>
      </c>
      <c r="F3659">
        <v>1104046463</v>
      </c>
      <c r="G3659" s="1">
        <v>45040</v>
      </c>
    </row>
    <row r="3660" spans="1:7">
      <c r="A3660" t="s">
        <v>2502</v>
      </c>
      <c r="B3660">
        <v>58</v>
      </c>
      <c r="C3660" t="s">
        <v>8753</v>
      </c>
      <c r="D3660">
        <v>-1000</v>
      </c>
      <c r="E3660" t="s">
        <v>27</v>
      </c>
      <c r="F3660" t="s">
        <v>8754</v>
      </c>
      <c r="G3660" s="1">
        <v>45153</v>
      </c>
    </row>
    <row r="3661" spans="1:7">
      <c r="A3661" t="s">
        <v>8755</v>
      </c>
      <c r="B3661">
        <v>-50</v>
      </c>
      <c r="C3661" t="s">
        <v>8756</v>
      </c>
      <c r="E3661" t="s">
        <v>9</v>
      </c>
      <c r="F3661">
        <v>2156991983</v>
      </c>
      <c r="G3661" s="1">
        <v>45084</v>
      </c>
    </row>
    <row r="3662" spans="1:7">
      <c r="A3662" t="s">
        <v>8757</v>
      </c>
      <c r="B3662">
        <v>61</v>
      </c>
      <c r="C3662" t="s">
        <v>8758</v>
      </c>
      <c r="D3662">
        <v>-20000</v>
      </c>
      <c r="E3662" t="s">
        <v>9</v>
      </c>
      <c r="F3662" t="s">
        <v>8759</v>
      </c>
      <c r="G3662" s="1">
        <v>45224</v>
      </c>
    </row>
    <row r="3663" spans="1:7">
      <c r="A3663" t="s">
        <v>8760</v>
      </c>
      <c r="B3663">
        <v>-1</v>
      </c>
      <c r="C3663" t="s">
        <v>8761</v>
      </c>
      <c r="D3663">
        <v>0</v>
      </c>
      <c r="E3663" t="s">
        <v>27</v>
      </c>
      <c r="F3663">
        <v>8355554562</v>
      </c>
      <c r="G3663" s="1">
        <v>45275</v>
      </c>
    </row>
    <row r="3664" spans="1:7">
      <c r="A3664" t="s">
        <v>8762</v>
      </c>
      <c r="B3664">
        <v>60</v>
      </c>
      <c r="C3664" t="s">
        <v>8763</v>
      </c>
      <c r="D3664">
        <v>67196</v>
      </c>
      <c r="E3664" t="s">
        <v>9</v>
      </c>
      <c r="F3664" t="s">
        <v>8764</v>
      </c>
      <c r="G3664" s="1">
        <v>45025</v>
      </c>
    </row>
    <row r="3665" spans="1:7">
      <c r="A3665" t="s">
        <v>5247</v>
      </c>
      <c r="B3665">
        <v>69</v>
      </c>
      <c r="C3665" t="s">
        <v>8765</v>
      </c>
      <c r="D3665">
        <v>126566</v>
      </c>
      <c r="E3665" t="s">
        <v>36</v>
      </c>
      <c r="F3665">
        <f>1-503-590-2605</f>
        <v>-3697</v>
      </c>
      <c r="G3665" s="1">
        <v>45112</v>
      </c>
    </row>
    <row r="3666" spans="1:7">
      <c r="A3666" t="s">
        <v>8766</v>
      </c>
      <c r="B3666">
        <v>60</v>
      </c>
      <c r="C3666" t="s">
        <v>8767</v>
      </c>
      <c r="D3666">
        <v>92943</v>
      </c>
      <c r="E3666" t="s">
        <v>27</v>
      </c>
      <c r="F3666" t="s">
        <v>8768</v>
      </c>
      <c r="G3666" s="1">
        <v>45156</v>
      </c>
    </row>
    <row r="3667" spans="1:7">
      <c r="A3667" t="s">
        <v>8769</v>
      </c>
      <c r="B3667">
        <v>52</v>
      </c>
      <c r="C3667" t="s">
        <v>8770</v>
      </c>
      <c r="E3667" t="s">
        <v>27</v>
      </c>
      <c r="F3667" t="s">
        <v>8771</v>
      </c>
      <c r="G3667" s="1">
        <v>44927</v>
      </c>
    </row>
    <row r="3668" spans="1:7">
      <c r="A3668" t="s">
        <v>8772</v>
      </c>
      <c r="B3668">
        <v>0</v>
      </c>
      <c r="C3668" t="s">
        <v>445</v>
      </c>
      <c r="D3668">
        <v>126258</v>
      </c>
      <c r="E3668" t="s">
        <v>9</v>
      </c>
      <c r="F3668" t="s">
        <v>8773</v>
      </c>
      <c r="G3668" s="1">
        <v>45017</v>
      </c>
    </row>
    <row r="3669" spans="1:7">
      <c r="A3669" t="s">
        <v>8774</v>
      </c>
      <c r="B3669">
        <v>65</v>
      </c>
      <c r="C3669" t="s">
        <v>8775</v>
      </c>
      <c r="D3669">
        <v>111050</v>
      </c>
      <c r="E3669" t="s">
        <v>27</v>
      </c>
      <c r="F3669" t="s">
        <v>8776</v>
      </c>
      <c r="G3669" s="1">
        <v>45162</v>
      </c>
    </row>
    <row r="3670" spans="1:7">
      <c r="A3670" t="s">
        <v>8777</v>
      </c>
      <c r="B3670">
        <v>48</v>
      </c>
      <c r="C3670" t="s">
        <v>8778</v>
      </c>
      <c r="D3670">
        <v>180528</v>
      </c>
      <c r="E3670" t="s">
        <v>27</v>
      </c>
      <c r="F3670" t="s">
        <v>8779</v>
      </c>
      <c r="G3670" s="1">
        <v>45239</v>
      </c>
    </row>
    <row r="3671" spans="1:7">
      <c r="A3671" t="s">
        <v>8780</v>
      </c>
      <c r="B3671">
        <v>30</v>
      </c>
      <c r="C3671" t="s">
        <v>8781</v>
      </c>
      <c r="D3671">
        <v>97789</v>
      </c>
      <c r="E3671" t="s">
        <v>27</v>
      </c>
      <c r="F3671">
        <f>1-772-284-5916</f>
        <v>-6971</v>
      </c>
      <c r="G3671" s="1">
        <v>45226</v>
      </c>
    </row>
    <row r="3672" spans="1:7">
      <c r="A3672" t="s">
        <v>8782</v>
      </c>
      <c r="B3672">
        <v>45</v>
      </c>
      <c r="C3672" t="s">
        <v>8783</v>
      </c>
      <c r="D3672">
        <v>163962</v>
      </c>
      <c r="E3672" t="s">
        <v>27</v>
      </c>
      <c r="F3672">
        <v>8878253700</v>
      </c>
      <c r="G3672" s="1">
        <v>45066</v>
      </c>
    </row>
    <row r="3673" spans="1:7">
      <c r="A3673" t="s">
        <v>8784</v>
      </c>
      <c r="B3673">
        <v>53</v>
      </c>
      <c r="C3673" t="s">
        <v>8785</v>
      </c>
      <c r="D3673">
        <v>64268</v>
      </c>
      <c r="E3673" t="s">
        <v>27</v>
      </c>
      <c r="F3673">
        <f>1-237-128-7043</f>
        <v>-7407</v>
      </c>
      <c r="G3673" s="1">
        <v>45246</v>
      </c>
    </row>
    <row r="3674" spans="1:7">
      <c r="A3674" t="s">
        <v>8786</v>
      </c>
      <c r="B3674">
        <v>-100</v>
      </c>
      <c r="C3674" t="s">
        <v>8787</v>
      </c>
      <c r="D3674">
        <v>161208</v>
      </c>
      <c r="E3674" t="s">
        <v>27</v>
      </c>
      <c r="F3674" t="s">
        <v>8788</v>
      </c>
      <c r="G3674" s="1">
        <v>45219</v>
      </c>
    </row>
    <row r="3675" spans="1:7">
      <c r="A3675" t="s">
        <v>8789</v>
      </c>
      <c r="B3675">
        <v>58</v>
      </c>
      <c r="C3675" t="s">
        <v>8790</v>
      </c>
      <c r="D3675">
        <v>64929</v>
      </c>
      <c r="E3675" t="s">
        <v>36</v>
      </c>
      <c r="F3675">
        <v>7186241692</v>
      </c>
      <c r="G3675" s="1">
        <v>44976</v>
      </c>
    </row>
    <row r="3676" spans="1:7">
      <c r="A3676" t="s">
        <v>8791</v>
      </c>
      <c r="B3676">
        <v>68</v>
      </c>
      <c r="D3676">
        <v>41984</v>
      </c>
      <c r="E3676" t="s">
        <v>27</v>
      </c>
      <c r="F3676">
        <v>2023176784</v>
      </c>
      <c r="G3676" s="1">
        <v>45163</v>
      </c>
    </row>
    <row r="3677" spans="1:7">
      <c r="A3677" t="s">
        <v>8792</v>
      </c>
      <c r="B3677">
        <v>32</v>
      </c>
      <c r="C3677" t="s">
        <v>115</v>
      </c>
      <c r="E3677" t="s">
        <v>36</v>
      </c>
      <c r="F3677" t="s">
        <v>8793</v>
      </c>
      <c r="G3677" s="1">
        <v>45217</v>
      </c>
    </row>
    <row r="3678" spans="1:7">
      <c r="A3678" t="s">
        <v>8794</v>
      </c>
      <c r="B3678">
        <v>60</v>
      </c>
      <c r="C3678" t="s">
        <v>8795</v>
      </c>
      <c r="D3678">
        <v>132877</v>
      </c>
      <c r="E3678" t="s">
        <v>36</v>
      </c>
      <c r="F3678" t="s">
        <v>8796</v>
      </c>
      <c r="G3678" t="s">
        <v>301</v>
      </c>
    </row>
    <row r="3679" spans="1:7">
      <c r="A3679" t="s">
        <v>855</v>
      </c>
      <c r="B3679">
        <v>20</v>
      </c>
      <c r="D3679">
        <v>178690</v>
      </c>
      <c r="E3679" t="s">
        <v>90</v>
      </c>
      <c r="F3679" t="s">
        <v>8797</v>
      </c>
      <c r="G3679" s="1">
        <v>44984</v>
      </c>
    </row>
    <row r="3680" spans="1:7">
      <c r="A3680" t="s">
        <v>8798</v>
      </c>
      <c r="B3680">
        <v>22</v>
      </c>
      <c r="C3680" t="s">
        <v>478</v>
      </c>
      <c r="D3680">
        <v>-20000</v>
      </c>
      <c r="E3680" t="s">
        <v>36</v>
      </c>
      <c r="F3680" t="s">
        <v>8799</v>
      </c>
      <c r="G3680" s="1">
        <v>44956</v>
      </c>
    </row>
    <row r="3681" spans="1:7">
      <c r="A3681" t="s">
        <v>8800</v>
      </c>
      <c r="B3681">
        <v>40</v>
      </c>
      <c r="C3681" t="s">
        <v>61</v>
      </c>
      <c r="D3681">
        <v>165758</v>
      </c>
      <c r="E3681" t="s">
        <v>27</v>
      </c>
      <c r="F3681" t="s">
        <v>8801</v>
      </c>
      <c r="G3681" s="1">
        <v>45194</v>
      </c>
    </row>
    <row r="3682" spans="1:7">
      <c r="A3682" t="s">
        <v>8802</v>
      </c>
      <c r="B3682">
        <v>79</v>
      </c>
      <c r="D3682">
        <v>76218</v>
      </c>
      <c r="E3682" t="s">
        <v>9</v>
      </c>
      <c r="F3682" t="s">
        <v>8803</v>
      </c>
      <c r="G3682" s="1">
        <v>45202</v>
      </c>
    </row>
    <row r="3683" spans="1:7">
      <c r="A3683" t="s">
        <v>8804</v>
      </c>
      <c r="B3683">
        <v>-999</v>
      </c>
      <c r="C3683" t="s">
        <v>531</v>
      </c>
      <c r="D3683">
        <v>-1</v>
      </c>
      <c r="E3683" t="s">
        <v>532</v>
      </c>
      <c r="G3683" t="s">
        <v>493</v>
      </c>
    </row>
    <row r="3684" spans="1:7">
      <c r="A3684" t="s">
        <v>8805</v>
      </c>
      <c r="B3684">
        <v>77</v>
      </c>
      <c r="C3684" t="s">
        <v>8806</v>
      </c>
      <c r="D3684">
        <v>157039</v>
      </c>
      <c r="E3684" t="s">
        <v>12</v>
      </c>
      <c r="F3684">
        <f>1-994-917-6358</f>
        <v>-8268</v>
      </c>
      <c r="G3684" s="1">
        <v>45206</v>
      </c>
    </row>
    <row r="3685" spans="1:7">
      <c r="A3685" t="s">
        <v>7840</v>
      </c>
      <c r="B3685">
        <v>-5</v>
      </c>
      <c r="C3685" t="s">
        <v>8807</v>
      </c>
      <c r="D3685">
        <v>49477</v>
      </c>
      <c r="E3685" t="s">
        <v>27</v>
      </c>
      <c r="F3685" t="s">
        <v>8808</v>
      </c>
      <c r="G3685" s="1">
        <v>45013</v>
      </c>
    </row>
    <row r="3686" spans="1:7">
      <c r="A3686" t="s">
        <v>8809</v>
      </c>
      <c r="B3686">
        <v>59</v>
      </c>
      <c r="C3686" t="s">
        <v>8810</v>
      </c>
      <c r="D3686">
        <v>37868</v>
      </c>
      <c r="E3686" t="s">
        <v>36</v>
      </c>
      <c r="F3686">
        <v>8534483048</v>
      </c>
      <c r="G3686" s="1">
        <v>45248</v>
      </c>
    </row>
    <row r="3687" spans="1:7">
      <c r="B3687">
        <v>42</v>
      </c>
      <c r="C3687" t="s">
        <v>8811</v>
      </c>
      <c r="D3687">
        <v>121829</v>
      </c>
      <c r="E3687" t="s">
        <v>36</v>
      </c>
      <c r="F3687" t="s">
        <v>8812</v>
      </c>
      <c r="G3687" s="1">
        <v>44963</v>
      </c>
    </row>
    <row r="3688" spans="1:7">
      <c r="A3688" t="s">
        <v>8813</v>
      </c>
      <c r="B3688">
        <v>41</v>
      </c>
      <c r="C3688" t="s">
        <v>8814</v>
      </c>
      <c r="E3688" t="s">
        <v>12</v>
      </c>
      <c r="F3688" t="s">
        <v>8815</v>
      </c>
      <c r="G3688" s="1">
        <v>45174</v>
      </c>
    </row>
    <row r="3689" spans="1:7">
      <c r="A3689" t="s">
        <v>8816</v>
      </c>
      <c r="B3689">
        <v>44</v>
      </c>
      <c r="C3689" t="s">
        <v>169</v>
      </c>
      <c r="D3689">
        <v>70522</v>
      </c>
      <c r="E3689" t="s">
        <v>12</v>
      </c>
      <c r="F3689" t="s">
        <v>8817</v>
      </c>
      <c r="G3689" s="1">
        <v>45235</v>
      </c>
    </row>
    <row r="3690" spans="1:7">
      <c r="A3690" t="s">
        <v>8818</v>
      </c>
      <c r="B3690">
        <v>77</v>
      </c>
      <c r="C3690" t="s">
        <v>8819</v>
      </c>
      <c r="D3690">
        <v>69886</v>
      </c>
      <c r="E3690" t="s">
        <v>36</v>
      </c>
      <c r="F3690">
        <f>1-719-223-5843</f>
        <v>-6784</v>
      </c>
      <c r="G3690" s="1">
        <v>45139</v>
      </c>
    </row>
    <row r="3691" spans="1:7">
      <c r="A3691" t="s">
        <v>8820</v>
      </c>
      <c r="B3691">
        <v>40</v>
      </c>
      <c r="C3691" t="s">
        <v>8821</v>
      </c>
      <c r="D3691">
        <v>175283</v>
      </c>
      <c r="E3691" t="s">
        <v>36</v>
      </c>
      <c r="F3691" t="s">
        <v>8822</v>
      </c>
      <c r="G3691" s="1">
        <v>44995</v>
      </c>
    </row>
    <row r="3692" spans="1:7">
      <c r="A3692" t="s">
        <v>8823</v>
      </c>
      <c r="B3692">
        <v>20</v>
      </c>
      <c r="C3692" t="s">
        <v>8824</v>
      </c>
      <c r="E3692" t="s">
        <v>36</v>
      </c>
      <c r="F3692" t="s">
        <v>8825</v>
      </c>
      <c r="G3692" s="1">
        <v>45020</v>
      </c>
    </row>
    <row r="3693" spans="1:7">
      <c r="A3693" t="s">
        <v>8826</v>
      </c>
      <c r="B3693">
        <v>500</v>
      </c>
      <c r="C3693" t="s">
        <v>445</v>
      </c>
      <c r="E3693" t="s">
        <v>36</v>
      </c>
      <c r="F3693" t="s">
        <v>8827</v>
      </c>
      <c r="G3693" s="1">
        <v>45072</v>
      </c>
    </row>
    <row r="3694" spans="1:7">
      <c r="A3694" t="s">
        <v>7029</v>
      </c>
      <c r="B3694">
        <v>70</v>
      </c>
      <c r="C3694" t="s">
        <v>8828</v>
      </c>
      <c r="D3694">
        <v>76101</v>
      </c>
      <c r="E3694" t="s">
        <v>27</v>
      </c>
      <c r="F3694" t="s">
        <v>8829</v>
      </c>
      <c r="G3694" s="1">
        <v>45004</v>
      </c>
    </row>
    <row r="3695" spans="1:7">
      <c r="A3695" t="s">
        <v>8830</v>
      </c>
      <c r="B3695">
        <v>32</v>
      </c>
      <c r="C3695" t="s">
        <v>8831</v>
      </c>
      <c r="D3695">
        <v>57302</v>
      </c>
      <c r="E3695" t="s">
        <v>36</v>
      </c>
      <c r="F3695">
        <f>1-616-158-7452</f>
        <v>-8225</v>
      </c>
      <c r="G3695" s="1">
        <v>45184</v>
      </c>
    </row>
    <row r="3696" spans="1:7">
      <c r="A3696" t="s">
        <v>8832</v>
      </c>
      <c r="B3696">
        <v>56</v>
      </c>
      <c r="C3696" t="s">
        <v>8833</v>
      </c>
      <c r="D3696">
        <v>119360</v>
      </c>
      <c r="E3696" t="s">
        <v>27</v>
      </c>
      <c r="F3696" t="s">
        <v>8834</v>
      </c>
      <c r="G3696" s="1">
        <v>44984</v>
      </c>
    </row>
    <row r="3697" spans="1:7">
      <c r="A3697" t="s">
        <v>8835</v>
      </c>
      <c r="B3697">
        <v>66</v>
      </c>
      <c r="C3697" t="s">
        <v>8836</v>
      </c>
      <c r="D3697">
        <v>163501</v>
      </c>
      <c r="E3697" t="s">
        <v>36</v>
      </c>
      <c r="G3697" s="1">
        <v>45219</v>
      </c>
    </row>
    <row r="3698" spans="1:7">
      <c r="A3698" t="s">
        <v>1440</v>
      </c>
      <c r="B3698">
        <v>37</v>
      </c>
      <c r="C3698" t="s">
        <v>17</v>
      </c>
      <c r="D3698">
        <v>160830</v>
      </c>
      <c r="E3698" t="s">
        <v>27</v>
      </c>
      <c r="G3698" s="1">
        <v>45130</v>
      </c>
    </row>
    <row r="3699" spans="1:7">
      <c r="A3699" t="s">
        <v>8837</v>
      </c>
      <c r="B3699">
        <v>44</v>
      </c>
      <c r="C3699" t="s">
        <v>8838</v>
      </c>
      <c r="D3699">
        <v>105069</v>
      </c>
      <c r="E3699" t="s">
        <v>49</v>
      </c>
      <c r="F3699">
        <v>4745175272</v>
      </c>
      <c r="G3699" s="1">
        <v>45114</v>
      </c>
    </row>
    <row r="3700" spans="1:7">
      <c r="A3700" t="s">
        <v>8839</v>
      </c>
      <c r="B3700">
        <v>32</v>
      </c>
      <c r="C3700" t="s">
        <v>8840</v>
      </c>
      <c r="D3700">
        <v>46279</v>
      </c>
      <c r="E3700" t="s">
        <v>36</v>
      </c>
      <c r="F3700" t="s">
        <v>8841</v>
      </c>
      <c r="G3700" s="1">
        <v>45115</v>
      </c>
    </row>
    <row r="3701" spans="1:7">
      <c r="A3701" t="s">
        <v>8842</v>
      </c>
      <c r="B3701">
        <v>68</v>
      </c>
      <c r="C3701" t="s">
        <v>8843</v>
      </c>
      <c r="D3701">
        <v>57307</v>
      </c>
      <c r="E3701" t="s">
        <v>36</v>
      </c>
      <c r="F3701">
        <f>1-253-514-7188</f>
        <v>-7954</v>
      </c>
      <c r="G3701" s="1">
        <v>45162</v>
      </c>
    </row>
    <row r="3702" spans="1:7">
      <c r="A3702" t="s">
        <v>8844</v>
      </c>
      <c r="B3702">
        <v>39</v>
      </c>
      <c r="D3702">
        <v>116971</v>
      </c>
      <c r="E3702" t="s">
        <v>12</v>
      </c>
      <c r="F3702" t="s">
        <v>8845</v>
      </c>
      <c r="G3702" s="1">
        <v>44927</v>
      </c>
    </row>
    <row r="3703" spans="1:7">
      <c r="A3703" t="s">
        <v>8846</v>
      </c>
      <c r="B3703">
        <v>66</v>
      </c>
      <c r="C3703" t="s">
        <v>8847</v>
      </c>
      <c r="D3703">
        <v>104231</v>
      </c>
      <c r="E3703" t="s">
        <v>27</v>
      </c>
      <c r="F3703" t="s">
        <v>8848</v>
      </c>
      <c r="G3703" s="1">
        <v>45207</v>
      </c>
    </row>
    <row r="3704" spans="1:7">
      <c r="A3704" t="s">
        <v>2923</v>
      </c>
      <c r="B3704">
        <v>44</v>
      </c>
      <c r="D3704">
        <v>196277</v>
      </c>
      <c r="E3704" t="s">
        <v>12</v>
      </c>
      <c r="F3704" t="s">
        <v>8849</v>
      </c>
      <c r="G3704" s="1">
        <v>45225</v>
      </c>
    </row>
    <row r="3705" spans="1:7">
      <c r="A3705" t="s">
        <v>8850</v>
      </c>
      <c r="B3705">
        <v>77</v>
      </c>
      <c r="C3705" t="s">
        <v>8851</v>
      </c>
      <c r="D3705">
        <v>114700</v>
      </c>
      <c r="E3705" t="s">
        <v>27</v>
      </c>
      <c r="F3705" t="s">
        <v>8852</v>
      </c>
      <c r="G3705" s="1">
        <v>44938</v>
      </c>
    </row>
    <row r="3706" spans="1:7">
      <c r="A3706" t="s">
        <v>8853</v>
      </c>
      <c r="B3706">
        <v>63</v>
      </c>
      <c r="C3706" t="s">
        <v>8854</v>
      </c>
      <c r="D3706">
        <v>167145</v>
      </c>
      <c r="E3706" t="s">
        <v>12</v>
      </c>
      <c r="F3706">
        <v>3182777545</v>
      </c>
      <c r="G3706" s="1">
        <v>45103</v>
      </c>
    </row>
    <row r="3707" spans="1:7">
      <c r="A3707" t="s">
        <v>8855</v>
      </c>
      <c r="B3707">
        <v>31</v>
      </c>
      <c r="C3707" t="s">
        <v>8856</v>
      </c>
      <c r="D3707">
        <v>136984</v>
      </c>
      <c r="E3707" t="s">
        <v>12</v>
      </c>
      <c r="F3707" t="s">
        <v>8857</v>
      </c>
      <c r="G3707" t="s">
        <v>422</v>
      </c>
    </row>
    <row r="3708" spans="1:7">
      <c r="A3708" t="s">
        <v>8858</v>
      </c>
      <c r="B3708">
        <v>41</v>
      </c>
      <c r="C3708" t="s">
        <v>8859</v>
      </c>
      <c r="D3708">
        <v>176768</v>
      </c>
      <c r="E3708" t="s">
        <v>9</v>
      </c>
      <c r="G3708" s="1">
        <v>45155</v>
      </c>
    </row>
    <row r="3709" spans="1:7">
      <c r="A3709" t="s">
        <v>8860</v>
      </c>
      <c r="B3709">
        <v>999</v>
      </c>
      <c r="C3709" t="s">
        <v>8861</v>
      </c>
      <c r="D3709">
        <v>102635</v>
      </c>
      <c r="E3709" t="s">
        <v>12</v>
      </c>
      <c r="G3709" s="1">
        <v>44938</v>
      </c>
    </row>
    <row r="3710" spans="1:7">
      <c r="A3710" t="s">
        <v>8862</v>
      </c>
      <c r="B3710">
        <v>52</v>
      </c>
      <c r="C3710" t="s">
        <v>8863</v>
      </c>
      <c r="D3710">
        <v>118151</v>
      </c>
      <c r="E3710" t="s">
        <v>36</v>
      </c>
      <c r="F3710">
        <v>4686932034</v>
      </c>
      <c r="G3710" t="s">
        <v>715</v>
      </c>
    </row>
    <row r="3711" spans="1:7">
      <c r="A3711" t="s">
        <v>8864</v>
      </c>
      <c r="B3711">
        <v>51</v>
      </c>
      <c r="C3711" t="s">
        <v>8865</v>
      </c>
      <c r="D3711">
        <v>59511</v>
      </c>
      <c r="E3711" t="s">
        <v>9</v>
      </c>
      <c r="F3711" t="s">
        <v>8866</v>
      </c>
      <c r="G3711" s="1">
        <v>45012</v>
      </c>
    </row>
    <row r="3712" spans="1:7">
      <c r="A3712" t="s">
        <v>8867</v>
      </c>
      <c r="B3712">
        <v>76</v>
      </c>
      <c r="C3712" t="s">
        <v>8868</v>
      </c>
      <c r="D3712">
        <v>62940</v>
      </c>
      <c r="E3712" t="s">
        <v>12</v>
      </c>
      <c r="F3712">
        <v>1783367740</v>
      </c>
      <c r="G3712" s="1">
        <v>44968</v>
      </c>
    </row>
    <row r="3713" spans="1:7">
      <c r="A3713" t="s">
        <v>8869</v>
      </c>
      <c r="B3713">
        <v>19</v>
      </c>
      <c r="C3713" t="s">
        <v>8870</v>
      </c>
      <c r="D3713">
        <v>194490</v>
      </c>
      <c r="E3713" t="s">
        <v>12</v>
      </c>
      <c r="F3713" t="s">
        <v>8871</v>
      </c>
      <c r="G3713" s="1">
        <v>45028</v>
      </c>
    </row>
    <row r="3714" spans="1:7">
      <c r="A3714" t="s">
        <v>8872</v>
      </c>
      <c r="B3714">
        <v>53</v>
      </c>
      <c r="C3714" t="s">
        <v>8873</v>
      </c>
      <c r="D3714">
        <v>94550</v>
      </c>
      <c r="E3714" t="s">
        <v>36</v>
      </c>
      <c r="F3714" t="s">
        <v>8874</v>
      </c>
      <c r="G3714" s="1">
        <v>45284</v>
      </c>
    </row>
    <row r="3715" spans="1:7">
      <c r="A3715" t="s">
        <v>8875</v>
      </c>
      <c r="B3715">
        <v>73</v>
      </c>
      <c r="D3715">
        <v>184546</v>
      </c>
      <c r="E3715" t="s">
        <v>36</v>
      </c>
      <c r="F3715" t="s">
        <v>8876</v>
      </c>
      <c r="G3715" s="1">
        <v>44992</v>
      </c>
    </row>
    <row r="3716" spans="1:7">
      <c r="A3716" t="s">
        <v>8877</v>
      </c>
      <c r="B3716">
        <v>28</v>
      </c>
      <c r="C3716" t="s">
        <v>8878</v>
      </c>
      <c r="E3716" t="s">
        <v>27</v>
      </c>
      <c r="F3716">
        <f>1-823-709-7416</f>
        <v>-8947</v>
      </c>
      <c r="G3716" s="1">
        <v>44940</v>
      </c>
    </row>
    <row r="3717" spans="1:7">
      <c r="A3717" t="s">
        <v>8879</v>
      </c>
      <c r="B3717">
        <v>40</v>
      </c>
      <c r="C3717" t="s">
        <v>445</v>
      </c>
      <c r="D3717">
        <v>171564</v>
      </c>
      <c r="E3717" t="s">
        <v>12</v>
      </c>
      <c r="F3717" t="s">
        <v>8880</v>
      </c>
      <c r="G3717" s="1">
        <v>45202</v>
      </c>
    </row>
    <row r="3718" spans="1:7">
      <c r="A3718" t="s">
        <v>8881</v>
      </c>
      <c r="B3718">
        <v>64</v>
      </c>
      <c r="C3718" t="s">
        <v>8882</v>
      </c>
      <c r="D3718">
        <v>44995</v>
      </c>
      <c r="E3718" t="s">
        <v>9</v>
      </c>
      <c r="F3718" t="s">
        <v>8883</v>
      </c>
      <c r="G3718" s="1">
        <v>45135</v>
      </c>
    </row>
    <row r="3719" spans="1:7">
      <c r="B3719">
        <v>28</v>
      </c>
      <c r="C3719" t="s">
        <v>8884</v>
      </c>
      <c r="D3719">
        <v>145158</v>
      </c>
      <c r="E3719" t="s">
        <v>12</v>
      </c>
      <c r="G3719" s="1">
        <v>44972</v>
      </c>
    </row>
    <row r="3720" spans="1:7">
      <c r="A3720" t="s">
        <v>8885</v>
      </c>
      <c r="B3720">
        <v>-100</v>
      </c>
      <c r="C3720" t="s">
        <v>8886</v>
      </c>
      <c r="D3720">
        <v>80713</v>
      </c>
      <c r="E3720" t="s">
        <v>9</v>
      </c>
      <c r="F3720" t="s">
        <v>8887</v>
      </c>
      <c r="G3720" s="1">
        <v>45249</v>
      </c>
    </row>
    <row r="3721" spans="1:7">
      <c r="A3721" t="s">
        <v>8888</v>
      </c>
      <c r="B3721">
        <v>65</v>
      </c>
      <c r="C3721" t="s">
        <v>8889</v>
      </c>
      <c r="D3721">
        <v>106361</v>
      </c>
      <c r="E3721" t="s">
        <v>27</v>
      </c>
      <c r="F3721" t="s">
        <v>8890</v>
      </c>
      <c r="G3721" s="1">
        <v>45078</v>
      </c>
    </row>
    <row r="3722" spans="1:7">
      <c r="A3722" t="s">
        <v>8891</v>
      </c>
      <c r="B3722">
        <v>52</v>
      </c>
      <c r="D3722">
        <v>89624</v>
      </c>
      <c r="E3722" t="s">
        <v>27</v>
      </c>
      <c r="F3722" t="s">
        <v>8892</v>
      </c>
      <c r="G3722" s="1">
        <v>44952</v>
      </c>
    </row>
    <row r="3723" spans="1:7">
      <c r="A3723" t="s">
        <v>8893</v>
      </c>
      <c r="B3723">
        <v>74</v>
      </c>
      <c r="C3723" t="s">
        <v>8894</v>
      </c>
      <c r="D3723">
        <v>78847</v>
      </c>
      <c r="E3723" t="s">
        <v>12</v>
      </c>
      <c r="F3723">
        <v>7306885001</v>
      </c>
      <c r="G3723" s="1">
        <v>45065</v>
      </c>
    </row>
    <row r="3724" spans="1:7">
      <c r="A3724" t="s">
        <v>8895</v>
      </c>
      <c r="B3724">
        <v>52</v>
      </c>
      <c r="C3724" t="s">
        <v>389</v>
      </c>
      <c r="D3724">
        <v>152808</v>
      </c>
      <c r="E3724" t="s">
        <v>9</v>
      </c>
      <c r="F3724" t="s">
        <v>8896</v>
      </c>
      <c r="G3724" s="1">
        <v>44955</v>
      </c>
    </row>
    <row r="3725" spans="1:7">
      <c r="A3725" t="s">
        <v>8897</v>
      </c>
      <c r="B3725">
        <v>53</v>
      </c>
      <c r="C3725" t="s">
        <v>8898</v>
      </c>
      <c r="D3725">
        <v>193991</v>
      </c>
      <c r="E3725" t="s">
        <v>9</v>
      </c>
      <c r="F3725">
        <v>7623993181</v>
      </c>
      <c r="G3725" s="1">
        <v>45146</v>
      </c>
    </row>
    <row r="3726" spans="1:7">
      <c r="A3726" t="s">
        <v>8899</v>
      </c>
      <c r="B3726">
        <v>33</v>
      </c>
      <c r="C3726" t="s">
        <v>8900</v>
      </c>
      <c r="D3726">
        <v>122910</v>
      </c>
      <c r="E3726" t="s">
        <v>27</v>
      </c>
      <c r="F3726" t="s">
        <v>8901</v>
      </c>
      <c r="G3726" s="1">
        <v>45153</v>
      </c>
    </row>
    <row r="3727" spans="1:7">
      <c r="A3727" t="s">
        <v>8902</v>
      </c>
      <c r="B3727">
        <v>20</v>
      </c>
      <c r="C3727" t="s">
        <v>8903</v>
      </c>
      <c r="D3727">
        <v>39943</v>
      </c>
      <c r="E3727" t="s">
        <v>27</v>
      </c>
      <c r="F3727" t="s">
        <v>8904</v>
      </c>
      <c r="G3727" s="1">
        <v>44992</v>
      </c>
    </row>
    <row r="3728" spans="1:7">
      <c r="A3728" t="s">
        <v>8905</v>
      </c>
      <c r="B3728">
        <v>36</v>
      </c>
      <c r="C3728" t="s">
        <v>8906</v>
      </c>
      <c r="E3728" t="s">
        <v>36</v>
      </c>
      <c r="F3728" t="s">
        <v>8907</v>
      </c>
      <c r="G3728" s="1">
        <v>45008</v>
      </c>
    </row>
    <row r="3729" spans="1:7">
      <c r="A3729" t="s">
        <v>8908</v>
      </c>
      <c r="B3729">
        <v>53</v>
      </c>
      <c r="C3729" t="s">
        <v>8909</v>
      </c>
      <c r="D3729">
        <v>-50000</v>
      </c>
      <c r="E3729" t="s">
        <v>27</v>
      </c>
      <c r="G3729" s="1">
        <v>45150</v>
      </c>
    </row>
    <row r="3730" spans="1:7">
      <c r="A3730" t="s">
        <v>8910</v>
      </c>
      <c r="B3730">
        <v>32</v>
      </c>
      <c r="C3730" t="s">
        <v>8911</v>
      </c>
      <c r="D3730">
        <v>31577</v>
      </c>
      <c r="E3730" t="s">
        <v>9</v>
      </c>
      <c r="F3730" t="s">
        <v>8912</v>
      </c>
      <c r="G3730" s="1">
        <v>44968</v>
      </c>
    </row>
    <row r="3731" spans="1:7">
      <c r="A3731" t="s">
        <v>8913</v>
      </c>
      <c r="B3731">
        <v>50</v>
      </c>
      <c r="C3731" t="s">
        <v>169</v>
      </c>
      <c r="D3731">
        <v>80755</v>
      </c>
      <c r="E3731" t="s">
        <v>12</v>
      </c>
      <c r="F3731">
        <f>1-166-479-8255</f>
        <v>-8899</v>
      </c>
      <c r="G3731" s="1">
        <v>45281</v>
      </c>
    </row>
    <row r="3732" spans="1:7">
      <c r="A3732" t="s">
        <v>8914</v>
      </c>
      <c r="C3732" t="s">
        <v>8915</v>
      </c>
      <c r="D3732">
        <v>127088</v>
      </c>
      <c r="E3732" t="s">
        <v>27</v>
      </c>
      <c r="F3732">
        <v>6896899328</v>
      </c>
      <c r="G3732" s="1">
        <v>45064</v>
      </c>
    </row>
    <row r="3733" spans="1:7">
      <c r="A3733" t="s">
        <v>8916</v>
      </c>
      <c r="B3733">
        <v>64</v>
      </c>
      <c r="C3733" t="s">
        <v>8917</v>
      </c>
      <c r="D3733">
        <v>81925</v>
      </c>
      <c r="E3733" t="s">
        <v>9</v>
      </c>
      <c r="F3733" t="s">
        <v>8918</v>
      </c>
      <c r="G3733" s="1">
        <v>45199</v>
      </c>
    </row>
    <row r="3734" spans="1:7">
      <c r="A3734" t="s">
        <v>8919</v>
      </c>
      <c r="B3734">
        <v>64</v>
      </c>
      <c r="C3734" t="s">
        <v>8920</v>
      </c>
      <c r="E3734" t="s">
        <v>9</v>
      </c>
      <c r="F3734">
        <v>8478761088</v>
      </c>
      <c r="G3734" s="1">
        <v>45100</v>
      </c>
    </row>
    <row r="3735" spans="1:7">
      <c r="A3735" t="s">
        <v>8921</v>
      </c>
      <c r="B3735">
        <v>78</v>
      </c>
      <c r="C3735" t="s">
        <v>8922</v>
      </c>
      <c r="D3735">
        <v>32413</v>
      </c>
      <c r="E3735" t="s">
        <v>9</v>
      </c>
      <c r="F3735" t="s">
        <v>8923</v>
      </c>
      <c r="G3735" s="1">
        <v>45199</v>
      </c>
    </row>
    <row r="3736" spans="1:7">
      <c r="A3736" t="s">
        <v>8924</v>
      </c>
      <c r="B3736">
        <v>61</v>
      </c>
      <c r="C3736" t="s">
        <v>8925</v>
      </c>
      <c r="D3736">
        <v>65897</v>
      </c>
      <c r="E3736" t="s">
        <v>12</v>
      </c>
      <c r="F3736" t="s">
        <v>8926</v>
      </c>
      <c r="G3736" s="1">
        <v>45101</v>
      </c>
    </row>
    <row r="3737" spans="1:7">
      <c r="A3737" t="s">
        <v>8927</v>
      </c>
      <c r="B3737">
        <v>18</v>
      </c>
      <c r="C3737" t="s">
        <v>8928</v>
      </c>
      <c r="D3737">
        <v>84131</v>
      </c>
      <c r="E3737" t="s">
        <v>9</v>
      </c>
      <c r="F3737" t="s">
        <v>8929</v>
      </c>
      <c r="G3737" s="1">
        <v>45107</v>
      </c>
    </row>
    <row r="3738" spans="1:7">
      <c r="A3738" t="s">
        <v>8930</v>
      </c>
      <c r="B3738">
        <v>73</v>
      </c>
      <c r="C3738" t="s">
        <v>8931</v>
      </c>
      <c r="D3738">
        <v>0</v>
      </c>
      <c r="E3738" t="s">
        <v>36</v>
      </c>
      <c r="F3738" t="s">
        <v>8932</v>
      </c>
      <c r="G3738" s="1">
        <v>45189</v>
      </c>
    </row>
    <row r="3739" spans="1:7">
      <c r="A3739" t="s">
        <v>8933</v>
      </c>
      <c r="B3739">
        <v>29</v>
      </c>
      <c r="C3739" t="s">
        <v>8934</v>
      </c>
      <c r="D3739">
        <v>60109</v>
      </c>
      <c r="E3739" t="s">
        <v>36</v>
      </c>
      <c r="F3739">
        <f>1-148-664-2253</f>
        <v>-3064</v>
      </c>
      <c r="G3739" s="1">
        <v>45126</v>
      </c>
    </row>
    <row r="3740" spans="1:7">
      <c r="A3740" t="s">
        <v>8935</v>
      </c>
      <c r="B3740">
        <v>36</v>
      </c>
      <c r="C3740" t="s">
        <v>8936</v>
      </c>
      <c r="D3740">
        <v>138125</v>
      </c>
      <c r="E3740" t="s">
        <v>873</v>
      </c>
      <c r="F3740">
        <v>3366355159</v>
      </c>
      <c r="G3740" s="1">
        <v>45103</v>
      </c>
    </row>
    <row r="3741" spans="1:7">
      <c r="A3741" t="s">
        <v>8937</v>
      </c>
      <c r="B3741">
        <v>66</v>
      </c>
      <c r="C3741" t="s">
        <v>8938</v>
      </c>
      <c r="D3741">
        <v>143943</v>
      </c>
      <c r="E3741" t="s">
        <v>12</v>
      </c>
      <c r="F3741" t="s">
        <v>8939</v>
      </c>
      <c r="G3741" s="1">
        <v>45089</v>
      </c>
    </row>
    <row r="3742" spans="1:7">
      <c r="A3742" t="s">
        <v>8940</v>
      </c>
      <c r="B3742">
        <v>39</v>
      </c>
      <c r="C3742" t="s">
        <v>8941</v>
      </c>
      <c r="D3742">
        <v>174258</v>
      </c>
      <c r="E3742" t="s">
        <v>36</v>
      </c>
      <c r="F3742">
        <f>1-634-579-7769</f>
        <v>-8981</v>
      </c>
      <c r="G3742" s="1">
        <v>45224</v>
      </c>
    </row>
    <row r="3743" spans="1:7">
      <c r="A3743" t="s">
        <v>8942</v>
      </c>
      <c r="B3743">
        <v>41</v>
      </c>
      <c r="C3743" t="s">
        <v>8943</v>
      </c>
      <c r="D3743">
        <v>97005</v>
      </c>
      <c r="E3743" t="s">
        <v>18</v>
      </c>
      <c r="F3743" t="s">
        <v>8944</v>
      </c>
      <c r="G3743" s="1">
        <v>45193</v>
      </c>
    </row>
    <row r="3744" spans="1:7">
      <c r="A3744" t="s">
        <v>8945</v>
      </c>
      <c r="B3744">
        <v>67</v>
      </c>
      <c r="C3744" t="s">
        <v>8946</v>
      </c>
      <c r="D3744">
        <v>87241</v>
      </c>
      <c r="E3744" t="s">
        <v>27</v>
      </c>
      <c r="F3744" t="s">
        <v>8947</v>
      </c>
    </row>
    <row r="3745" spans="1:7">
      <c r="A3745" t="s">
        <v>8948</v>
      </c>
      <c r="B3745">
        <v>42</v>
      </c>
      <c r="C3745" t="s">
        <v>478</v>
      </c>
      <c r="D3745">
        <v>55095</v>
      </c>
      <c r="E3745" t="s">
        <v>27</v>
      </c>
      <c r="F3745">
        <v>5896431504</v>
      </c>
      <c r="G3745" s="1">
        <v>44950</v>
      </c>
    </row>
    <row r="3746" spans="1:7">
      <c r="A3746" t="s">
        <v>1633</v>
      </c>
      <c r="B3746">
        <v>42</v>
      </c>
      <c r="C3746" t="s">
        <v>8949</v>
      </c>
      <c r="D3746">
        <v>177745</v>
      </c>
      <c r="E3746" t="s">
        <v>36</v>
      </c>
      <c r="F3746" t="s">
        <v>8950</v>
      </c>
      <c r="G3746" s="1">
        <v>45057</v>
      </c>
    </row>
    <row r="3747" spans="1:7">
      <c r="A3747" t="s">
        <v>8951</v>
      </c>
      <c r="B3747">
        <v>63</v>
      </c>
      <c r="C3747" t="s">
        <v>8952</v>
      </c>
      <c r="D3747">
        <v>83053</v>
      </c>
      <c r="E3747" t="s">
        <v>27</v>
      </c>
      <c r="F3747">
        <f>1-159-746-9516</f>
        <v>-10420</v>
      </c>
      <c r="G3747" s="1">
        <v>44976</v>
      </c>
    </row>
    <row r="3748" spans="1:7">
      <c r="A3748" t="s">
        <v>8953</v>
      </c>
      <c r="B3748">
        <v>250</v>
      </c>
      <c r="D3748">
        <v>55939</v>
      </c>
      <c r="E3748" t="s">
        <v>9</v>
      </c>
      <c r="F3748">
        <v>3070734230</v>
      </c>
      <c r="G3748" s="1">
        <v>45178</v>
      </c>
    </row>
    <row r="3749" spans="1:7">
      <c r="A3749" t="s">
        <v>8954</v>
      </c>
      <c r="B3749">
        <v>21</v>
      </c>
      <c r="C3749" t="s">
        <v>8955</v>
      </c>
      <c r="D3749">
        <v>53104</v>
      </c>
      <c r="E3749" t="s">
        <v>12</v>
      </c>
      <c r="F3749" t="s">
        <v>8956</v>
      </c>
      <c r="G3749" s="1">
        <v>45230</v>
      </c>
    </row>
    <row r="3750" spans="1:7">
      <c r="A3750" t="s">
        <v>8957</v>
      </c>
      <c r="B3750">
        <v>54</v>
      </c>
      <c r="C3750" t="s">
        <v>8958</v>
      </c>
      <c r="D3750">
        <v>-1000</v>
      </c>
      <c r="E3750" t="s">
        <v>9</v>
      </c>
      <c r="F3750">
        <f>1-727-726-4222</f>
        <v>-5674</v>
      </c>
      <c r="G3750" s="1">
        <v>45084</v>
      </c>
    </row>
    <row r="3751" spans="1:7">
      <c r="A3751" t="s">
        <v>8959</v>
      </c>
      <c r="B3751">
        <v>79</v>
      </c>
      <c r="C3751" t="s">
        <v>8960</v>
      </c>
      <c r="D3751">
        <v>177281</v>
      </c>
      <c r="E3751" t="s">
        <v>9</v>
      </c>
      <c r="F3751">
        <v>5800273809</v>
      </c>
      <c r="G3751" s="1">
        <v>45279</v>
      </c>
    </row>
    <row r="3752" spans="1:7">
      <c r="A3752" t="s">
        <v>8961</v>
      </c>
      <c r="C3752" t="s">
        <v>8962</v>
      </c>
      <c r="D3752">
        <v>178040</v>
      </c>
      <c r="E3752" t="s">
        <v>27</v>
      </c>
      <c r="F3752" t="s">
        <v>8963</v>
      </c>
      <c r="G3752" s="1">
        <v>45143</v>
      </c>
    </row>
    <row r="3753" spans="1:7">
      <c r="A3753" t="s">
        <v>8964</v>
      </c>
      <c r="B3753">
        <v>36</v>
      </c>
      <c r="C3753" t="s">
        <v>8965</v>
      </c>
      <c r="D3753">
        <v>145436</v>
      </c>
      <c r="E3753" t="s">
        <v>36</v>
      </c>
      <c r="F3753" t="s">
        <v>8966</v>
      </c>
      <c r="G3753" s="1">
        <v>44950</v>
      </c>
    </row>
    <row r="3754" spans="1:7">
      <c r="A3754" t="s">
        <v>8967</v>
      </c>
      <c r="B3754">
        <v>54</v>
      </c>
      <c r="C3754" t="s">
        <v>594</v>
      </c>
      <c r="D3754">
        <v>49156</v>
      </c>
      <c r="E3754" t="s">
        <v>27</v>
      </c>
      <c r="F3754" t="s">
        <v>8968</v>
      </c>
      <c r="G3754" s="1">
        <v>45152</v>
      </c>
    </row>
    <row r="3755" spans="1:7">
      <c r="A3755" t="s">
        <v>8969</v>
      </c>
      <c r="B3755">
        <v>71</v>
      </c>
      <c r="C3755" t="s">
        <v>8970</v>
      </c>
      <c r="D3755">
        <v>174962</v>
      </c>
      <c r="E3755" t="s">
        <v>18</v>
      </c>
      <c r="F3755" t="s">
        <v>8971</v>
      </c>
      <c r="G3755" s="1">
        <v>45218</v>
      </c>
    </row>
    <row r="3756" spans="1:7">
      <c r="A3756" t="s">
        <v>8972</v>
      </c>
      <c r="B3756">
        <v>66</v>
      </c>
      <c r="C3756" t="s">
        <v>8973</v>
      </c>
      <c r="D3756">
        <v>127003</v>
      </c>
      <c r="E3756" t="s">
        <v>27</v>
      </c>
      <c r="F3756" t="s">
        <v>8974</v>
      </c>
      <c r="G3756" s="1">
        <v>45037</v>
      </c>
    </row>
    <row r="3757" spans="1:7">
      <c r="A3757" t="s">
        <v>8975</v>
      </c>
      <c r="B3757">
        <v>27</v>
      </c>
      <c r="C3757" t="s">
        <v>8976</v>
      </c>
      <c r="E3757" t="s">
        <v>27</v>
      </c>
      <c r="F3757" t="s">
        <v>8977</v>
      </c>
      <c r="G3757" s="1">
        <v>44988</v>
      </c>
    </row>
    <row r="3758" spans="1:7">
      <c r="B3758">
        <v>57</v>
      </c>
      <c r="C3758" t="s">
        <v>8978</v>
      </c>
      <c r="E3758" t="s">
        <v>36</v>
      </c>
      <c r="F3758" t="s">
        <v>8979</v>
      </c>
      <c r="G3758" s="1">
        <v>45098</v>
      </c>
    </row>
    <row r="3759" spans="1:7">
      <c r="A3759" t="s">
        <v>8980</v>
      </c>
      <c r="B3759">
        <v>25</v>
      </c>
      <c r="C3759" t="s">
        <v>8981</v>
      </c>
      <c r="E3759" t="s">
        <v>12</v>
      </c>
      <c r="F3759" t="s">
        <v>8982</v>
      </c>
    </row>
    <row r="3760" spans="1:7">
      <c r="A3760" t="s">
        <v>8983</v>
      </c>
      <c r="B3760">
        <v>35</v>
      </c>
      <c r="C3760" t="s">
        <v>8984</v>
      </c>
      <c r="D3760">
        <v>32775</v>
      </c>
      <c r="E3760" t="s">
        <v>49</v>
      </c>
      <c r="F3760" t="s">
        <v>8985</v>
      </c>
      <c r="G3760" s="1">
        <v>45129</v>
      </c>
    </row>
    <row r="3761" spans="1:7">
      <c r="A3761" t="s">
        <v>8986</v>
      </c>
      <c r="B3761">
        <v>33</v>
      </c>
      <c r="C3761" t="s">
        <v>8987</v>
      </c>
      <c r="D3761">
        <v>181255</v>
      </c>
      <c r="E3761" t="s">
        <v>27</v>
      </c>
      <c r="F3761">
        <v>8286145992</v>
      </c>
      <c r="G3761" s="1">
        <v>45175</v>
      </c>
    </row>
    <row r="3762" spans="1:7">
      <c r="A3762" t="s">
        <v>8988</v>
      </c>
      <c r="B3762">
        <v>59</v>
      </c>
      <c r="C3762" t="s">
        <v>8989</v>
      </c>
      <c r="D3762">
        <v>149392</v>
      </c>
      <c r="E3762" t="s">
        <v>9</v>
      </c>
      <c r="F3762" t="s">
        <v>8990</v>
      </c>
      <c r="G3762" s="1">
        <v>45047</v>
      </c>
    </row>
    <row r="3763" spans="1:7">
      <c r="A3763" t="s">
        <v>8991</v>
      </c>
      <c r="C3763" t="s">
        <v>8992</v>
      </c>
      <c r="E3763" t="s">
        <v>9</v>
      </c>
      <c r="F3763" t="s">
        <v>8993</v>
      </c>
      <c r="G3763" s="1">
        <v>44969</v>
      </c>
    </row>
    <row r="3764" spans="1:7">
      <c r="A3764" t="s">
        <v>8994</v>
      </c>
      <c r="B3764">
        <v>43</v>
      </c>
      <c r="C3764" t="s">
        <v>8995</v>
      </c>
      <c r="D3764">
        <v>181426</v>
      </c>
      <c r="E3764" t="s">
        <v>36</v>
      </c>
      <c r="F3764" t="s">
        <v>8996</v>
      </c>
      <c r="G3764" s="1">
        <v>44937</v>
      </c>
    </row>
    <row r="3765" spans="1:7">
      <c r="A3765" t="s">
        <v>8997</v>
      </c>
      <c r="B3765">
        <v>-999</v>
      </c>
      <c r="C3765" t="s">
        <v>531</v>
      </c>
      <c r="D3765">
        <v>-1</v>
      </c>
      <c r="E3765" t="s">
        <v>532</v>
      </c>
      <c r="G3765" t="s">
        <v>493</v>
      </c>
    </row>
    <row r="3766" spans="1:7">
      <c r="A3766" t="s">
        <v>8998</v>
      </c>
      <c r="B3766">
        <v>26</v>
      </c>
      <c r="C3766" t="s">
        <v>8999</v>
      </c>
      <c r="D3766">
        <v>162314</v>
      </c>
      <c r="E3766" t="s">
        <v>36</v>
      </c>
      <c r="F3766" t="s">
        <v>9000</v>
      </c>
      <c r="G3766" s="1">
        <v>45106</v>
      </c>
    </row>
    <row r="3767" spans="1:7">
      <c r="A3767" t="s">
        <v>9001</v>
      </c>
      <c r="B3767">
        <v>36</v>
      </c>
      <c r="D3767">
        <v>192701</v>
      </c>
      <c r="E3767" t="s">
        <v>27</v>
      </c>
      <c r="F3767" t="s">
        <v>9002</v>
      </c>
      <c r="G3767" s="1">
        <v>45259</v>
      </c>
    </row>
    <row r="3768" spans="1:7">
      <c r="A3768" t="s">
        <v>9003</v>
      </c>
      <c r="B3768">
        <v>43</v>
      </c>
      <c r="C3768" t="s">
        <v>17</v>
      </c>
      <c r="D3768">
        <v>166949</v>
      </c>
      <c r="E3768" t="s">
        <v>27</v>
      </c>
      <c r="F3768" t="s">
        <v>9004</v>
      </c>
      <c r="G3768" s="1">
        <v>44951</v>
      </c>
    </row>
    <row r="3769" spans="1:7">
      <c r="A3769" t="s">
        <v>9005</v>
      </c>
      <c r="B3769">
        <v>69</v>
      </c>
      <c r="C3769" t="s">
        <v>9006</v>
      </c>
      <c r="D3769">
        <v>156310</v>
      </c>
      <c r="E3769" t="s">
        <v>36</v>
      </c>
      <c r="F3769">
        <f>1-639-327-5553</f>
        <v>-6518</v>
      </c>
      <c r="G3769" s="1">
        <v>45163</v>
      </c>
    </row>
    <row r="3770" spans="1:7">
      <c r="A3770" t="s">
        <v>9007</v>
      </c>
      <c r="B3770">
        <v>45</v>
      </c>
      <c r="C3770" t="s">
        <v>9008</v>
      </c>
      <c r="D3770">
        <v>-20000</v>
      </c>
      <c r="E3770" t="s">
        <v>12</v>
      </c>
      <c r="F3770" t="s">
        <v>9009</v>
      </c>
      <c r="G3770" s="1">
        <v>45270</v>
      </c>
    </row>
    <row r="3771" spans="1:7">
      <c r="A3771" t="s">
        <v>9010</v>
      </c>
      <c r="B3771">
        <v>18</v>
      </c>
      <c r="C3771" t="s">
        <v>9011</v>
      </c>
      <c r="D3771">
        <v>192285</v>
      </c>
      <c r="E3771" t="s">
        <v>27</v>
      </c>
      <c r="F3771" t="s">
        <v>9012</v>
      </c>
      <c r="G3771" s="1">
        <v>45178</v>
      </c>
    </row>
    <row r="3772" spans="1:7">
      <c r="A3772" t="s">
        <v>9013</v>
      </c>
      <c r="B3772">
        <v>18</v>
      </c>
      <c r="D3772">
        <v>186877</v>
      </c>
      <c r="E3772" t="s">
        <v>36</v>
      </c>
      <c r="F3772" t="s">
        <v>9014</v>
      </c>
      <c r="G3772" s="1">
        <v>45206</v>
      </c>
    </row>
    <row r="3773" spans="1:7">
      <c r="A3773" t="s">
        <v>9015</v>
      </c>
      <c r="B3773">
        <v>40</v>
      </c>
      <c r="C3773" t="s">
        <v>9016</v>
      </c>
      <c r="D3773">
        <v>177309</v>
      </c>
      <c r="E3773" t="s">
        <v>27</v>
      </c>
      <c r="F3773" t="s">
        <v>9017</v>
      </c>
      <c r="G3773" s="1">
        <v>45251</v>
      </c>
    </row>
    <row r="3774" spans="1:7">
      <c r="A3774" t="s">
        <v>9018</v>
      </c>
      <c r="B3774">
        <v>0</v>
      </c>
      <c r="C3774" t="s">
        <v>478</v>
      </c>
      <c r="D3774">
        <v>123326</v>
      </c>
      <c r="E3774" t="s">
        <v>9</v>
      </c>
      <c r="F3774" t="s">
        <v>9019</v>
      </c>
      <c r="G3774" s="1">
        <v>45204</v>
      </c>
    </row>
    <row r="3775" spans="1:7">
      <c r="A3775" t="s">
        <v>4886</v>
      </c>
      <c r="B3775">
        <v>39</v>
      </c>
      <c r="C3775" t="s">
        <v>9020</v>
      </c>
      <c r="D3775">
        <v>158364</v>
      </c>
      <c r="E3775" t="s">
        <v>27</v>
      </c>
      <c r="F3775">
        <f>1-149-721-4254</f>
        <v>-5123</v>
      </c>
      <c r="G3775" s="1">
        <v>45003</v>
      </c>
    </row>
    <row r="3776" spans="1:7">
      <c r="A3776" t="s">
        <v>9021</v>
      </c>
      <c r="B3776">
        <v>50</v>
      </c>
      <c r="C3776" t="s">
        <v>518</v>
      </c>
      <c r="D3776">
        <v>79756</v>
      </c>
      <c r="E3776" t="s">
        <v>36</v>
      </c>
      <c r="F3776" t="s">
        <v>9022</v>
      </c>
      <c r="G3776" s="1">
        <v>45160</v>
      </c>
    </row>
    <row r="3777" spans="1:7">
      <c r="A3777" t="s">
        <v>9023</v>
      </c>
      <c r="B3777">
        <v>23</v>
      </c>
      <c r="C3777" t="s">
        <v>9024</v>
      </c>
      <c r="D3777">
        <v>159207</v>
      </c>
      <c r="F3777">
        <f>1-868-560-1375</f>
        <v>-2802</v>
      </c>
      <c r="G3777" s="1">
        <v>44994</v>
      </c>
    </row>
    <row r="3778" spans="1:7">
      <c r="A3778" t="s">
        <v>9025</v>
      </c>
      <c r="B3778">
        <v>59</v>
      </c>
      <c r="C3778" t="s">
        <v>17</v>
      </c>
      <c r="D3778">
        <v>50056</v>
      </c>
      <c r="E3778" t="s">
        <v>9</v>
      </c>
      <c r="G3778" t="s">
        <v>301</v>
      </c>
    </row>
    <row r="3779" spans="1:7">
      <c r="A3779" t="s">
        <v>9026</v>
      </c>
      <c r="B3779">
        <v>40</v>
      </c>
      <c r="C3779" t="s">
        <v>9027</v>
      </c>
      <c r="E3779" t="s">
        <v>36</v>
      </c>
      <c r="F3779">
        <v>9046197909</v>
      </c>
      <c r="G3779" s="1">
        <v>45096</v>
      </c>
    </row>
    <row r="3780" spans="1:7">
      <c r="A3780" t="s">
        <v>9028</v>
      </c>
      <c r="B3780">
        <v>66</v>
      </c>
      <c r="C3780" t="s">
        <v>9029</v>
      </c>
      <c r="D3780">
        <v>150382</v>
      </c>
      <c r="E3780" t="s">
        <v>9</v>
      </c>
      <c r="F3780" t="s">
        <v>9030</v>
      </c>
      <c r="G3780" s="1">
        <v>45030</v>
      </c>
    </row>
    <row r="3781" spans="1:7">
      <c r="A3781" t="s">
        <v>9031</v>
      </c>
      <c r="B3781">
        <v>62</v>
      </c>
      <c r="C3781" t="s">
        <v>9032</v>
      </c>
      <c r="D3781">
        <v>0</v>
      </c>
      <c r="E3781" t="s">
        <v>36</v>
      </c>
      <c r="F3781" t="s">
        <v>9033</v>
      </c>
      <c r="G3781" s="1">
        <v>45182</v>
      </c>
    </row>
    <row r="3782" spans="1:7">
      <c r="A3782" t="s">
        <v>9034</v>
      </c>
      <c r="B3782">
        <v>69</v>
      </c>
      <c r="C3782" t="s">
        <v>9035</v>
      </c>
      <c r="D3782">
        <v>148542</v>
      </c>
      <c r="E3782" t="s">
        <v>27</v>
      </c>
      <c r="F3782">
        <f>1-648-645-7425</f>
        <v>-8717</v>
      </c>
      <c r="G3782" s="1">
        <v>45013</v>
      </c>
    </row>
    <row r="3783" spans="1:7">
      <c r="A3783" t="s">
        <v>9036</v>
      </c>
      <c r="B3783">
        <v>72</v>
      </c>
      <c r="C3783" t="s">
        <v>9037</v>
      </c>
      <c r="D3783">
        <v>139756</v>
      </c>
      <c r="E3783" t="s">
        <v>12</v>
      </c>
      <c r="F3783" t="s">
        <v>9038</v>
      </c>
      <c r="G3783" s="1">
        <v>45195</v>
      </c>
    </row>
    <row r="3784" spans="1:7">
      <c r="C3784" t="s">
        <v>9039</v>
      </c>
      <c r="D3784">
        <v>-5000</v>
      </c>
      <c r="E3784" t="s">
        <v>27</v>
      </c>
      <c r="F3784" t="s">
        <v>9040</v>
      </c>
      <c r="G3784" s="1">
        <v>45134</v>
      </c>
    </row>
    <row r="3785" spans="1:7">
      <c r="A3785" t="s">
        <v>8392</v>
      </c>
      <c r="B3785">
        <v>79</v>
      </c>
      <c r="D3785">
        <v>157927</v>
      </c>
      <c r="E3785" t="s">
        <v>27</v>
      </c>
      <c r="F3785" t="s">
        <v>9041</v>
      </c>
      <c r="G3785" s="1">
        <v>45050</v>
      </c>
    </row>
    <row r="3786" spans="1:7">
      <c r="A3786" t="s">
        <v>9042</v>
      </c>
      <c r="B3786">
        <v>53</v>
      </c>
      <c r="C3786" t="s">
        <v>9043</v>
      </c>
      <c r="D3786">
        <v>60373</v>
      </c>
      <c r="E3786" t="s">
        <v>9</v>
      </c>
      <c r="F3786">
        <v>1231035712</v>
      </c>
      <c r="G3786" s="1">
        <v>45263</v>
      </c>
    </row>
    <row r="3787" spans="1:7">
      <c r="A3787" t="s">
        <v>9044</v>
      </c>
      <c r="B3787">
        <v>50</v>
      </c>
      <c r="C3787" t="s">
        <v>9045</v>
      </c>
      <c r="D3787">
        <v>55954</v>
      </c>
      <c r="E3787" t="s">
        <v>12</v>
      </c>
      <c r="F3787" t="s">
        <v>9046</v>
      </c>
      <c r="G3787" s="1">
        <v>45107</v>
      </c>
    </row>
    <row r="3788" spans="1:7">
      <c r="A3788" t="s">
        <v>9047</v>
      </c>
      <c r="B3788">
        <v>52</v>
      </c>
      <c r="C3788" t="s">
        <v>9048</v>
      </c>
      <c r="D3788">
        <v>194559</v>
      </c>
      <c r="E3788" t="s">
        <v>27</v>
      </c>
      <c r="F3788" t="s">
        <v>9049</v>
      </c>
      <c r="G3788" s="1">
        <v>45029</v>
      </c>
    </row>
    <row r="3789" spans="1:7">
      <c r="A3789" t="s">
        <v>9050</v>
      </c>
      <c r="B3789">
        <v>25</v>
      </c>
      <c r="C3789" t="s">
        <v>9051</v>
      </c>
      <c r="D3789">
        <v>115896</v>
      </c>
      <c r="E3789" t="s">
        <v>36</v>
      </c>
      <c r="F3789" t="s">
        <v>9052</v>
      </c>
      <c r="G3789" s="1">
        <v>45157</v>
      </c>
    </row>
    <row r="3790" spans="1:7">
      <c r="A3790" t="s">
        <v>9053</v>
      </c>
      <c r="B3790">
        <v>57</v>
      </c>
      <c r="C3790" t="s">
        <v>9054</v>
      </c>
      <c r="E3790" t="s">
        <v>9</v>
      </c>
      <c r="F3790" t="s">
        <v>9055</v>
      </c>
      <c r="G3790" s="1">
        <v>45011</v>
      </c>
    </row>
    <row r="3791" spans="1:7">
      <c r="A3791" t="s">
        <v>9056</v>
      </c>
      <c r="B3791">
        <v>35</v>
      </c>
      <c r="C3791" t="s">
        <v>9057</v>
      </c>
      <c r="D3791">
        <v>51395</v>
      </c>
      <c r="E3791" t="s">
        <v>9</v>
      </c>
      <c r="F3791" t="s">
        <v>9058</v>
      </c>
      <c r="G3791" s="1">
        <v>45268</v>
      </c>
    </row>
    <row r="3792" spans="1:7">
      <c r="A3792" t="s">
        <v>1766</v>
      </c>
      <c r="B3792">
        <v>31</v>
      </c>
      <c r="C3792" t="s">
        <v>1767</v>
      </c>
      <c r="D3792">
        <v>166319</v>
      </c>
      <c r="E3792" t="s">
        <v>36</v>
      </c>
      <c r="F3792" t="s">
        <v>1768</v>
      </c>
      <c r="G3792" s="1">
        <v>45036</v>
      </c>
    </row>
    <row r="3793" spans="1:7">
      <c r="A3793" t="s">
        <v>9059</v>
      </c>
      <c r="B3793">
        <v>34</v>
      </c>
      <c r="C3793" t="s">
        <v>9060</v>
      </c>
      <c r="D3793">
        <v>-1000</v>
      </c>
      <c r="E3793" t="s">
        <v>27</v>
      </c>
      <c r="F3793">
        <v>2658861672</v>
      </c>
      <c r="G3793" s="1">
        <v>45079</v>
      </c>
    </row>
    <row r="3794" spans="1:7">
      <c r="A3794" t="s">
        <v>9061</v>
      </c>
      <c r="B3794">
        <v>20</v>
      </c>
      <c r="C3794" t="s">
        <v>9062</v>
      </c>
      <c r="D3794">
        <v>93668</v>
      </c>
      <c r="E3794" t="s">
        <v>12</v>
      </c>
      <c r="F3794" t="s">
        <v>9063</v>
      </c>
      <c r="G3794" s="1">
        <v>45162</v>
      </c>
    </row>
    <row r="3795" spans="1:7">
      <c r="A3795" t="s">
        <v>9064</v>
      </c>
      <c r="B3795">
        <v>-10</v>
      </c>
      <c r="C3795" t="s">
        <v>9065</v>
      </c>
      <c r="D3795">
        <v>47509</v>
      </c>
      <c r="E3795" t="s">
        <v>27</v>
      </c>
      <c r="F3795" t="s">
        <v>9066</v>
      </c>
      <c r="G3795" s="1">
        <v>44967</v>
      </c>
    </row>
    <row r="3796" spans="1:7">
      <c r="A3796" t="s">
        <v>9067</v>
      </c>
      <c r="B3796">
        <v>20</v>
      </c>
      <c r="C3796" t="s">
        <v>9068</v>
      </c>
      <c r="D3796">
        <v>50104</v>
      </c>
      <c r="E3796" t="s">
        <v>27</v>
      </c>
      <c r="F3796" t="s">
        <v>9069</v>
      </c>
      <c r="G3796" s="1">
        <v>45190</v>
      </c>
    </row>
    <row r="3797" spans="1:7">
      <c r="A3797" t="s">
        <v>9070</v>
      </c>
      <c r="B3797">
        <v>45</v>
      </c>
      <c r="C3797" t="s">
        <v>9071</v>
      </c>
      <c r="D3797">
        <v>54363</v>
      </c>
      <c r="E3797" t="s">
        <v>9</v>
      </c>
      <c r="F3797">
        <f>1-669-867-5794</f>
        <v>-7329</v>
      </c>
      <c r="G3797" t="s">
        <v>1459</v>
      </c>
    </row>
    <row r="3798" spans="1:7">
      <c r="A3798" t="s">
        <v>9072</v>
      </c>
      <c r="B3798">
        <v>56</v>
      </c>
      <c r="C3798" t="s">
        <v>9073</v>
      </c>
      <c r="D3798">
        <v>115716</v>
      </c>
      <c r="E3798" t="s">
        <v>12</v>
      </c>
      <c r="F3798" t="s">
        <v>9074</v>
      </c>
      <c r="G3798" s="1">
        <v>44932</v>
      </c>
    </row>
    <row r="3799" spans="1:7">
      <c r="A3799" t="s">
        <v>9075</v>
      </c>
      <c r="B3799">
        <v>79</v>
      </c>
      <c r="C3799" t="s">
        <v>9076</v>
      </c>
      <c r="D3799">
        <v>165203</v>
      </c>
      <c r="E3799" t="s">
        <v>9</v>
      </c>
      <c r="F3799">
        <v>8441782033</v>
      </c>
      <c r="G3799" s="1">
        <v>45123</v>
      </c>
    </row>
    <row r="3800" spans="1:7">
      <c r="A3800" t="s">
        <v>9077</v>
      </c>
      <c r="B3800">
        <v>60</v>
      </c>
      <c r="C3800" t="s">
        <v>9078</v>
      </c>
      <c r="D3800">
        <v>68098</v>
      </c>
      <c r="E3800" t="s">
        <v>27</v>
      </c>
      <c r="F3800">
        <v>1836949785</v>
      </c>
      <c r="G3800" s="1">
        <v>45095</v>
      </c>
    </row>
    <row r="3801" spans="1:7">
      <c r="A3801" t="s">
        <v>9079</v>
      </c>
      <c r="B3801">
        <v>62</v>
      </c>
      <c r="C3801" t="s">
        <v>9080</v>
      </c>
      <c r="D3801">
        <v>181396</v>
      </c>
      <c r="E3801" t="s">
        <v>27</v>
      </c>
      <c r="F3801" t="s">
        <v>9081</v>
      </c>
      <c r="G3801" s="1">
        <v>44976</v>
      </c>
    </row>
    <row r="3802" spans="1:7">
      <c r="A3802" t="s">
        <v>9082</v>
      </c>
      <c r="B3802">
        <v>44</v>
      </c>
      <c r="C3802" t="s">
        <v>9083</v>
      </c>
      <c r="D3802">
        <v>54309</v>
      </c>
      <c r="E3802" t="s">
        <v>27</v>
      </c>
      <c r="F3802" t="s">
        <v>9084</v>
      </c>
      <c r="G3802" s="1">
        <v>44929</v>
      </c>
    </row>
    <row r="3803" spans="1:7">
      <c r="A3803" t="s">
        <v>9085</v>
      </c>
      <c r="B3803">
        <v>41</v>
      </c>
      <c r="C3803" t="s">
        <v>9086</v>
      </c>
      <c r="D3803">
        <v>157732</v>
      </c>
      <c r="E3803" t="s">
        <v>27</v>
      </c>
      <c r="F3803" t="s">
        <v>9087</v>
      </c>
      <c r="G3803" s="1">
        <v>45278</v>
      </c>
    </row>
    <row r="3804" spans="1:7">
      <c r="A3804" t="s">
        <v>9088</v>
      </c>
      <c r="B3804">
        <v>43</v>
      </c>
      <c r="C3804" t="s">
        <v>9089</v>
      </c>
      <c r="D3804">
        <v>90197</v>
      </c>
      <c r="E3804" t="s">
        <v>9</v>
      </c>
      <c r="F3804">
        <v>9993008031</v>
      </c>
      <c r="G3804" s="1">
        <v>45064</v>
      </c>
    </row>
    <row r="3805" spans="1:7">
      <c r="A3805" t="s">
        <v>9090</v>
      </c>
      <c r="B3805">
        <v>60</v>
      </c>
      <c r="C3805" t="s">
        <v>9091</v>
      </c>
      <c r="D3805">
        <v>84195</v>
      </c>
      <c r="E3805" t="s">
        <v>36</v>
      </c>
      <c r="F3805">
        <v>6211814586</v>
      </c>
      <c r="G3805" s="1">
        <v>44974</v>
      </c>
    </row>
    <row r="3806" spans="1:7">
      <c r="A3806" t="s">
        <v>9092</v>
      </c>
      <c r="B3806">
        <v>64</v>
      </c>
      <c r="C3806" t="s">
        <v>9093</v>
      </c>
      <c r="D3806">
        <v>123944</v>
      </c>
      <c r="E3806" t="s">
        <v>36</v>
      </c>
      <c r="F3806" t="s">
        <v>9094</v>
      </c>
      <c r="G3806" s="1">
        <v>45221</v>
      </c>
    </row>
    <row r="3807" spans="1:7">
      <c r="A3807" t="s">
        <v>9095</v>
      </c>
      <c r="B3807">
        <v>45</v>
      </c>
      <c r="C3807" t="s">
        <v>9096</v>
      </c>
      <c r="D3807">
        <v>81374</v>
      </c>
      <c r="E3807" t="s">
        <v>27</v>
      </c>
      <c r="F3807" t="s">
        <v>9097</v>
      </c>
      <c r="G3807" s="1">
        <v>45117</v>
      </c>
    </row>
    <row r="3808" spans="1:7">
      <c r="A3808" t="s">
        <v>9098</v>
      </c>
      <c r="B3808">
        <v>59</v>
      </c>
      <c r="C3808" t="s">
        <v>9099</v>
      </c>
      <c r="D3808">
        <v>134700</v>
      </c>
      <c r="E3808" t="s">
        <v>9</v>
      </c>
      <c r="F3808" t="s">
        <v>9100</v>
      </c>
      <c r="G3808" s="1">
        <v>45080</v>
      </c>
    </row>
    <row r="3809" spans="1:7">
      <c r="A3809" t="s">
        <v>9101</v>
      </c>
      <c r="B3809">
        <v>78</v>
      </c>
      <c r="C3809" t="s">
        <v>9102</v>
      </c>
      <c r="D3809">
        <v>63276</v>
      </c>
      <c r="E3809" t="s">
        <v>9</v>
      </c>
      <c r="F3809" t="s">
        <v>9103</v>
      </c>
      <c r="G3809" s="1">
        <v>45210</v>
      </c>
    </row>
    <row r="3810" spans="1:7">
      <c r="A3810" t="s">
        <v>9104</v>
      </c>
      <c r="B3810">
        <v>35</v>
      </c>
      <c r="D3810">
        <v>135586</v>
      </c>
      <c r="E3810" t="s">
        <v>27</v>
      </c>
      <c r="G3810" s="1">
        <v>45276</v>
      </c>
    </row>
    <row r="3811" spans="1:7">
      <c r="A3811" t="s">
        <v>9105</v>
      </c>
      <c r="B3811">
        <v>52</v>
      </c>
      <c r="C3811" t="s">
        <v>9106</v>
      </c>
      <c r="D3811">
        <v>141316</v>
      </c>
      <c r="E3811" t="s">
        <v>9</v>
      </c>
      <c r="F3811" t="s">
        <v>9107</v>
      </c>
      <c r="G3811" s="1">
        <v>45222</v>
      </c>
    </row>
    <row r="3812" spans="1:7">
      <c r="A3812" t="s">
        <v>9108</v>
      </c>
      <c r="B3812">
        <v>42</v>
      </c>
      <c r="D3812">
        <v>-50000</v>
      </c>
      <c r="E3812" t="s">
        <v>9</v>
      </c>
      <c r="F3812" t="s">
        <v>9109</v>
      </c>
      <c r="G3812" s="1">
        <v>45073</v>
      </c>
    </row>
    <row r="3813" spans="1:7">
      <c r="A3813" t="s">
        <v>9110</v>
      </c>
      <c r="B3813">
        <v>26</v>
      </c>
      <c r="C3813" t="s">
        <v>9111</v>
      </c>
      <c r="D3813">
        <v>75406</v>
      </c>
      <c r="E3813" t="s">
        <v>9</v>
      </c>
      <c r="G3813" s="1">
        <v>44944</v>
      </c>
    </row>
    <row r="3814" spans="1:7">
      <c r="A3814" t="s">
        <v>9112</v>
      </c>
      <c r="B3814">
        <v>77</v>
      </c>
      <c r="C3814" t="s">
        <v>9113</v>
      </c>
      <c r="D3814">
        <v>174454</v>
      </c>
      <c r="E3814" t="s">
        <v>12</v>
      </c>
      <c r="F3814" t="s">
        <v>9114</v>
      </c>
      <c r="G3814" s="1">
        <v>45111</v>
      </c>
    </row>
    <row r="3815" spans="1:7">
      <c r="A3815" t="s">
        <v>9115</v>
      </c>
      <c r="B3815">
        <v>49</v>
      </c>
      <c r="C3815" t="s">
        <v>9116</v>
      </c>
      <c r="D3815">
        <v>76900</v>
      </c>
      <c r="E3815" t="s">
        <v>12</v>
      </c>
      <c r="F3815" t="s">
        <v>9117</v>
      </c>
      <c r="G3815" s="1">
        <v>45183</v>
      </c>
    </row>
    <row r="3816" spans="1:7">
      <c r="A3816" t="s">
        <v>1370</v>
      </c>
      <c r="B3816">
        <v>55</v>
      </c>
      <c r="C3816" t="s">
        <v>9118</v>
      </c>
      <c r="D3816">
        <v>140966</v>
      </c>
      <c r="E3816" t="s">
        <v>27</v>
      </c>
      <c r="F3816" t="s">
        <v>9119</v>
      </c>
      <c r="G3816" s="1">
        <v>45218</v>
      </c>
    </row>
    <row r="3817" spans="1:7">
      <c r="A3817" t="s">
        <v>9120</v>
      </c>
      <c r="B3817">
        <v>21</v>
      </c>
      <c r="C3817" t="s">
        <v>9121</v>
      </c>
      <c r="D3817">
        <v>88560</v>
      </c>
      <c r="E3817" t="s">
        <v>36</v>
      </c>
      <c r="F3817" t="s">
        <v>9122</v>
      </c>
      <c r="G3817" s="1">
        <v>45075</v>
      </c>
    </row>
    <row r="3818" spans="1:7">
      <c r="A3818" t="s">
        <v>9123</v>
      </c>
      <c r="B3818">
        <v>61</v>
      </c>
      <c r="C3818" t="s">
        <v>9124</v>
      </c>
      <c r="E3818" t="s">
        <v>12</v>
      </c>
      <c r="F3818">
        <f>1-951-128-1535</f>
        <v>-2613</v>
      </c>
      <c r="G3818" s="1">
        <v>44989</v>
      </c>
    </row>
    <row r="3819" spans="1:7">
      <c r="A3819" t="s">
        <v>2510</v>
      </c>
      <c r="B3819">
        <v>-999</v>
      </c>
      <c r="C3819" t="s">
        <v>531</v>
      </c>
      <c r="D3819">
        <v>-1</v>
      </c>
      <c r="E3819" t="s">
        <v>532</v>
      </c>
      <c r="G3819" t="s">
        <v>493</v>
      </c>
    </row>
    <row r="3820" spans="1:7">
      <c r="A3820" t="s">
        <v>9125</v>
      </c>
      <c r="B3820">
        <v>60</v>
      </c>
      <c r="C3820" t="s">
        <v>9126</v>
      </c>
      <c r="D3820">
        <v>155212</v>
      </c>
      <c r="E3820" t="s">
        <v>12</v>
      </c>
      <c r="F3820">
        <v>8197295338</v>
      </c>
      <c r="G3820" s="1">
        <v>44942</v>
      </c>
    </row>
    <row r="3821" spans="1:7">
      <c r="A3821" t="s">
        <v>4503</v>
      </c>
      <c r="B3821">
        <v>34</v>
      </c>
      <c r="C3821" t="s">
        <v>9127</v>
      </c>
      <c r="E3821" t="s">
        <v>36</v>
      </c>
      <c r="F3821" t="s">
        <v>9128</v>
      </c>
      <c r="G3821" s="1">
        <v>45123</v>
      </c>
    </row>
    <row r="3822" spans="1:7">
      <c r="A3822" t="s">
        <v>9129</v>
      </c>
      <c r="B3822">
        <v>0</v>
      </c>
      <c r="C3822" t="s">
        <v>9130</v>
      </c>
      <c r="E3822" t="s">
        <v>9</v>
      </c>
      <c r="F3822" t="s">
        <v>9131</v>
      </c>
      <c r="G3822" s="1">
        <v>44927</v>
      </c>
    </row>
    <row r="3823" spans="1:7">
      <c r="A3823" t="s">
        <v>9132</v>
      </c>
      <c r="B3823">
        <v>39</v>
      </c>
      <c r="C3823" t="s">
        <v>9133</v>
      </c>
      <c r="D3823">
        <v>136379</v>
      </c>
      <c r="E3823" t="s">
        <v>27</v>
      </c>
      <c r="F3823" t="s">
        <v>9134</v>
      </c>
      <c r="G3823" s="1">
        <v>45125</v>
      </c>
    </row>
    <row r="3824" spans="1:7">
      <c r="A3824" t="s">
        <v>9135</v>
      </c>
      <c r="B3824">
        <v>55</v>
      </c>
      <c r="C3824" t="s">
        <v>9136</v>
      </c>
      <c r="D3824">
        <v>53723</v>
      </c>
      <c r="E3824" t="s">
        <v>27</v>
      </c>
      <c r="F3824">
        <f>1-687-908-4637</f>
        <v>-6231</v>
      </c>
      <c r="G3824" s="1">
        <v>45048</v>
      </c>
    </row>
    <row r="3825" spans="1:7">
      <c r="A3825" t="s">
        <v>9137</v>
      </c>
      <c r="B3825">
        <v>63</v>
      </c>
      <c r="C3825" t="s">
        <v>9138</v>
      </c>
      <c r="D3825">
        <v>178036</v>
      </c>
      <c r="E3825" t="s">
        <v>9</v>
      </c>
      <c r="F3825">
        <f>1-304-289-6759</f>
        <v>-7351</v>
      </c>
      <c r="G3825" s="1">
        <v>45110</v>
      </c>
    </row>
    <row r="3826" spans="1:7">
      <c r="A3826" t="s">
        <v>8017</v>
      </c>
      <c r="B3826">
        <v>40</v>
      </c>
      <c r="C3826" t="s">
        <v>9139</v>
      </c>
      <c r="D3826">
        <v>40751</v>
      </c>
      <c r="E3826" t="s">
        <v>36</v>
      </c>
      <c r="F3826" t="s">
        <v>9140</v>
      </c>
      <c r="G3826" s="1">
        <v>45188</v>
      </c>
    </row>
    <row r="3827" spans="1:7">
      <c r="A3827" t="s">
        <v>9141</v>
      </c>
      <c r="B3827">
        <v>74</v>
      </c>
      <c r="C3827" t="s">
        <v>9142</v>
      </c>
      <c r="D3827">
        <v>143758</v>
      </c>
      <c r="E3827" t="s">
        <v>12</v>
      </c>
      <c r="F3827">
        <f>1-503-875-9951</f>
        <v>-11328</v>
      </c>
      <c r="G3827" s="1">
        <v>45160</v>
      </c>
    </row>
    <row r="3828" spans="1:7">
      <c r="A3828" t="s">
        <v>9143</v>
      </c>
      <c r="B3828">
        <v>37</v>
      </c>
      <c r="C3828" t="s">
        <v>9144</v>
      </c>
      <c r="D3828">
        <v>182117</v>
      </c>
      <c r="E3828" t="s">
        <v>873</v>
      </c>
      <c r="F3828">
        <v>7815565318</v>
      </c>
      <c r="G3828" s="1">
        <v>45246</v>
      </c>
    </row>
    <row r="3829" spans="1:7">
      <c r="A3829" t="s">
        <v>9145</v>
      </c>
      <c r="B3829">
        <v>77</v>
      </c>
      <c r="D3829">
        <v>95641</v>
      </c>
      <c r="E3829" t="s">
        <v>27</v>
      </c>
      <c r="F3829">
        <v>2085051459</v>
      </c>
      <c r="G3829" s="1">
        <v>44976</v>
      </c>
    </row>
    <row r="3830" spans="1:7">
      <c r="A3830" t="s">
        <v>7375</v>
      </c>
      <c r="B3830">
        <v>43</v>
      </c>
      <c r="C3830" t="s">
        <v>9146</v>
      </c>
      <c r="D3830">
        <v>59320</v>
      </c>
      <c r="E3830" t="s">
        <v>27</v>
      </c>
      <c r="F3830" t="s">
        <v>9147</v>
      </c>
      <c r="G3830" s="1">
        <v>45211</v>
      </c>
    </row>
    <row r="3831" spans="1:7">
      <c r="A3831" t="s">
        <v>9148</v>
      </c>
      <c r="B3831">
        <v>21</v>
      </c>
      <c r="C3831" t="s">
        <v>9149</v>
      </c>
      <c r="D3831">
        <v>36901</v>
      </c>
      <c r="E3831" t="s">
        <v>36</v>
      </c>
      <c r="F3831" t="s">
        <v>9150</v>
      </c>
      <c r="G3831" s="1">
        <v>44956</v>
      </c>
    </row>
    <row r="3832" spans="1:7">
      <c r="A3832" t="s">
        <v>9151</v>
      </c>
      <c r="B3832">
        <v>150</v>
      </c>
      <c r="C3832" t="s">
        <v>9152</v>
      </c>
      <c r="E3832" t="s">
        <v>27</v>
      </c>
      <c r="F3832" t="s">
        <v>9153</v>
      </c>
      <c r="G3832" s="1">
        <v>45071</v>
      </c>
    </row>
    <row r="3833" spans="1:7">
      <c r="A3833" t="s">
        <v>9154</v>
      </c>
      <c r="B3833">
        <v>18</v>
      </c>
      <c r="D3833">
        <v>39637</v>
      </c>
      <c r="E3833" t="s">
        <v>12</v>
      </c>
      <c r="F3833" t="s">
        <v>9155</v>
      </c>
      <c r="G3833" s="1">
        <v>45068</v>
      </c>
    </row>
    <row r="3834" spans="1:7">
      <c r="A3834" t="s">
        <v>9156</v>
      </c>
      <c r="B3834">
        <v>55</v>
      </c>
      <c r="C3834" t="s">
        <v>594</v>
      </c>
      <c r="D3834">
        <v>95776</v>
      </c>
      <c r="E3834" t="s">
        <v>9</v>
      </c>
      <c r="F3834" t="s">
        <v>9157</v>
      </c>
      <c r="G3834" s="1">
        <v>45251</v>
      </c>
    </row>
    <row r="3835" spans="1:7">
      <c r="A3835" t="s">
        <v>9158</v>
      </c>
      <c r="B3835">
        <v>32</v>
      </c>
      <c r="C3835" t="s">
        <v>9159</v>
      </c>
      <c r="D3835">
        <v>61131</v>
      </c>
      <c r="E3835" t="s">
        <v>358</v>
      </c>
      <c r="F3835">
        <v>3070459171</v>
      </c>
      <c r="G3835" s="1">
        <v>45282</v>
      </c>
    </row>
    <row r="3836" spans="1:7">
      <c r="A3836" t="s">
        <v>9160</v>
      </c>
      <c r="B3836">
        <v>21</v>
      </c>
      <c r="C3836" t="s">
        <v>9161</v>
      </c>
      <c r="D3836">
        <v>47194</v>
      </c>
      <c r="E3836" t="s">
        <v>12</v>
      </c>
      <c r="F3836" t="s">
        <v>9162</v>
      </c>
      <c r="G3836" s="1">
        <v>45181</v>
      </c>
    </row>
    <row r="3837" spans="1:7">
      <c r="A3837" t="s">
        <v>9163</v>
      </c>
      <c r="B3837">
        <v>66</v>
      </c>
      <c r="C3837" t="s">
        <v>9164</v>
      </c>
      <c r="D3837">
        <v>151635</v>
      </c>
      <c r="E3837" t="s">
        <v>27</v>
      </c>
      <c r="F3837">
        <f>1-128-148-5963</f>
        <v>-6238</v>
      </c>
      <c r="G3837" s="1">
        <v>45133</v>
      </c>
    </row>
    <row r="3838" spans="1:7">
      <c r="A3838" t="s">
        <v>9165</v>
      </c>
      <c r="B3838">
        <v>0</v>
      </c>
      <c r="C3838" t="s">
        <v>445</v>
      </c>
      <c r="E3838" t="s">
        <v>36</v>
      </c>
      <c r="F3838" t="s">
        <v>9166</v>
      </c>
      <c r="G3838" s="1">
        <v>45270</v>
      </c>
    </row>
    <row r="3839" spans="1:7">
      <c r="A3839" t="s">
        <v>9167</v>
      </c>
      <c r="B3839">
        <v>56</v>
      </c>
      <c r="C3839" t="s">
        <v>9168</v>
      </c>
      <c r="D3839">
        <v>193539</v>
      </c>
      <c r="E3839" t="s">
        <v>9</v>
      </c>
      <c r="F3839">
        <v>9801312301</v>
      </c>
      <c r="G3839" t="s">
        <v>81</v>
      </c>
    </row>
    <row r="3840" spans="1:7">
      <c r="A3840" t="s">
        <v>9169</v>
      </c>
      <c r="B3840">
        <v>79</v>
      </c>
      <c r="C3840" t="s">
        <v>9170</v>
      </c>
      <c r="D3840">
        <v>50789</v>
      </c>
      <c r="E3840" t="s">
        <v>12</v>
      </c>
      <c r="F3840" t="s">
        <v>9171</v>
      </c>
      <c r="G3840" s="1">
        <v>44955</v>
      </c>
    </row>
    <row r="3841" spans="1:7">
      <c r="A3841" t="s">
        <v>9172</v>
      </c>
      <c r="B3841">
        <v>22</v>
      </c>
      <c r="C3841" t="s">
        <v>9173</v>
      </c>
      <c r="D3841">
        <v>85243</v>
      </c>
      <c r="E3841" t="s">
        <v>9</v>
      </c>
      <c r="G3841" s="1">
        <v>45240</v>
      </c>
    </row>
    <row r="3842" spans="1:7">
      <c r="A3842" t="s">
        <v>9174</v>
      </c>
      <c r="C3842" t="s">
        <v>9175</v>
      </c>
      <c r="D3842">
        <v>84238</v>
      </c>
      <c r="E3842" t="s">
        <v>12</v>
      </c>
      <c r="F3842" t="s">
        <v>9176</v>
      </c>
      <c r="G3842" s="1">
        <v>45214</v>
      </c>
    </row>
    <row r="3843" spans="1:7">
      <c r="A3843" t="s">
        <v>9177</v>
      </c>
      <c r="B3843">
        <v>23</v>
      </c>
      <c r="C3843" t="s">
        <v>9178</v>
      </c>
      <c r="D3843">
        <v>30074</v>
      </c>
      <c r="E3843" t="s">
        <v>12</v>
      </c>
      <c r="F3843">
        <v>3155252343</v>
      </c>
      <c r="G3843" s="1">
        <v>44931</v>
      </c>
    </row>
    <row r="3844" spans="1:7">
      <c r="A3844" t="s">
        <v>9179</v>
      </c>
      <c r="C3844" t="s">
        <v>9180</v>
      </c>
      <c r="D3844">
        <v>36041</v>
      </c>
      <c r="E3844" t="s">
        <v>12</v>
      </c>
      <c r="F3844" t="s">
        <v>9181</v>
      </c>
      <c r="G3844" s="1">
        <v>45028</v>
      </c>
    </row>
    <row r="3845" spans="1:7">
      <c r="A3845" t="s">
        <v>9182</v>
      </c>
      <c r="B3845">
        <v>46</v>
      </c>
      <c r="C3845" t="s">
        <v>9183</v>
      </c>
      <c r="D3845">
        <v>78867</v>
      </c>
      <c r="E3845" t="s">
        <v>36</v>
      </c>
      <c r="F3845" t="s">
        <v>9184</v>
      </c>
      <c r="G3845" s="1">
        <v>45112</v>
      </c>
    </row>
    <row r="3846" spans="1:7">
      <c r="A3846" t="s">
        <v>9185</v>
      </c>
      <c r="B3846">
        <v>50</v>
      </c>
      <c r="C3846" t="s">
        <v>9186</v>
      </c>
      <c r="D3846">
        <v>40278</v>
      </c>
      <c r="E3846" t="s">
        <v>27</v>
      </c>
      <c r="F3846">
        <v>7467776722</v>
      </c>
      <c r="G3846" t="s">
        <v>1627</v>
      </c>
    </row>
    <row r="3847" spans="1:7">
      <c r="A3847" t="s">
        <v>9187</v>
      </c>
      <c r="B3847">
        <v>62</v>
      </c>
      <c r="C3847" t="s">
        <v>9188</v>
      </c>
      <c r="D3847">
        <v>174926</v>
      </c>
      <c r="E3847" t="s">
        <v>9</v>
      </c>
      <c r="F3847">
        <v>1595776128</v>
      </c>
      <c r="G3847" s="1">
        <v>45217</v>
      </c>
    </row>
    <row r="3848" spans="1:7">
      <c r="A3848" t="s">
        <v>9189</v>
      </c>
      <c r="B3848">
        <v>36</v>
      </c>
      <c r="C3848" t="s">
        <v>9190</v>
      </c>
      <c r="D3848">
        <v>190185</v>
      </c>
      <c r="E3848" t="s">
        <v>9</v>
      </c>
      <c r="G3848" s="1">
        <v>44944</v>
      </c>
    </row>
    <row r="3849" spans="1:7">
      <c r="A3849" t="s">
        <v>9191</v>
      </c>
      <c r="B3849">
        <v>70</v>
      </c>
      <c r="C3849" t="s">
        <v>61</v>
      </c>
      <c r="D3849">
        <v>112806</v>
      </c>
      <c r="E3849" t="s">
        <v>12</v>
      </c>
      <c r="F3849" t="s">
        <v>9192</v>
      </c>
      <c r="G3849" s="1">
        <v>45215</v>
      </c>
    </row>
    <row r="3850" spans="1:7">
      <c r="A3850" t="s">
        <v>9193</v>
      </c>
      <c r="B3850">
        <v>75</v>
      </c>
      <c r="C3850" t="s">
        <v>9194</v>
      </c>
      <c r="E3850" t="s">
        <v>12</v>
      </c>
      <c r="F3850" t="s">
        <v>9195</v>
      </c>
      <c r="G3850" s="1">
        <v>45249</v>
      </c>
    </row>
    <row r="3851" spans="1:7">
      <c r="A3851" t="s">
        <v>9196</v>
      </c>
      <c r="B3851">
        <v>75</v>
      </c>
      <c r="C3851" t="s">
        <v>9197</v>
      </c>
      <c r="D3851">
        <v>172979</v>
      </c>
      <c r="E3851" t="s">
        <v>27</v>
      </c>
      <c r="F3851" t="s">
        <v>9198</v>
      </c>
      <c r="G3851" s="1">
        <v>44936</v>
      </c>
    </row>
    <row r="3852" spans="1:7">
      <c r="A3852" t="s">
        <v>9199</v>
      </c>
      <c r="B3852">
        <v>32</v>
      </c>
      <c r="C3852" t="s">
        <v>389</v>
      </c>
      <c r="E3852" t="s">
        <v>12</v>
      </c>
      <c r="G3852" s="1">
        <v>45125</v>
      </c>
    </row>
    <row r="3853" spans="1:7">
      <c r="A3853" t="s">
        <v>9200</v>
      </c>
      <c r="B3853">
        <v>44</v>
      </c>
      <c r="C3853" t="s">
        <v>9201</v>
      </c>
      <c r="D3853">
        <v>89993</v>
      </c>
      <c r="E3853" t="s">
        <v>9</v>
      </c>
      <c r="F3853" t="s">
        <v>9202</v>
      </c>
      <c r="G3853" s="1">
        <v>45281</v>
      </c>
    </row>
    <row r="3854" spans="1:7">
      <c r="A3854" t="s">
        <v>9203</v>
      </c>
      <c r="B3854">
        <v>32</v>
      </c>
      <c r="C3854" t="s">
        <v>170</v>
      </c>
      <c r="D3854">
        <v>198733</v>
      </c>
      <c r="E3854" t="s">
        <v>9</v>
      </c>
      <c r="F3854" t="s">
        <v>9204</v>
      </c>
      <c r="G3854" s="1">
        <v>44952</v>
      </c>
    </row>
    <row r="3855" spans="1:7">
      <c r="A3855" t="s">
        <v>9205</v>
      </c>
      <c r="B3855">
        <v>64</v>
      </c>
      <c r="C3855" t="s">
        <v>9206</v>
      </c>
      <c r="E3855" t="s">
        <v>9</v>
      </c>
      <c r="F3855" t="s">
        <v>9207</v>
      </c>
      <c r="G3855" s="1">
        <v>45063</v>
      </c>
    </row>
    <row r="3856" spans="1:7">
      <c r="A3856" t="s">
        <v>9208</v>
      </c>
      <c r="B3856">
        <v>50</v>
      </c>
      <c r="C3856" t="s">
        <v>9209</v>
      </c>
      <c r="E3856" t="s">
        <v>12</v>
      </c>
      <c r="F3856" t="s">
        <v>9210</v>
      </c>
      <c r="G3856" s="1">
        <v>45109</v>
      </c>
    </row>
    <row r="3857" spans="1:7">
      <c r="A3857" t="s">
        <v>9211</v>
      </c>
      <c r="C3857" t="s">
        <v>115</v>
      </c>
      <c r="D3857">
        <v>159529</v>
      </c>
      <c r="E3857" t="s">
        <v>12</v>
      </c>
      <c r="F3857">
        <f>1-113-776-3930</f>
        <v>-4818</v>
      </c>
      <c r="G3857" s="1">
        <v>44962</v>
      </c>
    </row>
    <row r="3858" spans="1:7">
      <c r="A3858" t="s">
        <v>9212</v>
      </c>
      <c r="B3858">
        <v>43</v>
      </c>
      <c r="C3858" t="s">
        <v>9213</v>
      </c>
      <c r="D3858">
        <v>56619</v>
      </c>
      <c r="E3858" t="s">
        <v>27</v>
      </c>
      <c r="F3858" t="s">
        <v>9214</v>
      </c>
      <c r="G3858" s="1">
        <v>44929</v>
      </c>
    </row>
    <row r="3859" spans="1:7">
      <c r="A3859" t="s">
        <v>9215</v>
      </c>
      <c r="B3859">
        <v>53</v>
      </c>
      <c r="C3859" t="s">
        <v>9216</v>
      </c>
      <c r="D3859">
        <v>33114</v>
      </c>
      <c r="E3859" t="s">
        <v>12</v>
      </c>
      <c r="F3859">
        <f>1-526-757-7487</f>
        <v>-8769</v>
      </c>
      <c r="G3859" s="1">
        <v>45089</v>
      </c>
    </row>
    <row r="3860" spans="1:7">
      <c r="A3860" t="s">
        <v>9217</v>
      </c>
      <c r="B3860">
        <v>-25</v>
      </c>
      <c r="C3860" t="s">
        <v>9218</v>
      </c>
      <c r="D3860">
        <v>55345</v>
      </c>
      <c r="E3860" t="s">
        <v>36</v>
      </c>
      <c r="F3860" t="s">
        <v>9219</v>
      </c>
      <c r="G3860" s="1">
        <v>45086</v>
      </c>
    </row>
    <row r="3861" spans="1:7">
      <c r="A3861" t="s">
        <v>9220</v>
      </c>
      <c r="B3861">
        <v>68</v>
      </c>
      <c r="C3861" t="s">
        <v>9221</v>
      </c>
      <c r="D3861">
        <v>80599</v>
      </c>
      <c r="E3861" t="s">
        <v>36</v>
      </c>
      <c r="F3861">
        <v>8265726536</v>
      </c>
      <c r="G3861" s="1">
        <v>45134</v>
      </c>
    </row>
    <row r="3862" spans="1:7">
      <c r="A3862" t="s">
        <v>9222</v>
      </c>
      <c r="B3862">
        <v>51</v>
      </c>
      <c r="C3862" t="s">
        <v>9223</v>
      </c>
      <c r="D3862">
        <v>38997</v>
      </c>
      <c r="E3862" t="s">
        <v>12</v>
      </c>
      <c r="F3862" t="s">
        <v>9224</v>
      </c>
      <c r="G3862" s="1">
        <v>45024</v>
      </c>
    </row>
    <row r="3863" spans="1:7">
      <c r="A3863" t="s">
        <v>9225</v>
      </c>
      <c r="B3863">
        <v>0</v>
      </c>
      <c r="C3863" t="s">
        <v>9226</v>
      </c>
      <c r="D3863">
        <v>169784</v>
      </c>
      <c r="E3863" t="s">
        <v>9</v>
      </c>
      <c r="F3863">
        <v>5999961449</v>
      </c>
      <c r="G3863" s="1">
        <v>45110</v>
      </c>
    </row>
    <row r="3864" spans="1:7">
      <c r="A3864" t="s">
        <v>5132</v>
      </c>
      <c r="B3864">
        <v>18</v>
      </c>
      <c r="C3864" t="s">
        <v>17</v>
      </c>
      <c r="D3864">
        <v>188097</v>
      </c>
      <c r="E3864" t="s">
        <v>27</v>
      </c>
      <c r="F3864" t="s">
        <v>9227</v>
      </c>
      <c r="G3864" s="1">
        <v>44956</v>
      </c>
    </row>
    <row r="3865" spans="1:7">
      <c r="A3865" t="s">
        <v>9228</v>
      </c>
      <c r="B3865">
        <v>63</v>
      </c>
      <c r="C3865" t="s">
        <v>9229</v>
      </c>
      <c r="D3865">
        <v>0</v>
      </c>
      <c r="E3865" t="s">
        <v>27</v>
      </c>
      <c r="F3865" t="s">
        <v>9230</v>
      </c>
      <c r="G3865" s="1">
        <v>45016</v>
      </c>
    </row>
    <row r="3866" spans="1:7">
      <c r="A3866" t="s">
        <v>9231</v>
      </c>
      <c r="B3866">
        <v>61</v>
      </c>
      <c r="C3866" t="s">
        <v>9232</v>
      </c>
      <c r="D3866">
        <v>70149</v>
      </c>
      <c r="E3866" t="s">
        <v>358</v>
      </c>
      <c r="F3866" t="s">
        <v>9233</v>
      </c>
      <c r="G3866" s="1">
        <v>45257</v>
      </c>
    </row>
    <row r="3867" spans="1:7">
      <c r="A3867" t="s">
        <v>9234</v>
      </c>
      <c r="B3867">
        <v>31</v>
      </c>
      <c r="C3867" t="s">
        <v>9235</v>
      </c>
      <c r="D3867">
        <v>196964</v>
      </c>
      <c r="E3867" t="s">
        <v>12</v>
      </c>
      <c r="F3867">
        <f>1-970-226-2588</f>
        <v>-3783</v>
      </c>
      <c r="G3867" s="1">
        <v>44984</v>
      </c>
    </row>
    <row r="3868" spans="1:7">
      <c r="A3868" t="s">
        <v>9236</v>
      </c>
      <c r="B3868">
        <v>64</v>
      </c>
      <c r="C3868" t="s">
        <v>9237</v>
      </c>
      <c r="D3868">
        <v>89778</v>
      </c>
      <c r="E3868" t="s">
        <v>9</v>
      </c>
      <c r="G3868" s="1">
        <v>45030</v>
      </c>
    </row>
    <row r="3869" spans="1:7">
      <c r="A3869" t="s">
        <v>9238</v>
      </c>
      <c r="B3869">
        <v>61</v>
      </c>
      <c r="C3869" t="s">
        <v>9239</v>
      </c>
      <c r="D3869">
        <v>91240</v>
      </c>
      <c r="E3869" t="s">
        <v>27</v>
      </c>
      <c r="G3869" s="1">
        <v>45020</v>
      </c>
    </row>
    <row r="3870" spans="1:7">
      <c r="A3870" t="s">
        <v>9240</v>
      </c>
      <c r="B3870">
        <v>75</v>
      </c>
      <c r="C3870" t="s">
        <v>9241</v>
      </c>
      <c r="D3870">
        <v>194530</v>
      </c>
      <c r="E3870" t="s">
        <v>36</v>
      </c>
      <c r="F3870" t="s">
        <v>9242</v>
      </c>
      <c r="G3870" s="1">
        <v>44943</v>
      </c>
    </row>
    <row r="3871" spans="1:7">
      <c r="A3871" t="s">
        <v>9243</v>
      </c>
      <c r="B3871">
        <v>25</v>
      </c>
      <c r="C3871" t="s">
        <v>9244</v>
      </c>
      <c r="D3871">
        <v>119787</v>
      </c>
      <c r="E3871" t="s">
        <v>12</v>
      </c>
      <c r="G3871" s="1">
        <v>45282</v>
      </c>
    </row>
    <row r="3872" spans="1:7">
      <c r="A3872" t="s">
        <v>9245</v>
      </c>
      <c r="B3872">
        <v>34</v>
      </c>
      <c r="D3872">
        <v>155851</v>
      </c>
      <c r="E3872" t="s">
        <v>27</v>
      </c>
      <c r="F3872" t="s">
        <v>9246</v>
      </c>
      <c r="G3872" s="1">
        <v>45238</v>
      </c>
    </row>
    <row r="3873" spans="1:7">
      <c r="A3873" t="s">
        <v>9247</v>
      </c>
      <c r="B3873">
        <v>42</v>
      </c>
      <c r="C3873" t="s">
        <v>9248</v>
      </c>
      <c r="D3873">
        <v>179696</v>
      </c>
      <c r="E3873" t="s">
        <v>36</v>
      </c>
      <c r="F3873">
        <f>1-255-197-7408</f>
        <v>-7859</v>
      </c>
      <c r="G3873" s="1">
        <v>45267</v>
      </c>
    </row>
    <row r="3874" spans="1:7">
      <c r="A3874" t="s">
        <v>9249</v>
      </c>
      <c r="B3874">
        <v>45</v>
      </c>
      <c r="D3874">
        <v>183470</v>
      </c>
      <c r="E3874" t="s">
        <v>9</v>
      </c>
      <c r="G3874" s="1">
        <v>45030</v>
      </c>
    </row>
    <row r="3875" spans="1:7">
      <c r="A3875" t="s">
        <v>9250</v>
      </c>
      <c r="B3875">
        <v>70</v>
      </c>
      <c r="C3875" t="s">
        <v>9251</v>
      </c>
      <c r="D3875">
        <v>63085</v>
      </c>
      <c r="E3875" t="s">
        <v>27</v>
      </c>
      <c r="F3875" t="s">
        <v>9252</v>
      </c>
      <c r="G3875" s="1">
        <v>45133</v>
      </c>
    </row>
    <row r="3876" spans="1:7">
      <c r="A3876" t="s">
        <v>9253</v>
      </c>
      <c r="B3876">
        <v>38</v>
      </c>
      <c r="C3876" t="s">
        <v>9254</v>
      </c>
      <c r="D3876">
        <v>74036</v>
      </c>
      <c r="E3876" t="s">
        <v>27</v>
      </c>
      <c r="F3876" t="s">
        <v>9255</v>
      </c>
      <c r="G3876" s="1">
        <v>44991</v>
      </c>
    </row>
    <row r="3877" spans="1:7">
      <c r="A3877" t="s">
        <v>9256</v>
      </c>
      <c r="B3877">
        <v>59</v>
      </c>
      <c r="C3877" t="s">
        <v>9257</v>
      </c>
      <c r="D3877">
        <v>134245</v>
      </c>
      <c r="E3877" t="s">
        <v>27</v>
      </c>
      <c r="F3877" t="s">
        <v>9258</v>
      </c>
      <c r="G3877" s="1">
        <v>44999</v>
      </c>
    </row>
    <row r="3878" spans="1:7">
      <c r="A3878" t="s">
        <v>9259</v>
      </c>
      <c r="B3878">
        <v>58</v>
      </c>
      <c r="C3878" t="s">
        <v>9260</v>
      </c>
      <c r="D3878">
        <v>-5000</v>
      </c>
      <c r="E3878" t="s">
        <v>9</v>
      </c>
      <c r="F3878">
        <v>1364922725</v>
      </c>
      <c r="G3878" s="1">
        <v>44948</v>
      </c>
    </row>
    <row r="3879" spans="1:7">
      <c r="A3879" t="s">
        <v>9261</v>
      </c>
      <c r="B3879">
        <v>72</v>
      </c>
      <c r="C3879" t="s">
        <v>9262</v>
      </c>
      <c r="D3879">
        <v>145600</v>
      </c>
      <c r="E3879" t="s">
        <v>36</v>
      </c>
      <c r="F3879" t="s">
        <v>9263</v>
      </c>
      <c r="G3879" s="1">
        <v>45194</v>
      </c>
    </row>
    <row r="3880" spans="1:7">
      <c r="A3880" t="s">
        <v>9264</v>
      </c>
      <c r="B3880">
        <v>43</v>
      </c>
      <c r="C3880" t="s">
        <v>9265</v>
      </c>
      <c r="D3880">
        <v>174821</v>
      </c>
      <c r="E3880" t="s">
        <v>36</v>
      </c>
      <c r="F3880" t="s">
        <v>9266</v>
      </c>
      <c r="G3880" s="1">
        <v>45080</v>
      </c>
    </row>
    <row r="3881" spans="1:7">
      <c r="A3881" t="s">
        <v>9267</v>
      </c>
      <c r="B3881">
        <v>76</v>
      </c>
      <c r="C3881" t="s">
        <v>9268</v>
      </c>
      <c r="D3881">
        <v>128300</v>
      </c>
      <c r="E3881" t="s">
        <v>27</v>
      </c>
      <c r="F3881" t="s">
        <v>9269</v>
      </c>
      <c r="G3881" s="1">
        <v>45126</v>
      </c>
    </row>
    <row r="3882" spans="1:7">
      <c r="A3882" t="s">
        <v>9270</v>
      </c>
      <c r="C3882" t="s">
        <v>9271</v>
      </c>
      <c r="E3882" t="s">
        <v>12</v>
      </c>
      <c r="F3882">
        <f>1-769-841-1798</f>
        <v>-3407</v>
      </c>
      <c r="G3882" s="1">
        <v>45075</v>
      </c>
    </row>
    <row r="3883" spans="1:7">
      <c r="A3883" t="s">
        <v>9272</v>
      </c>
      <c r="B3883">
        <v>20</v>
      </c>
      <c r="C3883" t="s">
        <v>9273</v>
      </c>
      <c r="D3883">
        <v>0</v>
      </c>
      <c r="E3883" t="s">
        <v>12</v>
      </c>
      <c r="F3883" t="s">
        <v>9274</v>
      </c>
      <c r="G3883" t="s">
        <v>422</v>
      </c>
    </row>
    <row r="3884" spans="1:7">
      <c r="A3884" t="s">
        <v>9275</v>
      </c>
      <c r="B3884">
        <v>48</v>
      </c>
      <c r="C3884" t="s">
        <v>9276</v>
      </c>
      <c r="D3884">
        <v>-50000</v>
      </c>
      <c r="E3884" t="s">
        <v>27</v>
      </c>
      <c r="F3884">
        <f>1-136-313-4760</f>
        <v>-5208</v>
      </c>
      <c r="G3884" s="1">
        <v>45092</v>
      </c>
    </row>
    <row r="3885" spans="1:7">
      <c r="A3885" t="s">
        <v>9277</v>
      </c>
      <c r="B3885">
        <v>59</v>
      </c>
      <c r="C3885" t="s">
        <v>9278</v>
      </c>
      <c r="D3885">
        <v>85103</v>
      </c>
      <c r="E3885" t="s">
        <v>27</v>
      </c>
      <c r="F3885" t="s">
        <v>9279</v>
      </c>
      <c r="G3885" s="1">
        <v>45050</v>
      </c>
    </row>
    <row r="3886" spans="1:7">
      <c r="A3886" t="s">
        <v>9280</v>
      </c>
      <c r="B3886">
        <v>66</v>
      </c>
      <c r="D3886">
        <v>104055</v>
      </c>
      <c r="E3886" t="s">
        <v>9</v>
      </c>
      <c r="F3886" t="s">
        <v>9281</v>
      </c>
      <c r="G3886" s="1">
        <v>45122</v>
      </c>
    </row>
    <row r="3887" spans="1:7">
      <c r="A3887" t="s">
        <v>9282</v>
      </c>
      <c r="B3887">
        <v>54</v>
      </c>
      <c r="C3887" t="s">
        <v>9283</v>
      </c>
      <c r="D3887">
        <v>37371</v>
      </c>
      <c r="E3887" t="s">
        <v>36</v>
      </c>
      <c r="F3887" t="s">
        <v>9284</v>
      </c>
      <c r="G3887" s="1">
        <v>45044</v>
      </c>
    </row>
    <row r="3888" spans="1:7">
      <c r="A3888" t="s">
        <v>9285</v>
      </c>
      <c r="B3888">
        <v>-5</v>
      </c>
      <c r="C3888" t="s">
        <v>9286</v>
      </c>
      <c r="D3888">
        <v>182236</v>
      </c>
      <c r="E3888" t="s">
        <v>12</v>
      </c>
      <c r="F3888" t="s">
        <v>9287</v>
      </c>
      <c r="G3888" s="1">
        <v>45148</v>
      </c>
    </row>
    <row r="3889" spans="1:7">
      <c r="A3889" t="s">
        <v>9288</v>
      </c>
      <c r="B3889">
        <v>0</v>
      </c>
      <c r="D3889">
        <v>139876</v>
      </c>
      <c r="E3889" t="s">
        <v>36</v>
      </c>
      <c r="F3889" t="s">
        <v>9289</v>
      </c>
      <c r="G3889" s="1">
        <v>44928</v>
      </c>
    </row>
    <row r="3890" spans="1:7">
      <c r="A3890" t="s">
        <v>9290</v>
      </c>
      <c r="B3890">
        <v>42</v>
      </c>
      <c r="C3890" t="s">
        <v>9291</v>
      </c>
      <c r="D3890">
        <v>94384</v>
      </c>
      <c r="E3890" t="s">
        <v>18</v>
      </c>
      <c r="G3890" s="1">
        <v>45251</v>
      </c>
    </row>
    <row r="3891" spans="1:7">
      <c r="A3891" t="s">
        <v>9292</v>
      </c>
      <c r="B3891">
        <v>64</v>
      </c>
      <c r="C3891" t="s">
        <v>9293</v>
      </c>
      <c r="D3891">
        <v>35842</v>
      </c>
      <c r="E3891" t="s">
        <v>27</v>
      </c>
      <c r="F3891">
        <f>1-262-593-7288</f>
        <v>-8142</v>
      </c>
      <c r="G3891" s="1">
        <v>45176</v>
      </c>
    </row>
    <row r="3892" spans="1:7">
      <c r="A3892" t="s">
        <v>9294</v>
      </c>
      <c r="B3892">
        <v>54</v>
      </c>
      <c r="C3892" t="s">
        <v>9295</v>
      </c>
      <c r="E3892" t="s">
        <v>36</v>
      </c>
      <c r="F3892">
        <v>2958623078</v>
      </c>
      <c r="G3892" s="1">
        <v>45270</v>
      </c>
    </row>
    <row r="3893" spans="1:7">
      <c r="A3893" t="s">
        <v>9296</v>
      </c>
      <c r="B3893">
        <v>24</v>
      </c>
      <c r="C3893" t="s">
        <v>9297</v>
      </c>
      <c r="D3893">
        <v>181022</v>
      </c>
      <c r="E3893" t="s">
        <v>36</v>
      </c>
      <c r="F3893">
        <f>1-734-833-9038</f>
        <v>-10604</v>
      </c>
      <c r="G3893" s="1">
        <v>44931</v>
      </c>
    </row>
    <row r="3894" spans="1:7">
      <c r="A3894" t="s">
        <v>9298</v>
      </c>
      <c r="B3894">
        <v>22</v>
      </c>
      <c r="C3894" t="s">
        <v>9299</v>
      </c>
      <c r="E3894" t="s">
        <v>36</v>
      </c>
      <c r="F3894">
        <v>6256884496</v>
      </c>
      <c r="G3894" s="1">
        <v>45012</v>
      </c>
    </row>
    <row r="3895" spans="1:7">
      <c r="A3895" t="s">
        <v>1964</v>
      </c>
      <c r="B3895">
        <v>71</v>
      </c>
      <c r="C3895" t="s">
        <v>9300</v>
      </c>
      <c r="D3895">
        <v>159863</v>
      </c>
      <c r="E3895" t="s">
        <v>27</v>
      </c>
      <c r="F3895" t="s">
        <v>9301</v>
      </c>
      <c r="G3895" s="1">
        <v>45071</v>
      </c>
    </row>
    <row r="3896" spans="1:7">
      <c r="A3896" t="s">
        <v>9302</v>
      </c>
      <c r="B3896">
        <v>18</v>
      </c>
      <c r="C3896" t="s">
        <v>9303</v>
      </c>
      <c r="D3896">
        <v>187753</v>
      </c>
      <c r="E3896" t="s">
        <v>9</v>
      </c>
      <c r="F3896" t="s">
        <v>9304</v>
      </c>
      <c r="G3896" s="1">
        <v>44990</v>
      </c>
    </row>
    <row r="3897" spans="1:7">
      <c r="A3897" t="s">
        <v>9305</v>
      </c>
      <c r="B3897">
        <v>25</v>
      </c>
      <c r="C3897" t="s">
        <v>9306</v>
      </c>
      <c r="D3897">
        <v>188199</v>
      </c>
      <c r="E3897" t="s">
        <v>12</v>
      </c>
      <c r="F3897" t="s">
        <v>9307</v>
      </c>
      <c r="G3897" s="1">
        <v>45144</v>
      </c>
    </row>
    <row r="3898" spans="1:7">
      <c r="B3898">
        <v>57</v>
      </c>
      <c r="C3898" t="s">
        <v>9308</v>
      </c>
      <c r="D3898">
        <v>133535</v>
      </c>
      <c r="E3898" t="s">
        <v>36</v>
      </c>
      <c r="F3898" t="s">
        <v>9309</v>
      </c>
      <c r="G3898" s="1">
        <v>45051</v>
      </c>
    </row>
    <row r="3899" spans="1:7">
      <c r="A3899" t="s">
        <v>9310</v>
      </c>
      <c r="B3899">
        <v>73</v>
      </c>
      <c r="C3899" t="s">
        <v>9311</v>
      </c>
      <c r="D3899">
        <v>64753</v>
      </c>
      <c r="E3899" t="s">
        <v>12</v>
      </c>
      <c r="F3899" t="s">
        <v>9312</v>
      </c>
      <c r="G3899" s="1">
        <v>45221</v>
      </c>
    </row>
    <row r="3900" spans="1:7">
      <c r="A3900" t="s">
        <v>9313</v>
      </c>
      <c r="B3900">
        <v>21</v>
      </c>
      <c r="C3900" t="s">
        <v>9314</v>
      </c>
      <c r="D3900">
        <v>145721</v>
      </c>
      <c r="E3900" t="s">
        <v>12</v>
      </c>
      <c r="F3900" t="s">
        <v>9315</v>
      </c>
      <c r="G3900" s="1">
        <v>45202</v>
      </c>
    </row>
    <row r="3901" spans="1:7">
      <c r="A3901" t="s">
        <v>9316</v>
      </c>
      <c r="B3901">
        <v>45</v>
      </c>
      <c r="D3901">
        <v>172226</v>
      </c>
      <c r="E3901" t="s">
        <v>36</v>
      </c>
      <c r="F3901" t="s">
        <v>9317</v>
      </c>
      <c r="G3901" s="1">
        <v>45057</v>
      </c>
    </row>
    <row r="3902" spans="1:7">
      <c r="A3902" t="s">
        <v>9318</v>
      </c>
      <c r="B3902">
        <v>54</v>
      </c>
      <c r="C3902" t="s">
        <v>9319</v>
      </c>
      <c r="D3902">
        <v>181599</v>
      </c>
      <c r="E3902" t="s">
        <v>27</v>
      </c>
      <c r="F3902" t="s">
        <v>9320</v>
      </c>
      <c r="G3902" s="1">
        <v>45203</v>
      </c>
    </row>
    <row r="3903" spans="1:7">
      <c r="A3903" t="s">
        <v>2271</v>
      </c>
      <c r="B3903">
        <v>49</v>
      </c>
      <c r="C3903" t="s">
        <v>9321</v>
      </c>
      <c r="D3903">
        <v>186625</v>
      </c>
      <c r="E3903" t="s">
        <v>12</v>
      </c>
      <c r="F3903" t="s">
        <v>9322</v>
      </c>
      <c r="G3903" s="1">
        <v>45147</v>
      </c>
    </row>
    <row r="3904" spans="1:7">
      <c r="A3904" t="s">
        <v>9323</v>
      </c>
      <c r="B3904">
        <v>41</v>
      </c>
      <c r="C3904" t="s">
        <v>9324</v>
      </c>
      <c r="D3904">
        <v>97313</v>
      </c>
      <c r="E3904" t="s">
        <v>27</v>
      </c>
      <c r="F3904" t="s">
        <v>9325</v>
      </c>
      <c r="G3904" s="1">
        <v>45191</v>
      </c>
    </row>
    <row r="3905" spans="1:7">
      <c r="A3905" t="s">
        <v>9326</v>
      </c>
      <c r="B3905">
        <v>35</v>
      </c>
      <c r="C3905" t="s">
        <v>299</v>
      </c>
      <c r="D3905">
        <v>145260</v>
      </c>
      <c r="E3905" t="s">
        <v>9</v>
      </c>
      <c r="F3905">
        <f>1-317-696-2291</f>
        <v>-3303</v>
      </c>
      <c r="G3905" s="1">
        <v>45239</v>
      </c>
    </row>
    <row r="3906" spans="1:7">
      <c r="A3906" t="s">
        <v>9327</v>
      </c>
      <c r="B3906">
        <v>48</v>
      </c>
      <c r="C3906" t="s">
        <v>9328</v>
      </c>
      <c r="E3906" t="s">
        <v>27</v>
      </c>
      <c r="G3906" s="1">
        <v>44951</v>
      </c>
    </row>
    <row r="3907" spans="1:7">
      <c r="A3907" t="s">
        <v>9329</v>
      </c>
      <c r="B3907">
        <v>79</v>
      </c>
      <c r="C3907" t="s">
        <v>9330</v>
      </c>
      <c r="D3907">
        <v>57076</v>
      </c>
      <c r="E3907" t="s">
        <v>12</v>
      </c>
      <c r="F3907">
        <f>1-470-983-9842</f>
        <v>-11294</v>
      </c>
      <c r="G3907" s="1">
        <v>44943</v>
      </c>
    </row>
    <row r="3908" spans="1:7">
      <c r="A3908" t="s">
        <v>9331</v>
      </c>
      <c r="B3908">
        <v>38</v>
      </c>
      <c r="C3908" t="s">
        <v>9332</v>
      </c>
      <c r="D3908">
        <v>32795</v>
      </c>
      <c r="E3908" t="s">
        <v>27</v>
      </c>
      <c r="F3908">
        <v>8756674382</v>
      </c>
      <c r="G3908" s="1">
        <v>45131</v>
      </c>
    </row>
    <row r="3909" spans="1:7">
      <c r="A3909" t="s">
        <v>8791</v>
      </c>
      <c r="B3909">
        <v>67</v>
      </c>
      <c r="C3909" t="s">
        <v>445</v>
      </c>
      <c r="D3909">
        <v>189034</v>
      </c>
      <c r="E3909" t="s">
        <v>12</v>
      </c>
      <c r="F3909" t="s">
        <v>9333</v>
      </c>
      <c r="G3909" s="1">
        <v>44927</v>
      </c>
    </row>
    <row r="3910" spans="1:7">
      <c r="A3910" t="s">
        <v>9334</v>
      </c>
      <c r="B3910">
        <v>68</v>
      </c>
      <c r="C3910" t="s">
        <v>9335</v>
      </c>
      <c r="D3910">
        <v>144159</v>
      </c>
      <c r="E3910" t="s">
        <v>9</v>
      </c>
      <c r="F3910" t="s">
        <v>9336</v>
      </c>
      <c r="G3910" s="1">
        <v>45240</v>
      </c>
    </row>
    <row r="3911" spans="1:7">
      <c r="A3911" t="s">
        <v>9337</v>
      </c>
      <c r="B3911">
        <v>63</v>
      </c>
      <c r="C3911" t="s">
        <v>9338</v>
      </c>
      <c r="D3911">
        <v>169718</v>
      </c>
      <c r="E3911" t="s">
        <v>36</v>
      </c>
      <c r="F3911" t="s">
        <v>9339</v>
      </c>
      <c r="G3911" s="1">
        <v>44928</v>
      </c>
    </row>
    <row r="3912" spans="1:7">
      <c r="A3912" t="s">
        <v>9340</v>
      </c>
      <c r="B3912">
        <v>18</v>
      </c>
      <c r="D3912">
        <v>59709</v>
      </c>
      <c r="E3912" t="s">
        <v>9</v>
      </c>
      <c r="F3912">
        <f>1-269-277-4610</f>
        <v>-5155</v>
      </c>
      <c r="G3912" t="s">
        <v>3963</v>
      </c>
    </row>
    <row r="3913" spans="1:7">
      <c r="A3913" t="s">
        <v>9341</v>
      </c>
      <c r="B3913">
        <v>74</v>
      </c>
      <c r="C3913" t="s">
        <v>9342</v>
      </c>
      <c r="D3913">
        <v>170202</v>
      </c>
      <c r="E3913" t="s">
        <v>12</v>
      </c>
      <c r="F3913" t="s">
        <v>9343</v>
      </c>
      <c r="G3913" s="1">
        <v>45128</v>
      </c>
    </row>
    <row r="3914" spans="1:7">
      <c r="A3914" t="s">
        <v>9344</v>
      </c>
      <c r="B3914">
        <v>46</v>
      </c>
      <c r="C3914" t="s">
        <v>9345</v>
      </c>
      <c r="D3914">
        <v>38024</v>
      </c>
      <c r="E3914" t="s">
        <v>27</v>
      </c>
      <c r="F3914" t="s">
        <v>9346</v>
      </c>
      <c r="G3914" s="1">
        <v>45113</v>
      </c>
    </row>
    <row r="3915" spans="1:7">
      <c r="A3915" t="s">
        <v>9347</v>
      </c>
      <c r="B3915">
        <v>64</v>
      </c>
      <c r="C3915" t="s">
        <v>9348</v>
      </c>
      <c r="E3915" t="s">
        <v>9</v>
      </c>
      <c r="F3915">
        <f>1-316-705-6259</f>
        <v>-7279</v>
      </c>
      <c r="G3915" s="1">
        <v>45013</v>
      </c>
    </row>
    <row r="3916" spans="1:7">
      <c r="A3916" t="s">
        <v>9349</v>
      </c>
      <c r="B3916">
        <v>51</v>
      </c>
      <c r="C3916" t="s">
        <v>9350</v>
      </c>
      <c r="D3916">
        <v>76219</v>
      </c>
      <c r="E3916" t="s">
        <v>27</v>
      </c>
      <c r="F3916" t="s">
        <v>9351</v>
      </c>
      <c r="G3916" t="s">
        <v>483</v>
      </c>
    </row>
    <row r="3917" spans="1:7">
      <c r="A3917" t="s">
        <v>9352</v>
      </c>
      <c r="B3917">
        <v>21</v>
      </c>
      <c r="C3917" t="s">
        <v>9353</v>
      </c>
      <c r="D3917">
        <v>184226</v>
      </c>
      <c r="E3917" t="s">
        <v>27</v>
      </c>
      <c r="F3917">
        <v>3092479645</v>
      </c>
      <c r="G3917" s="1">
        <v>45286</v>
      </c>
    </row>
    <row r="3918" spans="1:7">
      <c r="A3918" t="s">
        <v>9354</v>
      </c>
      <c r="B3918">
        <v>19</v>
      </c>
      <c r="C3918" t="s">
        <v>9355</v>
      </c>
      <c r="D3918">
        <v>176312</v>
      </c>
      <c r="E3918" t="s">
        <v>12</v>
      </c>
      <c r="F3918" t="s">
        <v>9356</v>
      </c>
      <c r="G3918" s="1">
        <v>45065</v>
      </c>
    </row>
    <row r="3919" spans="1:7">
      <c r="A3919" t="s">
        <v>9357</v>
      </c>
      <c r="B3919">
        <v>52</v>
      </c>
      <c r="D3919">
        <v>48667</v>
      </c>
      <c r="E3919" t="s">
        <v>36</v>
      </c>
      <c r="F3919" t="s">
        <v>9358</v>
      </c>
      <c r="G3919" s="1">
        <v>45234</v>
      </c>
    </row>
    <row r="3920" spans="1:7">
      <c r="A3920" t="s">
        <v>9359</v>
      </c>
      <c r="B3920">
        <v>200</v>
      </c>
      <c r="C3920" t="s">
        <v>9360</v>
      </c>
      <c r="E3920" t="s">
        <v>9</v>
      </c>
      <c r="F3920" t="s">
        <v>9361</v>
      </c>
      <c r="G3920" s="1">
        <v>45017</v>
      </c>
    </row>
    <row r="3921" spans="1:7">
      <c r="A3921" t="s">
        <v>9362</v>
      </c>
      <c r="B3921">
        <v>36</v>
      </c>
      <c r="C3921" t="s">
        <v>9363</v>
      </c>
      <c r="D3921">
        <v>-10000</v>
      </c>
      <c r="E3921" t="s">
        <v>9</v>
      </c>
      <c r="F3921" t="s">
        <v>9364</v>
      </c>
      <c r="G3921" s="1">
        <v>45059</v>
      </c>
    </row>
    <row r="3922" spans="1:7">
      <c r="A3922" t="s">
        <v>9365</v>
      </c>
      <c r="B3922">
        <v>41</v>
      </c>
      <c r="C3922" t="s">
        <v>9366</v>
      </c>
      <c r="D3922">
        <v>41151</v>
      </c>
      <c r="E3922" t="s">
        <v>27</v>
      </c>
      <c r="F3922" t="s">
        <v>9367</v>
      </c>
      <c r="G3922" s="1">
        <v>45113</v>
      </c>
    </row>
    <row r="3923" spans="1:7">
      <c r="B3923">
        <v>73</v>
      </c>
      <c r="C3923" t="s">
        <v>9368</v>
      </c>
      <c r="D3923">
        <v>123185</v>
      </c>
      <c r="E3923" t="s">
        <v>27</v>
      </c>
      <c r="F3923" t="s">
        <v>9369</v>
      </c>
      <c r="G3923" s="1">
        <v>45066</v>
      </c>
    </row>
    <row r="3924" spans="1:7">
      <c r="A3924" t="s">
        <v>9370</v>
      </c>
      <c r="B3924">
        <v>21</v>
      </c>
      <c r="C3924" t="s">
        <v>9371</v>
      </c>
      <c r="D3924">
        <v>139543</v>
      </c>
      <c r="E3924" t="s">
        <v>9</v>
      </c>
      <c r="F3924" t="s">
        <v>9372</v>
      </c>
      <c r="G3924" s="1">
        <v>45112</v>
      </c>
    </row>
    <row r="3925" spans="1:7">
      <c r="A3925" t="s">
        <v>9373</v>
      </c>
      <c r="B3925">
        <v>68</v>
      </c>
      <c r="C3925" t="s">
        <v>478</v>
      </c>
      <c r="D3925">
        <v>132621</v>
      </c>
      <c r="E3925" t="s">
        <v>27</v>
      </c>
      <c r="F3925" t="s">
        <v>9374</v>
      </c>
      <c r="G3925" s="1">
        <v>45182</v>
      </c>
    </row>
    <row r="3926" spans="1:7">
      <c r="A3926" t="s">
        <v>9375</v>
      </c>
      <c r="B3926">
        <v>56</v>
      </c>
      <c r="C3926" t="s">
        <v>9376</v>
      </c>
      <c r="D3926">
        <v>99351</v>
      </c>
      <c r="E3926" t="s">
        <v>36</v>
      </c>
      <c r="F3926">
        <f>1-292-277-1616</f>
        <v>-2184</v>
      </c>
      <c r="G3926" s="1">
        <v>45068</v>
      </c>
    </row>
    <row r="3927" spans="1:7">
      <c r="A3927" t="s">
        <v>9377</v>
      </c>
      <c r="C3927" t="s">
        <v>9378</v>
      </c>
      <c r="D3927">
        <v>84460</v>
      </c>
      <c r="E3927" t="s">
        <v>873</v>
      </c>
      <c r="G3927" s="1">
        <v>45011</v>
      </c>
    </row>
    <row r="3928" spans="1:7">
      <c r="A3928" t="s">
        <v>9379</v>
      </c>
      <c r="C3928" t="s">
        <v>9380</v>
      </c>
      <c r="D3928">
        <v>-5000</v>
      </c>
      <c r="E3928" t="s">
        <v>9</v>
      </c>
      <c r="F3928" t="s">
        <v>9381</v>
      </c>
      <c r="G3928" s="1">
        <v>45221</v>
      </c>
    </row>
    <row r="3929" spans="1:7">
      <c r="A3929" t="s">
        <v>9382</v>
      </c>
      <c r="B3929">
        <v>31</v>
      </c>
      <c r="C3929" t="s">
        <v>299</v>
      </c>
      <c r="D3929">
        <v>122091</v>
      </c>
      <c r="E3929" t="s">
        <v>49</v>
      </c>
      <c r="F3929">
        <v>7020369944</v>
      </c>
      <c r="G3929" s="1">
        <v>45005</v>
      </c>
    </row>
    <row r="3930" spans="1:7">
      <c r="A3930" t="s">
        <v>9383</v>
      </c>
      <c r="B3930">
        <v>200</v>
      </c>
      <c r="C3930" t="s">
        <v>9384</v>
      </c>
      <c r="D3930">
        <v>61625</v>
      </c>
      <c r="E3930" t="s">
        <v>873</v>
      </c>
      <c r="F3930" t="s">
        <v>9385</v>
      </c>
      <c r="G3930" s="1">
        <v>45236</v>
      </c>
    </row>
    <row r="3931" spans="1:7">
      <c r="A3931" t="s">
        <v>9386</v>
      </c>
      <c r="B3931">
        <v>61</v>
      </c>
      <c r="C3931" t="s">
        <v>9387</v>
      </c>
      <c r="D3931">
        <v>159048</v>
      </c>
      <c r="E3931" t="s">
        <v>36</v>
      </c>
      <c r="F3931" t="s">
        <v>9388</v>
      </c>
      <c r="G3931" s="1">
        <v>45237</v>
      </c>
    </row>
    <row r="3932" spans="1:7">
      <c r="B3932">
        <v>75</v>
      </c>
      <c r="C3932" t="s">
        <v>389</v>
      </c>
      <c r="D3932">
        <v>60297</v>
      </c>
      <c r="E3932" t="s">
        <v>27</v>
      </c>
      <c r="F3932">
        <v>8603466029</v>
      </c>
      <c r="G3932" s="1">
        <v>45171</v>
      </c>
    </row>
    <row r="3933" spans="1:7">
      <c r="A3933" t="s">
        <v>9389</v>
      </c>
      <c r="B3933">
        <v>70</v>
      </c>
      <c r="C3933" t="s">
        <v>9390</v>
      </c>
      <c r="D3933">
        <v>103616</v>
      </c>
      <c r="E3933" t="s">
        <v>27</v>
      </c>
      <c r="G3933" s="1">
        <v>45086</v>
      </c>
    </row>
    <row r="3934" spans="1:7">
      <c r="A3934" t="s">
        <v>9391</v>
      </c>
      <c r="B3934">
        <v>20</v>
      </c>
      <c r="C3934" t="s">
        <v>9392</v>
      </c>
      <c r="D3934">
        <v>32763</v>
      </c>
      <c r="E3934" t="s">
        <v>9</v>
      </c>
      <c r="F3934" t="s">
        <v>9393</v>
      </c>
      <c r="G3934" s="1">
        <v>45209</v>
      </c>
    </row>
    <row r="3935" spans="1:7">
      <c r="A3935" t="s">
        <v>9394</v>
      </c>
      <c r="B3935">
        <v>54</v>
      </c>
      <c r="C3935" t="s">
        <v>9395</v>
      </c>
      <c r="D3935">
        <v>62959</v>
      </c>
      <c r="E3935" t="s">
        <v>18</v>
      </c>
      <c r="F3935" t="s">
        <v>9396</v>
      </c>
      <c r="G3935" s="1">
        <v>44966</v>
      </c>
    </row>
    <row r="3936" spans="1:7">
      <c r="A3936" t="s">
        <v>9397</v>
      </c>
      <c r="B3936">
        <v>18</v>
      </c>
      <c r="C3936" t="s">
        <v>299</v>
      </c>
      <c r="D3936">
        <v>137449</v>
      </c>
      <c r="E3936" t="s">
        <v>36</v>
      </c>
      <c r="F3936" t="s">
        <v>9398</v>
      </c>
      <c r="G3936" s="1">
        <v>45255</v>
      </c>
    </row>
    <row r="3937" spans="1:7">
      <c r="A3937" t="s">
        <v>9399</v>
      </c>
      <c r="B3937">
        <v>31</v>
      </c>
      <c r="C3937" t="s">
        <v>9400</v>
      </c>
      <c r="D3937">
        <v>195556</v>
      </c>
      <c r="E3937" t="s">
        <v>12</v>
      </c>
      <c r="G3937" s="1">
        <v>45186</v>
      </c>
    </row>
    <row r="3938" spans="1:7">
      <c r="A3938" t="s">
        <v>9401</v>
      </c>
      <c r="C3938" t="s">
        <v>9402</v>
      </c>
      <c r="D3938">
        <v>96983</v>
      </c>
      <c r="E3938" t="s">
        <v>358</v>
      </c>
      <c r="F3938" t="s">
        <v>9403</v>
      </c>
      <c r="G3938" s="1">
        <v>44991</v>
      </c>
    </row>
    <row r="3939" spans="1:7">
      <c r="A3939" t="s">
        <v>9404</v>
      </c>
      <c r="B3939">
        <v>37</v>
      </c>
      <c r="C3939" t="s">
        <v>9405</v>
      </c>
      <c r="D3939">
        <v>164312</v>
      </c>
      <c r="E3939" t="s">
        <v>9</v>
      </c>
      <c r="F3939" t="s">
        <v>9406</v>
      </c>
      <c r="G3939" s="1">
        <v>44966</v>
      </c>
    </row>
    <row r="3940" spans="1:7">
      <c r="A3940" t="s">
        <v>9407</v>
      </c>
      <c r="B3940">
        <v>77</v>
      </c>
      <c r="C3940" t="s">
        <v>9408</v>
      </c>
      <c r="D3940">
        <v>137724</v>
      </c>
      <c r="E3940" t="s">
        <v>27</v>
      </c>
      <c r="F3940">
        <v>5849598465</v>
      </c>
      <c r="G3940" s="1">
        <v>45135</v>
      </c>
    </row>
    <row r="3941" spans="1:7">
      <c r="A3941" t="s">
        <v>9409</v>
      </c>
      <c r="B3941">
        <v>46</v>
      </c>
      <c r="C3941" t="s">
        <v>9410</v>
      </c>
      <c r="D3941">
        <v>40442</v>
      </c>
      <c r="E3941" t="s">
        <v>49</v>
      </c>
      <c r="F3941">
        <v>5052915145</v>
      </c>
      <c r="G3941" s="1">
        <v>45193</v>
      </c>
    </row>
    <row r="3942" spans="1:7">
      <c r="A3942" t="s">
        <v>9411</v>
      </c>
      <c r="B3942">
        <v>77</v>
      </c>
      <c r="D3942">
        <v>179777</v>
      </c>
      <c r="E3942" t="s">
        <v>12</v>
      </c>
      <c r="F3942" t="s">
        <v>9412</v>
      </c>
      <c r="G3942" s="1">
        <v>45058</v>
      </c>
    </row>
    <row r="3943" spans="1:7">
      <c r="A3943" t="s">
        <v>9413</v>
      </c>
      <c r="B3943">
        <v>78</v>
      </c>
      <c r="C3943" t="s">
        <v>9414</v>
      </c>
      <c r="D3943">
        <v>72137</v>
      </c>
      <c r="E3943" t="s">
        <v>27</v>
      </c>
      <c r="F3943" t="s">
        <v>9415</v>
      </c>
      <c r="G3943" s="1">
        <v>45009</v>
      </c>
    </row>
    <row r="3944" spans="1:7">
      <c r="A3944" t="s">
        <v>9416</v>
      </c>
      <c r="B3944">
        <v>26</v>
      </c>
      <c r="C3944" t="s">
        <v>9417</v>
      </c>
      <c r="D3944">
        <v>50025</v>
      </c>
      <c r="E3944" t="s">
        <v>12</v>
      </c>
      <c r="F3944">
        <v>3272643775</v>
      </c>
      <c r="G3944" s="1">
        <v>45041</v>
      </c>
    </row>
    <row r="3945" spans="1:7">
      <c r="A3945" t="s">
        <v>9418</v>
      </c>
      <c r="B3945">
        <v>49</v>
      </c>
      <c r="C3945" t="s">
        <v>9419</v>
      </c>
      <c r="D3945">
        <v>171820</v>
      </c>
      <c r="E3945" t="s">
        <v>27</v>
      </c>
      <c r="F3945" t="s">
        <v>9420</v>
      </c>
      <c r="G3945" s="1">
        <v>45091</v>
      </c>
    </row>
    <row r="3946" spans="1:7">
      <c r="A3946" t="s">
        <v>9421</v>
      </c>
      <c r="B3946">
        <v>38</v>
      </c>
      <c r="C3946" t="s">
        <v>9422</v>
      </c>
      <c r="D3946">
        <v>144456</v>
      </c>
      <c r="E3946" t="s">
        <v>9</v>
      </c>
      <c r="F3946" t="s">
        <v>9423</v>
      </c>
      <c r="G3946" s="1">
        <v>45230</v>
      </c>
    </row>
    <row r="3947" spans="1:7">
      <c r="A3947" t="s">
        <v>9424</v>
      </c>
      <c r="B3947">
        <v>25</v>
      </c>
      <c r="C3947" t="s">
        <v>9425</v>
      </c>
      <c r="D3947">
        <v>66445</v>
      </c>
      <c r="E3947" t="s">
        <v>36</v>
      </c>
      <c r="F3947" t="s">
        <v>9426</v>
      </c>
      <c r="G3947" s="1">
        <v>45195</v>
      </c>
    </row>
    <row r="3948" spans="1:7">
      <c r="A3948" t="s">
        <v>9427</v>
      </c>
      <c r="B3948">
        <v>30</v>
      </c>
      <c r="C3948" t="s">
        <v>9428</v>
      </c>
      <c r="D3948">
        <v>48557</v>
      </c>
      <c r="E3948" t="s">
        <v>27</v>
      </c>
      <c r="F3948" t="s">
        <v>9429</v>
      </c>
      <c r="G3948" s="1">
        <v>45134</v>
      </c>
    </row>
    <row r="3949" spans="1:7">
      <c r="A3949" t="s">
        <v>9430</v>
      </c>
      <c r="B3949">
        <v>38</v>
      </c>
      <c r="C3949" t="s">
        <v>169</v>
      </c>
      <c r="D3949">
        <v>107928</v>
      </c>
      <c r="E3949" t="s">
        <v>9</v>
      </c>
      <c r="F3949" t="s">
        <v>9431</v>
      </c>
      <c r="G3949" s="1">
        <v>45074</v>
      </c>
    </row>
    <row r="3950" spans="1:7">
      <c r="A3950" t="s">
        <v>9432</v>
      </c>
      <c r="B3950">
        <v>250</v>
      </c>
      <c r="C3950" t="s">
        <v>9433</v>
      </c>
      <c r="D3950">
        <v>0</v>
      </c>
      <c r="E3950" t="s">
        <v>36</v>
      </c>
      <c r="F3950" t="s">
        <v>9434</v>
      </c>
      <c r="G3950" s="1">
        <v>45285</v>
      </c>
    </row>
    <row r="3951" spans="1:7">
      <c r="B3951">
        <v>52</v>
      </c>
      <c r="C3951" t="s">
        <v>9435</v>
      </c>
      <c r="D3951">
        <v>180043</v>
      </c>
      <c r="E3951" t="s">
        <v>873</v>
      </c>
      <c r="F3951">
        <f>1-199-941-8294</f>
        <v>-9433</v>
      </c>
      <c r="G3951" s="1">
        <v>45223</v>
      </c>
    </row>
    <row r="3952" spans="1:7">
      <c r="A3952" t="s">
        <v>9436</v>
      </c>
      <c r="B3952">
        <v>36</v>
      </c>
      <c r="C3952" t="s">
        <v>594</v>
      </c>
      <c r="D3952">
        <v>68931</v>
      </c>
      <c r="E3952" t="s">
        <v>27</v>
      </c>
      <c r="F3952" t="s">
        <v>9437</v>
      </c>
      <c r="G3952" s="1">
        <v>45125</v>
      </c>
    </row>
    <row r="3953" spans="1:7">
      <c r="A3953" t="s">
        <v>9438</v>
      </c>
      <c r="B3953">
        <v>45</v>
      </c>
      <c r="C3953" t="s">
        <v>9439</v>
      </c>
      <c r="D3953">
        <v>64700</v>
      </c>
      <c r="E3953" t="s">
        <v>36</v>
      </c>
      <c r="F3953" t="s">
        <v>9440</v>
      </c>
      <c r="G3953" s="1">
        <v>44967</v>
      </c>
    </row>
    <row r="3954" spans="1:7">
      <c r="A3954" t="s">
        <v>9441</v>
      </c>
      <c r="B3954">
        <v>37</v>
      </c>
      <c r="D3954">
        <v>122115</v>
      </c>
      <c r="E3954" t="s">
        <v>9</v>
      </c>
      <c r="F3954" t="s">
        <v>9442</v>
      </c>
      <c r="G3954" s="1">
        <v>44994</v>
      </c>
    </row>
    <row r="3955" spans="1:7">
      <c r="A3955" t="s">
        <v>9443</v>
      </c>
      <c r="B3955">
        <v>28</v>
      </c>
      <c r="C3955" t="s">
        <v>17</v>
      </c>
      <c r="D3955">
        <v>73954</v>
      </c>
      <c r="E3955" t="s">
        <v>27</v>
      </c>
      <c r="F3955">
        <f>1-401-908-3434</f>
        <v>-4742</v>
      </c>
      <c r="G3955" s="1">
        <v>44981</v>
      </c>
    </row>
    <row r="3956" spans="1:7">
      <c r="A3956" t="s">
        <v>9444</v>
      </c>
      <c r="B3956">
        <v>46</v>
      </c>
      <c r="C3956" t="s">
        <v>9445</v>
      </c>
      <c r="D3956">
        <v>70870</v>
      </c>
      <c r="E3956" t="s">
        <v>12</v>
      </c>
      <c r="F3956">
        <f>1-976-227-7884</f>
        <v>-9086</v>
      </c>
      <c r="G3956" s="1">
        <v>45065</v>
      </c>
    </row>
    <row r="3957" spans="1:7">
      <c r="B3957">
        <v>34</v>
      </c>
      <c r="C3957" t="s">
        <v>9446</v>
      </c>
      <c r="D3957">
        <v>174491</v>
      </c>
      <c r="E3957" t="s">
        <v>9</v>
      </c>
      <c r="F3957">
        <v>4108943608</v>
      </c>
      <c r="G3957" t="s">
        <v>1459</v>
      </c>
    </row>
    <row r="3958" spans="1:7">
      <c r="A3958" t="s">
        <v>9447</v>
      </c>
      <c r="B3958">
        <v>69</v>
      </c>
      <c r="C3958" t="s">
        <v>9448</v>
      </c>
      <c r="D3958">
        <v>142167</v>
      </c>
      <c r="E3958" t="s">
        <v>27</v>
      </c>
      <c r="F3958">
        <f>1-910-766-6141</f>
        <v>-7816</v>
      </c>
      <c r="G3958" s="1">
        <v>45217</v>
      </c>
    </row>
    <row r="3959" spans="1:7">
      <c r="A3959" t="s">
        <v>9449</v>
      </c>
      <c r="B3959">
        <v>-5</v>
      </c>
      <c r="C3959" t="s">
        <v>445</v>
      </c>
      <c r="D3959">
        <v>115042</v>
      </c>
      <c r="E3959" t="s">
        <v>9</v>
      </c>
      <c r="F3959" t="s">
        <v>9450</v>
      </c>
      <c r="G3959" s="1">
        <v>45182</v>
      </c>
    </row>
    <row r="3960" spans="1:7">
      <c r="A3960" t="s">
        <v>4440</v>
      </c>
      <c r="B3960">
        <v>22</v>
      </c>
      <c r="C3960" t="s">
        <v>9451</v>
      </c>
      <c r="D3960">
        <v>41569</v>
      </c>
      <c r="E3960" t="s">
        <v>12</v>
      </c>
      <c r="F3960" t="s">
        <v>9452</v>
      </c>
      <c r="G3960" s="1">
        <v>45058</v>
      </c>
    </row>
    <row r="3961" spans="1:7">
      <c r="A3961" t="s">
        <v>8357</v>
      </c>
      <c r="B3961">
        <v>130</v>
      </c>
      <c r="C3961" t="s">
        <v>9453</v>
      </c>
      <c r="D3961">
        <v>154232</v>
      </c>
      <c r="E3961" t="s">
        <v>36</v>
      </c>
      <c r="F3961">
        <f>1-458-938-3765</f>
        <v>-5160</v>
      </c>
      <c r="G3961" s="1">
        <v>45008</v>
      </c>
    </row>
    <row r="3962" spans="1:7">
      <c r="A3962" t="s">
        <v>9454</v>
      </c>
      <c r="B3962">
        <v>65</v>
      </c>
      <c r="C3962" t="s">
        <v>9455</v>
      </c>
      <c r="D3962">
        <v>97173</v>
      </c>
      <c r="E3962" t="s">
        <v>27</v>
      </c>
      <c r="F3962" t="s">
        <v>9456</v>
      </c>
      <c r="G3962" s="1">
        <v>45162</v>
      </c>
    </row>
    <row r="3963" spans="1:7">
      <c r="A3963" t="s">
        <v>6884</v>
      </c>
      <c r="B3963">
        <v>76</v>
      </c>
      <c r="C3963" t="s">
        <v>9457</v>
      </c>
      <c r="D3963">
        <v>122764</v>
      </c>
      <c r="E3963" t="s">
        <v>12</v>
      </c>
      <c r="F3963" t="s">
        <v>9458</v>
      </c>
      <c r="G3963" s="1">
        <v>44956</v>
      </c>
    </row>
    <row r="3964" spans="1:7">
      <c r="A3964" t="s">
        <v>9459</v>
      </c>
      <c r="B3964">
        <v>74</v>
      </c>
      <c r="C3964" t="s">
        <v>9460</v>
      </c>
      <c r="D3964">
        <v>114698</v>
      </c>
      <c r="E3964" t="s">
        <v>12</v>
      </c>
      <c r="F3964">
        <f>1-725-437-3117</f>
        <v>-4278</v>
      </c>
      <c r="G3964" s="1">
        <v>45278</v>
      </c>
    </row>
    <row r="3965" spans="1:7">
      <c r="A3965" t="s">
        <v>9461</v>
      </c>
      <c r="B3965">
        <v>54</v>
      </c>
      <c r="C3965" t="s">
        <v>9462</v>
      </c>
      <c r="E3965" t="s">
        <v>27</v>
      </c>
      <c r="F3965" t="s">
        <v>9463</v>
      </c>
      <c r="G3965" s="1">
        <v>45085</v>
      </c>
    </row>
    <row r="3966" spans="1:7">
      <c r="A3966" t="s">
        <v>9464</v>
      </c>
      <c r="B3966">
        <v>300</v>
      </c>
      <c r="C3966" t="s">
        <v>9465</v>
      </c>
      <c r="D3966">
        <v>36476</v>
      </c>
      <c r="E3966" t="s">
        <v>27</v>
      </c>
      <c r="F3966" t="s">
        <v>9466</v>
      </c>
      <c r="G3966" s="1">
        <v>45188</v>
      </c>
    </row>
    <row r="3967" spans="1:7">
      <c r="A3967" t="s">
        <v>2766</v>
      </c>
      <c r="B3967">
        <v>46</v>
      </c>
      <c r="C3967" t="s">
        <v>9467</v>
      </c>
      <c r="D3967">
        <v>46322</v>
      </c>
      <c r="E3967" t="s">
        <v>27</v>
      </c>
      <c r="F3967" t="s">
        <v>9468</v>
      </c>
      <c r="G3967" s="1">
        <v>45075</v>
      </c>
    </row>
    <row r="3968" spans="1:7">
      <c r="A3968" t="s">
        <v>9469</v>
      </c>
      <c r="B3968">
        <v>999</v>
      </c>
      <c r="C3968" t="s">
        <v>9470</v>
      </c>
      <c r="D3968">
        <v>115374</v>
      </c>
      <c r="E3968" t="s">
        <v>12</v>
      </c>
      <c r="F3968" t="s">
        <v>9471</v>
      </c>
      <c r="G3968" s="1">
        <v>45232</v>
      </c>
    </row>
    <row r="3969" spans="1:7">
      <c r="A3969" t="s">
        <v>9472</v>
      </c>
      <c r="B3969">
        <v>64</v>
      </c>
      <c r="C3969" t="s">
        <v>9473</v>
      </c>
      <c r="D3969">
        <v>194344</v>
      </c>
      <c r="E3969" t="s">
        <v>27</v>
      </c>
      <c r="F3969">
        <v>4053473268</v>
      </c>
      <c r="G3969" s="1">
        <v>45183</v>
      </c>
    </row>
    <row r="3970" spans="1:7">
      <c r="A3970" t="s">
        <v>9474</v>
      </c>
      <c r="B3970">
        <v>20</v>
      </c>
      <c r="C3970" t="s">
        <v>9475</v>
      </c>
      <c r="D3970">
        <v>165675</v>
      </c>
      <c r="E3970" t="s">
        <v>9</v>
      </c>
      <c r="F3970" t="s">
        <v>9476</v>
      </c>
      <c r="G3970" s="1">
        <v>45236</v>
      </c>
    </row>
    <row r="3971" spans="1:7">
      <c r="A3971" t="s">
        <v>9477</v>
      </c>
      <c r="B3971">
        <v>72</v>
      </c>
      <c r="C3971" t="s">
        <v>9478</v>
      </c>
      <c r="D3971">
        <v>120306</v>
      </c>
      <c r="E3971" t="s">
        <v>27</v>
      </c>
      <c r="F3971" t="s">
        <v>9479</v>
      </c>
      <c r="G3971" s="1">
        <v>45064</v>
      </c>
    </row>
    <row r="3972" spans="1:7">
      <c r="A3972" t="s">
        <v>9480</v>
      </c>
      <c r="B3972">
        <v>41</v>
      </c>
      <c r="C3972" t="s">
        <v>9481</v>
      </c>
      <c r="D3972">
        <v>85350</v>
      </c>
      <c r="E3972" t="s">
        <v>12</v>
      </c>
      <c r="F3972" t="s">
        <v>9482</v>
      </c>
      <c r="G3972" s="1">
        <v>44962</v>
      </c>
    </row>
    <row r="3973" spans="1:7">
      <c r="A3973" t="s">
        <v>2876</v>
      </c>
      <c r="B3973">
        <v>63</v>
      </c>
      <c r="C3973" t="s">
        <v>9483</v>
      </c>
      <c r="D3973">
        <v>49309</v>
      </c>
      <c r="E3973" t="s">
        <v>36</v>
      </c>
      <c r="F3973">
        <f>1-259-581-3384</f>
        <v>-4223</v>
      </c>
      <c r="G3973" s="1">
        <v>44990</v>
      </c>
    </row>
    <row r="3974" spans="1:7">
      <c r="A3974" t="s">
        <v>9484</v>
      </c>
      <c r="B3974">
        <v>22</v>
      </c>
      <c r="C3974" t="s">
        <v>9485</v>
      </c>
      <c r="D3974">
        <v>132842</v>
      </c>
      <c r="E3974" t="s">
        <v>27</v>
      </c>
      <c r="F3974" t="s">
        <v>9486</v>
      </c>
      <c r="G3974" s="1">
        <v>45055</v>
      </c>
    </row>
    <row r="3975" spans="1:7">
      <c r="A3975" t="s">
        <v>9487</v>
      </c>
      <c r="B3975">
        <v>28</v>
      </c>
      <c r="C3975" t="s">
        <v>170</v>
      </c>
      <c r="D3975">
        <v>113434</v>
      </c>
      <c r="E3975" t="s">
        <v>12</v>
      </c>
      <c r="F3975" t="s">
        <v>9488</v>
      </c>
      <c r="G3975" s="1">
        <v>45149</v>
      </c>
    </row>
    <row r="3976" spans="1:7">
      <c r="A3976" t="s">
        <v>9489</v>
      </c>
      <c r="B3976">
        <v>72</v>
      </c>
      <c r="C3976" t="s">
        <v>9490</v>
      </c>
      <c r="E3976" t="s">
        <v>9</v>
      </c>
      <c r="F3976">
        <f>1-482-548-1188</f>
        <v>-2217</v>
      </c>
      <c r="G3976" s="1">
        <v>44933</v>
      </c>
    </row>
    <row r="3977" spans="1:7">
      <c r="A3977" t="s">
        <v>9491</v>
      </c>
      <c r="B3977">
        <v>70</v>
      </c>
      <c r="D3977">
        <v>152984</v>
      </c>
      <c r="E3977" t="s">
        <v>36</v>
      </c>
      <c r="F3977" t="s">
        <v>9492</v>
      </c>
      <c r="G3977" s="1">
        <v>45030</v>
      </c>
    </row>
    <row r="3978" spans="1:7">
      <c r="A3978" t="s">
        <v>9493</v>
      </c>
      <c r="B3978">
        <v>32</v>
      </c>
      <c r="C3978" t="s">
        <v>9494</v>
      </c>
      <c r="D3978">
        <v>101045</v>
      </c>
      <c r="E3978" t="s">
        <v>9</v>
      </c>
      <c r="F3978">
        <f>1-843-859-7370</f>
        <v>-9071</v>
      </c>
      <c r="G3978" s="1">
        <v>45217</v>
      </c>
    </row>
    <row r="3979" spans="1:7">
      <c r="A3979" t="s">
        <v>9495</v>
      </c>
      <c r="B3979">
        <v>61</v>
      </c>
      <c r="C3979" t="s">
        <v>169</v>
      </c>
      <c r="D3979">
        <v>74387</v>
      </c>
      <c r="E3979" t="s">
        <v>9</v>
      </c>
      <c r="F3979" t="s">
        <v>9496</v>
      </c>
      <c r="G3979" s="1">
        <v>45080</v>
      </c>
    </row>
    <row r="3980" spans="1:7">
      <c r="A3980" t="s">
        <v>9497</v>
      </c>
      <c r="B3980">
        <v>34</v>
      </c>
      <c r="C3980" t="s">
        <v>61</v>
      </c>
      <c r="D3980">
        <v>101196</v>
      </c>
      <c r="E3980" t="s">
        <v>9</v>
      </c>
      <c r="F3980" t="s">
        <v>9498</v>
      </c>
      <c r="G3980" s="1">
        <v>45291</v>
      </c>
    </row>
    <row r="3981" spans="1:7">
      <c r="A3981" t="s">
        <v>9499</v>
      </c>
      <c r="C3981" t="s">
        <v>9500</v>
      </c>
      <c r="D3981">
        <v>78037</v>
      </c>
      <c r="E3981" t="s">
        <v>36</v>
      </c>
      <c r="F3981" t="s">
        <v>9501</v>
      </c>
      <c r="G3981" s="1">
        <v>45274</v>
      </c>
    </row>
    <row r="3982" spans="1:7">
      <c r="A3982" t="s">
        <v>9502</v>
      </c>
      <c r="B3982">
        <v>53</v>
      </c>
      <c r="C3982" t="s">
        <v>9503</v>
      </c>
      <c r="D3982">
        <v>114146</v>
      </c>
      <c r="E3982" t="s">
        <v>27</v>
      </c>
      <c r="G3982" s="1">
        <v>45275</v>
      </c>
    </row>
    <row r="3983" spans="1:7">
      <c r="A3983" t="s">
        <v>9504</v>
      </c>
      <c r="B3983">
        <v>62</v>
      </c>
      <c r="C3983" t="s">
        <v>9505</v>
      </c>
      <c r="D3983">
        <v>164563</v>
      </c>
      <c r="E3983" t="s">
        <v>27</v>
      </c>
      <c r="F3983">
        <v>4959218902</v>
      </c>
      <c r="G3983" s="1">
        <v>45076</v>
      </c>
    </row>
    <row r="3984" spans="1:7">
      <c r="A3984" t="s">
        <v>9506</v>
      </c>
      <c r="B3984">
        <v>47</v>
      </c>
      <c r="C3984" t="s">
        <v>9507</v>
      </c>
      <c r="D3984">
        <v>131407</v>
      </c>
      <c r="E3984" t="s">
        <v>12</v>
      </c>
      <c r="F3984" t="s">
        <v>9508</v>
      </c>
      <c r="G3984" s="1">
        <v>45044</v>
      </c>
    </row>
    <row r="3985" spans="1:7">
      <c r="A3985" t="s">
        <v>9509</v>
      </c>
      <c r="C3985" t="s">
        <v>9510</v>
      </c>
      <c r="D3985">
        <v>108209</v>
      </c>
      <c r="E3985" t="s">
        <v>36</v>
      </c>
      <c r="F3985" t="s">
        <v>9511</v>
      </c>
      <c r="G3985" s="1">
        <v>45024</v>
      </c>
    </row>
    <row r="3986" spans="1:7">
      <c r="A3986" t="s">
        <v>9512</v>
      </c>
      <c r="B3986">
        <v>55</v>
      </c>
      <c r="C3986" t="s">
        <v>9513</v>
      </c>
      <c r="D3986">
        <v>0</v>
      </c>
      <c r="E3986" t="s">
        <v>9</v>
      </c>
      <c r="F3986" t="s">
        <v>9514</v>
      </c>
      <c r="G3986" s="1">
        <v>45016</v>
      </c>
    </row>
    <row r="3987" spans="1:7">
      <c r="A3987" t="s">
        <v>9515</v>
      </c>
      <c r="B3987">
        <v>44</v>
      </c>
      <c r="C3987" t="s">
        <v>115</v>
      </c>
      <c r="D3987">
        <v>148070</v>
      </c>
      <c r="E3987" t="s">
        <v>36</v>
      </c>
      <c r="F3987" t="s">
        <v>9516</v>
      </c>
      <c r="G3987" s="1">
        <v>45290</v>
      </c>
    </row>
    <row r="3988" spans="1:7">
      <c r="A3988" t="s">
        <v>9517</v>
      </c>
      <c r="B3988">
        <v>29</v>
      </c>
      <c r="C3988" t="s">
        <v>9518</v>
      </c>
      <c r="D3988">
        <v>107567</v>
      </c>
      <c r="E3988" t="s">
        <v>12</v>
      </c>
      <c r="F3988" t="s">
        <v>9519</v>
      </c>
      <c r="G3988" s="1">
        <v>45267</v>
      </c>
    </row>
    <row r="3989" spans="1:7">
      <c r="A3989" t="s">
        <v>9520</v>
      </c>
      <c r="B3989">
        <v>52</v>
      </c>
      <c r="C3989" t="s">
        <v>9521</v>
      </c>
      <c r="E3989" t="s">
        <v>12</v>
      </c>
      <c r="F3989" t="s">
        <v>9522</v>
      </c>
      <c r="G3989" s="1">
        <v>45084</v>
      </c>
    </row>
    <row r="3990" spans="1:7">
      <c r="B3990">
        <v>21</v>
      </c>
      <c r="C3990" t="s">
        <v>9523</v>
      </c>
      <c r="E3990" t="s">
        <v>9</v>
      </c>
      <c r="F3990" t="s">
        <v>9524</v>
      </c>
      <c r="G3990" s="1">
        <v>44983</v>
      </c>
    </row>
    <row r="3991" spans="1:7">
      <c r="A3991" t="s">
        <v>9525</v>
      </c>
      <c r="B3991">
        <v>37</v>
      </c>
      <c r="C3991" t="s">
        <v>9526</v>
      </c>
      <c r="D3991">
        <v>137798</v>
      </c>
      <c r="E3991" t="s">
        <v>27</v>
      </c>
      <c r="F3991" t="s">
        <v>9527</v>
      </c>
      <c r="G3991" s="1">
        <v>45071</v>
      </c>
    </row>
    <row r="3992" spans="1:7">
      <c r="A3992" t="s">
        <v>9528</v>
      </c>
      <c r="B3992">
        <v>33</v>
      </c>
      <c r="D3992">
        <v>39336</v>
      </c>
      <c r="E3992" t="s">
        <v>36</v>
      </c>
      <c r="F3992" t="s">
        <v>9529</v>
      </c>
      <c r="G3992" s="1">
        <v>45093</v>
      </c>
    </row>
    <row r="3993" spans="1:7">
      <c r="A3993" t="s">
        <v>1197</v>
      </c>
      <c r="B3993">
        <v>0</v>
      </c>
      <c r="C3993" t="s">
        <v>9530</v>
      </c>
      <c r="E3993" t="s">
        <v>36</v>
      </c>
      <c r="F3993" t="s">
        <v>9531</v>
      </c>
      <c r="G3993" s="1">
        <v>45011</v>
      </c>
    </row>
    <row r="3994" spans="1:7">
      <c r="A3994" t="s">
        <v>9532</v>
      </c>
      <c r="B3994">
        <v>37</v>
      </c>
      <c r="C3994" t="s">
        <v>9533</v>
      </c>
      <c r="D3994">
        <v>158498</v>
      </c>
      <c r="E3994" t="s">
        <v>12</v>
      </c>
      <c r="F3994" t="s">
        <v>9534</v>
      </c>
      <c r="G3994" s="1">
        <v>45167</v>
      </c>
    </row>
    <row r="3995" spans="1:7">
      <c r="A3995" t="s">
        <v>7973</v>
      </c>
      <c r="B3995">
        <v>200</v>
      </c>
      <c r="C3995" t="s">
        <v>9535</v>
      </c>
      <c r="E3995" t="s">
        <v>36</v>
      </c>
      <c r="F3995" t="s">
        <v>9536</v>
      </c>
      <c r="G3995" s="1">
        <v>45286</v>
      </c>
    </row>
    <row r="3996" spans="1:7">
      <c r="A3996" t="s">
        <v>9537</v>
      </c>
      <c r="B3996">
        <v>50</v>
      </c>
      <c r="D3996">
        <v>173093</v>
      </c>
      <c r="E3996" t="s">
        <v>12</v>
      </c>
      <c r="F3996" t="s">
        <v>9538</v>
      </c>
      <c r="G3996" s="1">
        <v>45280</v>
      </c>
    </row>
    <row r="3997" spans="1:7">
      <c r="A3997" t="s">
        <v>9539</v>
      </c>
      <c r="B3997">
        <v>40</v>
      </c>
      <c r="D3997">
        <v>57564</v>
      </c>
      <c r="E3997" t="s">
        <v>12</v>
      </c>
      <c r="F3997" t="s">
        <v>9540</v>
      </c>
      <c r="G3997" s="1">
        <v>45196</v>
      </c>
    </row>
    <row r="3998" spans="1:7">
      <c r="A3998" t="s">
        <v>9541</v>
      </c>
      <c r="B3998">
        <v>61</v>
      </c>
      <c r="C3998" t="s">
        <v>9542</v>
      </c>
      <c r="D3998">
        <v>58835</v>
      </c>
      <c r="E3998" t="s">
        <v>12</v>
      </c>
      <c r="F3998">
        <v>7244235534</v>
      </c>
      <c r="G3998" t="s">
        <v>493</v>
      </c>
    </row>
    <row r="3999" spans="1:7">
      <c r="A3999" t="s">
        <v>9543</v>
      </c>
      <c r="B3999">
        <v>38</v>
      </c>
      <c r="C3999" t="s">
        <v>9544</v>
      </c>
      <c r="D3999">
        <v>116486</v>
      </c>
      <c r="E3999" t="s">
        <v>12</v>
      </c>
      <c r="F3999" t="s">
        <v>9545</v>
      </c>
      <c r="G3999" s="1">
        <v>45052</v>
      </c>
    </row>
    <row r="4000" spans="1:7">
      <c r="A4000" t="s">
        <v>9546</v>
      </c>
      <c r="B4000">
        <v>54</v>
      </c>
      <c r="C4000" t="s">
        <v>9547</v>
      </c>
      <c r="D4000">
        <v>0</v>
      </c>
      <c r="E4000" t="s">
        <v>9</v>
      </c>
      <c r="F4000" t="s">
        <v>9548</v>
      </c>
      <c r="G4000" s="1">
        <v>45233</v>
      </c>
    </row>
    <row r="4001" spans="1:7">
      <c r="A4001" t="s">
        <v>9549</v>
      </c>
      <c r="B4001">
        <v>69</v>
      </c>
      <c r="C4001" t="s">
        <v>9550</v>
      </c>
      <c r="E4001" t="s">
        <v>9</v>
      </c>
      <c r="F4001" t="s">
        <v>9551</v>
      </c>
      <c r="G4001" t="s">
        <v>301</v>
      </c>
    </row>
    <row r="4002" spans="1:7">
      <c r="B4002">
        <v>180</v>
      </c>
      <c r="C4002" t="s">
        <v>9552</v>
      </c>
      <c r="D4002">
        <v>193187</v>
      </c>
      <c r="E4002" t="s">
        <v>27</v>
      </c>
      <c r="F4002" t="s">
        <v>9553</v>
      </c>
      <c r="G4002" s="1">
        <v>45077</v>
      </c>
    </row>
    <row r="4003" spans="1:7">
      <c r="A4003" t="s">
        <v>9554</v>
      </c>
      <c r="B4003">
        <v>20</v>
      </c>
      <c r="C4003" t="s">
        <v>594</v>
      </c>
      <c r="D4003">
        <v>143089</v>
      </c>
      <c r="E4003" t="s">
        <v>9</v>
      </c>
      <c r="F4003" t="s">
        <v>9555</v>
      </c>
      <c r="G4003" s="1">
        <v>45110</v>
      </c>
    </row>
    <row r="4004" spans="1:7">
      <c r="A4004" t="s">
        <v>9556</v>
      </c>
      <c r="B4004">
        <v>51</v>
      </c>
      <c r="C4004" t="s">
        <v>9557</v>
      </c>
      <c r="D4004">
        <v>165453</v>
      </c>
      <c r="E4004" t="s">
        <v>36</v>
      </c>
      <c r="F4004">
        <f>1-888-289-3160</f>
        <v>-4336</v>
      </c>
      <c r="G4004" s="1">
        <v>45113</v>
      </c>
    </row>
    <row r="4005" spans="1:7">
      <c r="A4005" t="s">
        <v>9558</v>
      </c>
      <c r="B4005">
        <v>72</v>
      </c>
      <c r="C4005" t="s">
        <v>9559</v>
      </c>
      <c r="D4005">
        <v>48646</v>
      </c>
      <c r="E4005" t="s">
        <v>27</v>
      </c>
      <c r="F4005" t="s">
        <v>9560</v>
      </c>
      <c r="G4005" s="1">
        <v>44970</v>
      </c>
    </row>
    <row r="4006" spans="1:7">
      <c r="A4006" t="s">
        <v>9561</v>
      </c>
      <c r="B4006">
        <v>31</v>
      </c>
      <c r="C4006" t="s">
        <v>9562</v>
      </c>
      <c r="D4006">
        <v>176232</v>
      </c>
      <c r="E4006" t="s">
        <v>9</v>
      </c>
      <c r="F4006">
        <v>8495577948</v>
      </c>
      <c r="G4006" s="1">
        <v>44969</v>
      </c>
    </row>
    <row r="4007" spans="1:7">
      <c r="A4007" t="s">
        <v>9563</v>
      </c>
      <c r="B4007">
        <v>39</v>
      </c>
      <c r="C4007" t="s">
        <v>9564</v>
      </c>
      <c r="D4007">
        <v>49157</v>
      </c>
      <c r="E4007" t="s">
        <v>12</v>
      </c>
      <c r="F4007" t="s">
        <v>9565</v>
      </c>
      <c r="G4007" s="1">
        <v>45018</v>
      </c>
    </row>
    <row r="4008" spans="1:7">
      <c r="A4008" t="s">
        <v>9566</v>
      </c>
      <c r="B4008">
        <v>27</v>
      </c>
      <c r="C4008" t="s">
        <v>9567</v>
      </c>
      <c r="D4008">
        <v>33516</v>
      </c>
      <c r="E4008" t="s">
        <v>27</v>
      </c>
      <c r="F4008" t="s">
        <v>9568</v>
      </c>
      <c r="G4008" s="1">
        <v>45082</v>
      </c>
    </row>
    <row r="4009" spans="1:7">
      <c r="A4009" t="s">
        <v>9569</v>
      </c>
      <c r="B4009">
        <v>32</v>
      </c>
      <c r="C4009" t="s">
        <v>9570</v>
      </c>
      <c r="E4009" t="s">
        <v>27</v>
      </c>
      <c r="F4009">
        <v>4997329298</v>
      </c>
      <c r="G4009" s="1">
        <v>45157</v>
      </c>
    </row>
    <row r="4010" spans="1:7">
      <c r="A4010" t="s">
        <v>9571</v>
      </c>
      <c r="B4010">
        <v>52</v>
      </c>
      <c r="C4010" t="s">
        <v>9572</v>
      </c>
      <c r="D4010">
        <v>60573</v>
      </c>
      <c r="E4010" t="s">
        <v>9</v>
      </c>
      <c r="F4010">
        <v>3033266894</v>
      </c>
      <c r="G4010" s="1">
        <v>45111</v>
      </c>
    </row>
    <row r="4011" spans="1:7">
      <c r="A4011" t="s">
        <v>9573</v>
      </c>
      <c r="B4011">
        <v>65</v>
      </c>
      <c r="C4011" t="s">
        <v>299</v>
      </c>
      <c r="D4011">
        <v>144421</v>
      </c>
      <c r="E4011" t="s">
        <v>9</v>
      </c>
      <c r="F4011">
        <f>1-394-375-5080</f>
        <v>-5848</v>
      </c>
      <c r="G4011" s="1">
        <v>45130</v>
      </c>
    </row>
    <row r="4012" spans="1:7">
      <c r="A4012" t="s">
        <v>9574</v>
      </c>
      <c r="B4012">
        <v>20</v>
      </c>
      <c r="C4012" t="s">
        <v>9575</v>
      </c>
      <c r="D4012">
        <v>104229</v>
      </c>
      <c r="E4012" t="s">
        <v>27</v>
      </c>
      <c r="F4012" t="s">
        <v>9576</v>
      </c>
      <c r="G4012" s="1">
        <v>45147</v>
      </c>
    </row>
    <row r="4013" spans="1:7">
      <c r="A4013" t="s">
        <v>9577</v>
      </c>
      <c r="B4013">
        <v>42</v>
      </c>
      <c r="D4013">
        <v>128064</v>
      </c>
      <c r="E4013" t="s">
        <v>12</v>
      </c>
      <c r="F4013" t="s">
        <v>9578</v>
      </c>
      <c r="G4013" s="1">
        <v>45234</v>
      </c>
    </row>
    <row r="4014" spans="1:7">
      <c r="A4014" t="s">
        <v>9579</v>
      </c>
      <c r="B4014">
        <v>50</v>
      </c>
      <c r="C4014" t="s">
        <v>9580</v>
      </c>
      <c r="D4014">
        <v>160407</v>
      </c>
      <c r="E4014" t="s">
        <v>36</v>
      </c>
      <c r="F4014" t="s">
        <v>9581</v>
      </c>
      <c r="G4014" s="1">
        <v>45150</v>
      </c>
    </row>
    <row r="4015" spans="1:7">
      <c r="A4015" t="s">
        <v>9582</v>
      </c>
      <c r="B4015">
        <v>30</v>
      </c>
      <c r="C4015" t="s">
        <v>9583</v>
      </c>
      <c r="D4015">
        <v>35103</v>
      </c>
      <c r="E4015" t="s">
        <v>12</v>
      </c>
      <c r="F4015" t="s">
        <v>9584</v>
      </c>
      <c r="G4015" s="1">
        <v>44944</v>
      </c>
    </row>
    <row r="4016" spans="1:7">
      <c r="A4016" t="s">
        <v>9585</v>
      </c>
      <c r="B4016">
        <v>52</v>
      </c>
      <c r="C4016" t="s">
        <v>9586</v>
      </c>
      <c r="D4016">
        <v>156270</v>
      </c>
      <c r="E4016" t="s">
        <v>527</v>
      </c>
      <c r="F4016">
        <f>1-533-668-8401</f>
        <v>-9601</v>
      </c>
      <c r="G4016" t="s">
        <v>493</v>
      </c>
    </row>
    <row r="4017" spans="1:7">
      <c r="A4017" t="s">
        <v>2455</v>
      </c>
      <c r="B4017">
        <v>64</v>
      </c>
      <c r="C4017" t="s">
        <v>9587</v>
      </c>
      <c r="E4017" t="s">
        <v>36</v>
      </c>
      <c r="F4017" t="s">
        <v>9588</v>
      </c>
      <c r="G4017" s="1">
        <v>44948</v>
      </c>
    </row>
    <row r="4018" spans="1:7">
      <c r="A4018" t="s">
        <v>9589</v>
      </c>
      <c r="B4018">
        <v>41</v>
      </c>
      <c r="C4018" t="s">
        <v>9590</v>
      </c>
      <c r="D4018">
        <v>73162</v>
      </c>
      <c r="E4018" t="s">
        <v>36</v>
      </c>
      <c r="F4018" t="s">
        <v>9591</v>
      </c>
      <c r="G4018" s="1">
        <v>44957</v>
      </c>
    </row>
    <row r="4019" spans="1:7">
      <c r="A4019" t="s">
        <v>9592</v>
      </c>
      <c r="B4019">
        <v>20</v>
      </c>
      <c r="C4019" t="s">
        <v>9593</v>
      </c>
      <c r="D4019">
        <v>122122</v>
      </c>
      <c r="E4019" t="s">
        <v>27</v>
      </c>
      <c r="F4019" t="s">
        <v>9594</v>
      </c>
      <c r="G4019" s="1">
        <v>45205</v>
      </c>
    </row>
    <row r="4020" spans="1:7">
      <c r="A4020" t="s">
        <v>9595</v>
      </c>
      <c r="B4020">
        <v>19</v>
      </c>
      <c r="C4020" t="s">
        <v>9596</v>
      </c>
      <c r="D4020">
        <v>78128</v>
      </c>
      <c r="E4020" t="s">
        <v>27</v>
      </c>
      <c r="F4020" t="s">
        <v>9597</v>
      </c>
      <c r="G4020" s="1">
        <v>45153</v>
      </c>
    </row>
    <row r="4021" spans="1:7">
      <c r="A4021" t="s">
        <v>9598</v>
      </c>
      <c r="B4021">
        <v>48</v>
      </c>
      <c r="C4021" t="s">
        <v>9599</v>
      </c>
      <c r="D4021">
        <v>0</v>
      </c>
      <c r="E4021" t="s">
        <v>9</v>
      </c>
      <c r="F4021" t="s">
        <v>9600</v>
      </c>
      <c r="G4021" s="1">
        <v>45266</v>
      </c>
    </row>
    <row r="4022" spans="1:7">
      <c r="A4022" t="s">
        <v>9601</v>
      </c>
      <c r="B4022">
        <v>54</v>
      </c>
      <c r="C4022" t="s">
        <v>9602</v>
      </c>
      <c r="D4022">
        <v>118774</v>
      </c>
      <c r="E4022" t="s">
        <v>12</v>
      </c>
      <c r="F4022" t="s">
        <v>9603</v>
      </c>
      <c r="G4022" t="s">
        <v>483</v>
      </c>
    </row>
    <row r="4023" spans="1:7">
      <c r="A4023" t="s">
        <v>9604</v>
      </c>
      <c r="B4023">
        <v>78</v>
      </c>
      <c r="C4023" t="s">
        <v>9605</v>
      </c>
      <c r="D4023">
        <v>169681</v>
      </c>
      <c r="E4023" t="s">
        <v>12</v>
      </c>
      <c r="F4023">
        <f>1-584-258-7520</f>
        <v>-8361</v>
      </c>
      <c r="G4023" s="1">
        <v>45031</v>
      </c>
    </row>
    <row r="4024" spans="1:7">
      <c r="A4024" t="s">
        <v>9606</v>
      </c>
      <c r="B4024">
        <v>22</v>
      </c>
      <c r="C4024" t="s">
        <v>9607</v>
      </c>
      <c r="D4024">
        <v>88436</v>
      </c>
      <c r="E4024" t="s">
        <v>9</v>
      </c>
      <c r="F4024">
        <f>1-760-290-8940</f>
        <v>-9989</v>
      </c>
      <c r="G4024" s="1">
        <v>45173</v>
      </c>
    </row>
    <row r="4025" spans="1:7">
      <c r="A4025" t="s">
        <v>9608</v>
      </c>
      <c r="B4025">
        <v>45</v>
      </c>
      <c r="C4025" t="s">
        <v>9609</v>
      </c>
      <c r="D4025">
        <v>194474</v>
      </c>
      <c r="E4025" t="s">
        <v>12</v>
      </c>
      <c r="F4025" t="s">
        <v>9610</v>
      </c>
      <c r="G4025" s="1">
        <v>45027</v>
      </c>
    </row>
    <row r="4026" spans="1:7">
      <c r="A4026" t="s">
        <v>9611</v>
      </c>
      <c r="B4026">
        <v>78</v>
      </c>
      <c r="C4026" t="s">
        <v>9612</v>
      </c>
      <c r="D4026">
        <v>147229</v>
      </c>
      <c r="E4026" t="s">
        <v>27</v>
      </c>
      <c r="G4026" t="s">
        <v>180</v>
      </c>
    </row>
    <row r="4027" spans="1:7">
      <c r="A4027" t="s">
        <v>9613</v>
      </c>
      <c r="B4027">
        <v>51</v>
      </c>
      <c r="C4027" t="s">
        <v>9614</v>
      </c>
      <c r="D4027">
        <v>155549</v>
      </c>
      <c r="E4027" t="s">
        <v>12</v>
      </c>
      <c r="F4027" t="s">
        <v>9615</v>
      </c>
      <c r="G4027" s="1">
        <v>45179</v>
      </c>
    </row>
    <row r="4028" spans="1:7">
      <c r="A4028" t="s">
        <v>9616</v>
      </c>
      <c r="B4028">
        <v>0</v>
      </c>
      <c r="C4028" t="s">
        <v>389</v>
      </c>
      <c r="D4028">
        <v>137573</v>
      </c>
      <c r="E4028" t="s">
        <v>27</v>
      </c>
      <c r="F4028" t="s">
        <v>9617</v>
      </c>
      <c r="G4028" s="1">
        <v>45236</v>
      </c>
    </row>
    <row r="4029" spans="1:7">
      <c r="A4029" t="s">
        <v>9618</v>
      </c>
      <c r="B4029">
        <v>200</v>
      </c>
      <c r="C4029" t="s">
        <v>9619</v>
      </c>
      <c r="D4029">
        <v>186685</v>
      </c>
      <c r="E4029" t="s">
        <v>527</v>
      </c>
      <c r="F4029">
        <v>2908280434</v>
      </c>
      <c r="G4029" s="1">
        <v>45076</v>
      </c>
    </row>
    <row r="4030" spans="1:7">
      <c r="A4030" t="s">
        <v>9620</v>
      </c>
      <c r="B4030">
        <v>67</v>
      </c>
      <c r="C4030" t="s">
        <v>9621</v>
      </c>
      <c r="D4030">
        <v>65931</v>
      </c>
      <c r="E4030" t="s">
        <v>36</v>
      </c>
      <c r="F4030" t="s">
        <v>9622</v>
      </c>
      <c r="G4030" s="1">
        <v>45116</v>
      </c>
    </row>
    <row r="4031" spans="1:7">
      <c r="A4031" t="s">
        <v>9623</v>
      </c>
      <c r="B4031">
        <v>59</v>
      </c>
      <c r="C4031" t="s">
        <v>9624</v>
      </c>
      <c r="D4031">
        <v>30515</v>
      </c>
      <c r="E4031" t="s">
        <v>9</v>
      </c>
      <c r="F4031" t="s">
        <v>9625</v>
      </c>
      <c r="G4031" s="1">
        <v>44991</v>
      </c>
    </row>
    <row r="4032" spans="1:7">
      <c r="A4032" t="s">
        <v>9626</v>
      </c>
      <c r="B4032">
        <v>200</v>
      </c>
      <c r="C4032" t="s">
        <v>9627</v>
      </c>
      <c r="D4032">
        <v>186040</v>
      </c>
      <c r="E4032" t="s">
        <v>12</v>
      </c>
      <c r="F4032">
        <f>1-140-493-4129</f>
        <v>-4761</v>
      </c>
      <c r="G4032" s="1">
        <v>45288</v>
      </c>
    </row>
    <row r="4033" spans="1:7">
      <c r="A4033" t="s">
        <v>9628</v>
      </c>
      <c r="B4033">
        <v>300</v>
      </c>
      <c r="C4033" t="s">
        <v>9629</v>
      </c>
      <c r="D4033">
        <v>84675</v>
      </c>
      <c r="E4033" t="s">
        <v>36</v>
      </c>
      <c r="F4033">
        <v>1457098881</v>
      </c>
      <c r="G4033" s="1">
        <v>45272</v>
      </c>
    </row>
    <row r="4034" spans="1:7">
      <c r="A4034" t="s">
        <v>9630</v>
      </c>
      <c r="B4034">
        <v>47</v>
      </c>
      <c r="D4034">
        <v>45734</v>
      </c>
      <c r="E4034" t="s">
        <v>12</v>
      </c>
      <c r="F4034">
        <f>1-978-611-3068</f>
        <v>-4656</v>
      </c>
      <c r="G4034" s="1">
        <v>45024</v>
      </c>
    </row>
    <row r="4035" spans="1:7">
      <c r="A4035" t="s">
        <v>9631</v>
      </c>
      <c r="B4035">
        <v>18</v>
      </c>
      <c r="C4035" t="s">
        <v>9632</v>
      </c>
      <c r="D4035">
        <v>109414</v>
      </c>
      <c r="E4035" t="s">
        <v>12</v>
      </c>
      <c r="F4035">
        <v>9640565939</v>
      </c>
      <c r="G4035" s="1">
        <v>45073</v>
      </c>
    </row>
    <row r="4036" spans="1:7">
      <c r="A4036" t="s">
        <v>9633</v>
      </c>
      <c r="B4036">
        <v>62</v>
      </c>
      <c r="D4036">
        <v>50711</v>
      </c>
      <c r="E4036" t="s">
        <v>9</v>
      </c>
      <c r="F4036">
        <f>1-462-506-3179</f>
        <v>-4146</v>
      </c>
      <c r="G4036" s="1">
        <v>45290</v>
      </c>
    </row>
    <row r="4037" spans="1:7">
      <c r="A4037" t="s">
        <v>9634</v>
      </c>
      <c r="B4037">
        <v>58</v>
      </c>
      <c r="C4037" t="s">
        <v>9635</v>
      </c>
      <c r="D4037">
        <v>186470</v>
      </c>
      <c r="E4037" t="s">
        <v>9</v>
      </c>
      <c r="F4037">
        <f>1-760-226-2395</f>
        <v>-3380</v>
      </c>
      <c r="G4037" s="1">
        <v>45246</v>
      </c>
    </row>
    <row r="4038" spans="1:7">
      <c r="A4038" t="s">
        <v>9636</v>
      </c>
      <c r="B4038">
        <v>76</v>
      </c>
      <c r="C4038" t="s">
        <v>9637</v>
      </c>
      <c r="E4038" t="s">
        <v>27</v>
      </c>
      <c r="F4038">
        <f>1-786-193-7159</f>
        <v>-8137</v>
      </c>
      <c r="G4038" s="1">
        <v>44984</v>
      </c>
    </row>
    <row r="4039" spans="1:7">
      <c r="A4039" t="s">
        <v>9638</v>
      </c>
      <c r="B4039">
        <v>63</v>
      </c>
      <c r="C4039" t="s">
        <v>9639</v>
      </c>
      <c r="E4039" t="s">
        <v>49</v>
      </c>
      <c r="F4039" t="s">
        <v>9640</v>
      </c>
      <c r="G4039" s="1">
        <v>45073</v>
      </c>
    </row>
    <row r="4040" spans="1:7">
      <c r="A4040" t="s">
        <v>9641</v>
      </c>
      <c r="B4040">
        <v>22</v>
      </c>
      <c r="C4040" t="s">
        <v>9642</v>
      </c>
      <c r="D4040">
        <v>199595</v>
      </c>
      <c r="E4040" t="s">
        <v>12</v>
      </c>
      <c r="F4040" t="s">
        <v>9643</v>
      </c>
      <c r="G4040" s="1">
        <v>45252</v>
      </c>
    </row>
    <row r="4041" spans="1:7">
      <c r="A4041" t="s">
        <v>9644</v>
      </c>
      <c r="B4041">
        <v>44</v>
      </c>
      <c r="C4041" t="s">
        <v>9645</v>
      </c>
      <c r="D4041">
        <v>162746</v>
      </c>
      <c r="E4041" t="s">
        <v>12</v>
      </c>
      <c r="F4041" t="s">
        <v>9646</v>
      </c>
      <c r="G4041" s="1">
        <v>45195</v>
      </c>
    </row>
    <row r="4042" spans="1:7">
      <c r="A4042" t="s">
        <v>9647</v>
      </c>
      <c r="B4042">
        <v>19</v>
      </c>
      <c r="C4042" t="s">
        <v>9648</v>
      </c>
      <c r="D4042">
        <v>80081</v>
      </c>
      <c r="E4042" t="s">
        <v>12</v>
      </c>
      <c r="F4042">
        <f>1-443-853-1898</f>
        <v>-3193</v>
      </c>
      <c r="G4042" s="1">
        <v>44944</v>
      </c>
    </row>
    <row r="4043" spans="1:7">
      <c r="A4043" t="s">
        <v>9649</v>
      </c>
      <c r="B4043">
        <v>34</v>
      </c>
      <c r="C4043" t="s">
        <v>9650</v>
      </c>
      <c r="D4043">
        <v>187780</v>
      </c>
      <c r="E4043" t="s">
        <v>9</v>
      </c>
      <c r="G4043" s="1">
        <v>45211</v>
      </c>
    </row>
    <row r="4044" spans="1:7">
      <c r="A4044" t="s">
        <v>9651</v>
      </c>
      <c r="B4044">
        <v>29</v>
      </c>
      <c r="C4044" t="s">
        <v>9652</v>
      </c>
      <c r="D4044">
        <v>81001</v>
      </c>
      <c r="E4044" t="s">
        <v>12</v>
      </c>
      <c r="F4044" t="s">
        <v>9653</v>
      </c>
      <c r="G4044" s="1">
        <v>45134</v>
      </c>
    </row>
    <row r="4045" spans="1:7">
      <c r="A4045" t="s">
        <v>9654</v>
      </c>
      <c r="B4045">
        <v>79</v>
      </c>
      <c r="C4045" t="s">
        <v>170</v>
      </c>
      <c r="D4045">
        <v>33543</v>
      </c>
      <c r="E4045" t="s">
        <v>12</v>
      </c>
      <c r="F4045" t="s">
        <v>9655</v>
      </c>
      <c r="G4045" s="1">
        <v>45078</v>
      </c>
    </row>
    <row r="4046" spans="1:7">
      <c r="A4046" t="s">
        <v>4228</v>
      </c>
      <c r="B4046">
        <v>49</v>
      </c>
      <c r="C4046" t="s">
        <v>9656</v>
      </c>
      <c r="D4046">
        <v>166587</v>
      </c>
      <c r="E4046" t="s">
        <v>27</v>
      </c>
      <c r="F4046" t="s">
        <v>9657</v>
      </c>
      <c r="G4046" s="1">
        <v>45047</v>
      </c>
    </row>
    <row r="4047" spans="1:7">
      <c r="A4047" t="s">
        <v>9658</v>
      </c>
      <c r="B4047">
        <v>54</v>
      </c>
      <c r="D4047">
        <v>144165</v>
      </c>
      <c r="E4047" t="s">
        <v>36</v>
      </c>
      <c r="F4047">
        <f>1-595-724-7370</f>
        <v>-8688</v>
      </c>
      <c r="G4047" s="1">
        <v>45062</v>
      </c>
    </row>
    <row r="4048" spans="1:7">
      <c r="A4048" t="s">
        <v>9659</v>
      </c>
      <c r="B4048">
        <v>300</v>
      </c>
      <c r="C4048" t="s">
        <v>9660</v>
      </c>
      <c r="D4048">
        <v>54704</v>
      </c>
      <c r="E4048" t="s">
        <v>12</v>
      </c>
      <c r="F4048" t="s">
        <v>9661</v>
      </c>
      <c r="G4048" s="1">
        <v>44967</v>
      </c>
    </row>
    <row r="4049" spans="1:7">
      <c r="A4049" t="s">
        <v>9662</v>
      </c>
      <c r="B4049">
        <v>44</v>
      </c>
      <c r="C4049" t="s">
        <v>9663</v>
      </c>
      <c r="D4049">
        <v>180259</v>
      </c>
      <c r="E4049" t="s">
        <v>9</v>
      </c>
      <c r="F4049" t="s">
        <v>9664</v>
      </c>
      <c r="G4049" s="1">
        <v>44970</v>
      </c>
    </row>
    <row r="4050" spans="1:7">
      <c r="A4050" t="s">
        <v>9665</v>
      </c>
      <c r="B4050">
        <v>27</v>
      </c>
      <c r="C4050" t="s">
        <v>9666</v>
      </c>
      <c r="D4050">
        <v>143143</v>
      </c>
      <c r="E4050" t="s">
        <v>12</v>
      </c>
      <c r="F4050">
        <f>1-448-875-3621</f>
        <v>-4943</v>
      </c>
      <c r="G4050" t="s">
        <v>180</v>
      </c>
    </row>
    <row r="4051" spans="1:7">
      <c r="A4051" t="s">
        <v>9667</v>
      </c>
      <c r="B4051">
        <v>53</v>
      </c>
      <c r="C4051" t="s">
        <v>9668</v>
      </c>
      <c r="D4051">
        <v>159974</v>
      </c>
      <c r="E4051" t="s">
        <v>12</v>
      </c>
      <c r="F4051">
        <v>8792778835</v>
      </c>
      <c r="G4051" s="1">
        <v>45285</v>
      </c>
    </row>
    <row r="4052" spans="1:7">
      <c r="A4052" t="s">
        <v>9669</v>
      </c>
      <c r="B4052">
        <v>24</v>
      </c>
      <c r="C4052" t="s">
        <v>9670</v>
      </c>
      <c r="D4052">
        <v>173738</v>
      </c>
      <c r="E4052" t="s">
        <v>27</v>
      </c>
      <c r="F4052" t="s">
        <v>9671</v>
      </c>
      <c r="G4052" s="1">
        <v>45238</v>
      </c>
    </row>
    <row r="4053" spans="1:7">
      <c r="A4053" t="s">
        <v>43</v>
      </c>
      <c r="B4053">
        <v>45</v>
      </c>
      <c r="C4053" t="s">
        <v>9672</v>
      </c>
      <c r="D4053">
        <v>134263</v>
      </c>
      <c r="E4053" t="s">
        <v>27</v>
      </c>
      <c r="F4053">
        <v>7567013597</v>
      </c>
      <c r="G4053" s="1">
        <v>45063</v>
      </c>
    </row>
    <row r="4054" spans="1:7">
      <c r="A4054" t="s">
        <v>9673</v>
      </c>
      <c r="B4054">
        <v>-100</v>
      </c>
      <c r="C4054" t="s">
        <v>9674</v>
      </c>
      <c r="D4054">
        <v>133780</v>
      </c>
      <c r="E4054" t="s">
        <v>27</v>
      </c>
      <c r="F4054">
        <v>1343636531</v>
      </c>
      <c r="G4054" s="1">
        <v>45198</v>
      </c>
    </row>
    <row r="4055" spans="1:7">
      <c r="A4055" t="s">
        <v>9675</v>
      </c>
      <c r="B4055">
        <v>62</v>
      </c>
      <c r="C4055" t="s">
        <v>9676</v>
      </c>
      <c r="D4055">
        <v>196782</v>
      </c>
      <c r="E4055" t="s">
        <v>9</v>
      </c>
      <c r="F4055" t="s">
        <v>9677</v>
      </c>
      <c r="G4055" s="1">
        <v>44984</v>
      </c>
    </row>
    <row r="4056" spans="1:7">
      <c r="A4056" t="s">
        <v>9678</v>
      </c>
      <c r="B4056">
        <v>58</v>
      </c>
      <c r="D4056">
        <v>148206</v>
      </c>
      <c r="E4056" t="s">
        <v>36</v>
      </c>
      <c r="F4056" t="s">
        <v>9679</v>
      </c>
      <c r="G4056" s="1">
        <v>45111</v>
      </c>
    </row>
    <row r="4057" spans="1:7">
      <c r="A4057" t="s">
        <v>9680</v>
      </c>
      <c r="B4057">
        <v>37</v>
      </c>
      <c r="C4057" t="s">
        <v>9681</v>
      </c>
      <c r="D4057">
        <v>189213</v>
      </c>
      <c r="E4057" t="s">
        <v>27</v>
      </c>
      <c r="F4057">
        <f>1-182-397-4585</f>
        <v>-5163</v>
      </c>
      <c r="G4057" s="1">
        <v>44927</v>
      </c>
    </row>
    <row r="4058" spans="1:7">
      <c r="A4058" t="s">
        <v>9682</v>
      </c>
      <c r="B4058">
        <v>70</v>
      </c>
      <c r="C4058" t="s">
        <v>9683</v>
      </c>
      <c r="D4058">
        <v>156545</v>
      </c>
      <c r="E4058" t="s">
        <v>12</v>
      </c>
      <c r="F4058">
        <f>1-276-163-1420</f>
        <v>-1858</v>
      </c>
      <c r="G4058" s="1">
        <v>45193</v>
      </c>
    </row>
    <row r="4059" spans="1:7">
      <c r="B4059">
        <v>20</v>
      </c>
      <c r="C4059" t="s">
        <v>518</v>
      </c>
      <c r="D4059">
        <v>85841</v>
      </c>
      <c r="E4059" t="s">
        <v>36</v>
      </c>
      <c r="F4059">
        <f>1-266-646-5940</f>
        <v>-6851</v>
      </c>
      <c r="G4059" s="1">
        <v>45229</v>
      </c>
    </row>
    <row r="4060" spans="1:7">
      <c r="A4060" t="s">
        <v>9684</v>
      </c>
      <c r="B4060">
        <v>61</v>
      </c>
      <c r="C4060" t="s">
        <v>9685</v>
      </c>
      <c r="D4060">
        <v>31605</v>
      </c>
      <c r="E4060" t="s">
        <v>90</v>
      </c>
      <c r="F4060" t="s">
        <v>9686</v>
      </c>
      <c r="G4060" s="1">
        <v>45285</v>
      </c>
    </row>
    <row r="4061" spans="1:7">
      <c r="A4061" t="s">
        <v>9687</v>
      </c>
      <c r="B4061">
        <v>61</v>
      </c>
      <c r="C4061" t="s">
        <v>9688</v>
      </c>
      <c r="D4061">
        <v>101128</v>
      </c>
      <c r="E4061" t="s">
        <v>12</v>
      </c>
      <c r="F4061" t="s">
        <v>9689</v>
      </c>
      <c r="G4061" s="1">
        <v>45003</v>
      </c>
    </row>
    <row r="4062" spans="1:7">
      <c r="A4062" t="s">
        <v>9690</v>
      </c>
      <c r="B4062">
        <v>69</v>
      </c>
      <c r="D4062">
        <v>89807</v>
      </c>
      <c r="E4062" t="s">
        <v>12</v>
      </c>
      <c r="F4062" t="s">
        <v>9691</v>
      </c>
      <c r="G4062" s="1">
        <v>45052</v>
      </c>
    </row>
    <row r="4063" spans="1:7">
      <c r="A4063" t="s">
        <v>9692</v>
      </c>
      <c r="B4063">
        <v>67</v>
      </c>
      <c r="C4063" t="s">
        <v>9693</v>
      </c>
      <c r="D4063">
        <v>196690</v>
      </c>
      <c r="E4063" t="s">
        <v>36</v>
      </c>
      <c r="F4063">
        <f>1-826-600-7032</f>
        <v>-8457</v>
      </c>
      <c r="G4063" s="1">
        <v>45171</v>
      </c>
    </row>
    <row r="4064" spans="1:7">
      <c r="A4064" t="s">
        <v>9694</v>
      </c>
      <c r="B4064">
        <v>48</v>
      </c>
      <c r="C4064" t="s">
        <v>9695</v>
      </c>
      <c r="D4064">
        <v>86344</v>
      </c>
      <c r="E4064" t="s">
        <v>9</v>
      </c>
      <c r="F4064" t="s">
        <v>9696</v>
      </c>
      <c r="G4064" s="1">
        <v>45002</v>
      </c>
    </row>
    <row r="4065" spans="1:7">
      <c r="A4065" t="s">
        <v>9697</v>
      </c>
      <c r="B4065">
        <v>57</v>
      </c>
      <c r="D4065">
        <v>49149</v>
      </c>
      <c r="E4065" t="s">
        <v>9</v>
      </c>
      <c r="F4065">
        <f>1-503-299-9035</f>
        <v>-9836</v>
      </c>
      <c r="G4065" s="1">
        <v>44960</v>
      </c>
    </row>
    <row r="4066" spans="1:7">
      <c r="A4066" t="s">
        <v>9698</v>
      </c>
      <c r="B4066">
        <v>74</v>
      </c>
      <c r="D4066">
        <v>127064</v>
      </c>
      <c r="E4066" t="s">
        <v>9</v>
      </c>
      <c r="F4066" t="s">
        <v>9699</v>
      </c>
      <c r="G4066" s="1">
        <v>45148</v>
      </c>
    </row>
    <row r="4067" spans="1:7">
      <c r="A4067" t="s">
        <v>9700</v>
      </c>
      <c r="B4067">
        <v>76</v>
      </c>
      <c r="C4067" t="s">
        <v>9701</v>
      </c>
      <c r="D4067">
        <v>32745</v>
      </c>
      <c r="E4067" t="s">
        <v>27</v>
      </c>
      <c r="F4067" t="s">
        <v>9702</v>
      </c>
      <c r="G4067" s="1">
        <v>45251</v>
      </c>
    </row>
    <row r="4068" spans="1:7">
      <c r="A4068" t="s">
        <v>9703</v>
      </c>
      <c r="B4068">
        <v>29</v>
      </c>
      <c r="C4068" t="s">
        <v>9704</v>
      </c>
      <c r="D4068">
        <v>105945</v>
      </c>
      <c r="E4068" t="s">
        <v>9</v>
      </c>
      <c r="G4068" s="1">
        <v>45188</v>
      </c>
    </row>
    <row r="4069" spans="1:7">
      <c r="A4069" t="s">
        <v>9705</v>
      </c>
      <c r="B4069">
        <v>999</v>
      </c>
      <c r="D4069">
        <v>166701</v>
      </c>
      <c r="E4069" t="s">
        <v>27</v>
      </c>
      <c r="F4069">
        <f>1-872-654-2305</f>
        <v>-3830</v>
      </c>
      <c r="G4069" s="1">
        <v>45226</v>
      </c>
    </row>
    <row r="4070" spans="1:7">
      <c r="A4070" t="s">
        <v>3356</v>
      </c>
      <c r="B4070">
        <v>46</v>
      </c>
      <c r="C4070" t="s">
        <v>9706</v>
      </c>
      <c r="D4070">
        <v>126393</v>
      </c>
      <c r="E4070" t="s">
        <v>12</v>
      </c>
      <c r="F4070" t="s">
        <v>9707</v>
      </c>
      <c r="G4070" s="1">
        <v>45222</v>
      </c>
    </row>
    <row r="4071" spans="1:7">
      <c r="A4071" t="s">
        <v>9708</v>
      </c>
      <c r="B4071">
        <v>55</v>
      </c>
      <c r="C4071" t="s">
        <v>9709</v>
      </c>
      <c r="D4071">
        <v>59345</v>
      </c>
      <c r="E4071" t="s">
        <v>27</v>
      </c>
      <c r="F4071" t="s">
        <v>9710</v>
      </c>
      <c r="G4071" s="1">
        <v>44963</v>
      </c>
    </row>
    <row r="4072" spans="1:7">
      <c r="A4072" t="s">
        <v>9711</v>
      </c>
      <c r="B4072">
        <v>0</v>
      </c>
      <c r="C4072" t="s">
        <v>9712</v>
      </c>
      <c r="D4072">
        <v>78008</v>
      </c>
      <c r="E4072" t="s">
        <v>9</v>
      </c>
      <c r="F4072">
        <v>9137862629</v>
      </c>
      <c r="G4072" s="1">
        <v>44982</v>
      </c>
    </row>
    <row r="4073" spans="1:7">
      <c r="A4073" t="s">
        <v>9713</v>
      </c>
      <c r="B4073">
        <v>49</v>
      </c>
      <c r="C4073" t="s">
        <v>9714</v>
      </c>
      <c r="D4073">
        <v>170749</v>
      </c>
      <c r="E4073" t="s">
        <v>9</v>
      </c>
      <c r="F4073" t="s">
        <v>9715</v>
      </c>
      <c r="G4073" s="1">
        <v>45080</v>
      </c>
    </row>
    <row r="4074" spans="1:7">
      <c r="A4074" t="s">
        <v>9716</v>
      </c>
      <c r="C4074" t="s">
        <v>9717</v>
      </c>
      <c r="D4074">
        <v>74724</v>
      </c>
      <c r="E4074" t="s">
        <v>12</v>
      </c>
      <c r="F4074">
        <f>1-976-541-1655</f>
        <v>-3171</v>
      </c>
      <c r="G4074" s="1">
        <v>44955</v>
      </c>
    </row>
    <row r="4075" spans="1:7">
      <c r="A4075" t="s">
        <v>9718</v>
      </c>
      <c r="B4075">
        <v>67</v>
      </c>
      <c r="C4075" t="s">
        <v>9719</v>
      </c>
      <c r="D4075">
        <v>173988</v>
      </c>
      <c r="E4075" t="s">
        <v>9</v>
      </c>
      <c r="F4075">
        <f>1-976-653-4329</f>
        <v>-5957</v>
      </c>
      <c r="G4075" s="1">
        <v>45097</v>
      </c>
    </row>
    <row r="4076" spans="1:7">
      <c r="A4076" t="s">
        <v>9720</v>
      </c>
      <c r="B4076">
        <v>62</v>
      </c>
      <c r="C4076" t="s">
        <v>9721</v>
      </c>
      <c r="D4076">
        <v>110820</v>
      </c>
      <c r="E4076" t="s">
        <v>12</v>
      </c>
      <c r="F4076" t="s">
        <v>9722</v>
      </c>
      <c r="G4076" s="1">
        <v>45094</v>
      </c>
    </row>
    <row r="4077" spans="1:7">
      <c r="A4077" t="s">
        <v>9723</v>
      </c>
      <c r="B4077">
        <v>37</v>
      </c>
      <c r="C4077" t="s">
        <v>9724</v>
      </c>
      <c r="D4077">
        <v>158023</v>
      </c>
      <c r="E4077" t="s">
        <v>27</v>
      </c>
      <c r="F4077" t="s">
        <v>9725</v>
      </c>
      <c r="G4077" s="1">
        <v>45088</v>
      </c>
    </row>
    <row r="4078" spans="1:7">
      <c r="A4078" t="s">
        <v>9726</v>
      </c>
      <c r="B4078">
        <v>71</v>
      </c>
      <c r="C4078" t="s">
        <v>9727</v>
      </c>
      <c r="D4078">
        <v>95618</v>
      </c>
      <c r="E4078" t="s">
        <v>36</v>
      </c>
      <c r="F4078" t="s">
        <v>9728</v>
      </c>
      <c r="G4078" s="1">
        <v>45287</v>
      </c>
    </row>
    <row r="4079" spans="1:7">
      <c r="A4079" t="s">
        <v>9729</v>
      </c>
      <c r="B4079">
        <v>43</v>
      </c>
      <c r="C4079" t="s">
        <v>9730</v>
      </c>
      <c r="D4079">
        <v>114811</v>
      </c>
      <c r="E4079" t="s">
        <v>27</v>
      </c>
      <c r="F4079" t="s">
        <v>9731</v>
      </c>
      <c r="G4079" s="1">
        <v>45223</v>
      </c>
    </row>
    <row r="4080" spans="1:7">
      <c r="A4080" t="s">
        <v>9732</v>
      </c>
      <c r="B4080">
        <v>21</v>
      </c>
      <c r="C4080" t="s">
        <v>9733</v>
      </c>
      <c r="D4080">
        <v>128538</v>
      </c>
      <c r="E4080" t="s">
        <v>27</v>
      </c>
      <c r="F4080" t="s">
        <v>9734</v>
      </c>
      <c r="G4080" s="1">
        <v>45140</v>
      </c>
    </row>
    <row r="4081" spans="1:7">
      <c r="A4081" t="s">
        <v>3907</v>
      </c>
      <c r="B4081">
        <v>19</v>
      </c>
      <c r="C4081" t="s">
        <v>170</v>
      </c>
      <c r="E4081" t="s">
        <v>36</v>
      </c>
      <c r="F4081">
        <f>1-913-312-2326</f>
        <v>-3550</v>
      </c>
      <c r="G4081" s="1">
        <v>45035</v>
      </c>
    </row>
    <row r="4082" spans="1:7">
      <c r="A4082" t="s">
        <v>9735</v>
      </c>
      <c r="B4082">
        <v>999</v>
      </c>
      <c r="C4082" t="s">
        <v>9736</v>
      </c>
      <c r="D4082">
        <v>0</v>
      </c>
      <c r="E4082" t="s">
        <v>36</v>
      </c>
      <c r="F4082">
        <v>5122796224</v>
      </c>
      <c r="G4082" s="1">
        <v>45178</v>
      </c>
    </row>
    <row r="4083" spans="1:7">
      <c r="B4083">
        <v>34</v>
      </c>
      <c r="C4083" t="s">
        <v>9737</v>
      </c>
      <c r="D4083">
        <v>97863</v>
      </c>
      <c r="E4083" t="s">
        <v>27</v>
      </c>
      <c r="F4083" t="s">
        <v>9738</v>
      </c>
      <c r="G4083" s="1">
        <v>45150</v>
      </c>
    </row>
    <row r="4084" spans="1:7">
      <c r="A4084" t="s">
        <v>9739</v>
      </c>
      <c r="B4084">
        <v>53</v>
      </c>
      <c r="C4084" t="s">
        <v>9740</v>
      </c>
      <c r="D4084">
        <v>56553</v>
      </c>
      <c r="E4084" t="s">
        <v>36</v>
      </c>
      <c r="F4084">
        <v>4443563465</v>
      </c>
      <c r="G4084" s="1">
        <v>45184</v>
      </c>
    </row>
    <row r="4085" spans="1:7">
      <c r="A4085" t="s">
        <v>9741</v>
      </c>
      <c r="B4085">
        <v>42</v>
      </c>
      <c r="C4085" t="s">
        <v>9742</v>
      </c>
      <c r="D4085">
        <v>71115</v>
      </c>
      <c r="E4085" t="s">
        <v>36</v>
      </c>
      <c r="F4085">
        <v>3597900199</v>
      </c>
      <c r="G4085" s="1">
        <v>44940</v>
      </c>
    </row>
    <row r="4086" spans="1:7">
      <c r="A4086" t="s">
        <v>9743</v>
      </c>
      <c r="B4086">
        <v>72</v>
      </c>
      <c r="C4086" t="s">
        <v>9744</v>
      </c>
      <c r="D4086">
        <v>94340</v>
      </c>
      <c r="E4086" t="s">
        <v>27</v>
      </c>
      <c r="F4086" t="s">
        <v>9745</v>
      </c>
      <c r="G4086" s="1">
        <v>44929</v>
      </c>
    </row>
    <row r="4087" spans="1:7">
      <c r="A4087" t="s">
        <v>9746</v>
      </c>
      <c r="B4087">
        <v>45</v>
      </c>
      <c r="C4087" t="s">
        <v>9747</v>
      </c>
      <c r="D4087">
        <v>188302</v>
      </c>
      <c r="E4087" t="s">
        <v>27</v>
      </c>
      <c r="F4087">
        <v>8100420507</v>
      </c>
      <c r="G4087" s="1">
        <v>44927</v>
      </c>
    </row>
    <row r="4088" spans="1:7">
      <c r="A4088" t="s">
        <v>25</v>
      </c>
      <c r="B4088">
        <v>56</v>
      </c>
      <c r="C4088" t="s">
        <v>9748</v>
      </c>
      <c r="D4088">
        <v>99517</v>
      </c>
      <c r="E4088" t="s">
        <v>9</v>
      </c>
      <c r="F4088">
        <f>1-839-702-5576</f>
        <v>-7116</v>
      </c>
      <c r="G4088" s="1">
        <v>45151</v>
      </c>
    </row>
    <row r="4089" spans="1:7">
      <c r="A4089" t="s">
        <v>4482</v>
      </c>
      <c r="B4089">
        <v>61</v>
      </c>
      <c r="C4089" t="s">
        <v>9749</v>
      </c>
      <c r="D4089">
        <v>76154</v>
      </c>
      <c r="E4089" t="s">
        <v>12</v>
      </c>
      <c r="F4089" t="s">
        <v>9750</v>
      </c>
      <c r="G4089" s="1">
        <v>45212</v>
      </c>
    </row>
    <row r="4090" spans="1:7">
      <c r="A4090" t="s">
        <v>9751</v>
      </c>
      <c r="B4090">
        <v>30</v>
      </c>
      <c r="C4090" t="s">
        <v>115</v>
      </c>
      <c r="D4090">
        <v>130128</v>
      </c>
      <c r="E4090" t="s">
        <v>90</v>
      </c>
      <c r="F4090" t="s">
        <v>9752</v>
      </c>
      <c r="G4090" s="1">
        <v>44975</v>
      </c>
    </row>
    <row r="4091" spans="1:7">
      <c r="A4091" t="s">
        <v>9753</v>
      </c>
      <c r="B4091">
        <v>23</v>
      </c>
      <c r="C4091" t="s">
        <v>9754</v>
      </c>
      <c r="D4091">
        <v>74013</v>
      </c>
      <c r="E4091" t="s">
        <v>9</v>
      </c>
      <c r="F4091" t="s">
        <v>9755</v>
      </c>
      <c r="G4091" s="1">
        <v>45282</v>
      </c>
    </row>
    <row r="4092" spans="1:7">
      <c r="A4092" t="s">
        <v>9756</v>
      </c>
      <c r="B4092">
        <v>38</v>
      </c>
      <c r="C4092" t="s">
        <v>9757</v>
      </c>
      <c r="D4092">
        <v>67420</v>
      </c>
      <c r="E4092" t="s">
        <v>27</v>
      </c>
      <c r="F4092" t="s">
        <v>9758</v>
      </c>
      <c r="G4092" s="1">
        <v>45176</v>
      </c>
    </row>
    <row r="4093" spans="1:7">
      <c r="A4093" t="s">
        <v>9759</v>
      </c>
      <c r="B4093">
        <v>300</v>
      </c>
      <c r="C4093" t="s">
        <v>9760</v>
      </c>
      <c r="D4093">
        <v>127493</v>
      </c>
      <c r="E4093" t="s">
        <v>12</v>
      </c>
      <c r="F4093">
        <v>2396793314</v>
      </c>
      <c r="G4093" s="1">
        <v>45230</v>
      </c>
    </row>
    <row r="4094" spans="1:7">
      <c r="A4094" t="s">
        <v>1332</v>
      </c>
      <c r="B4094">
        <v>79</v>
      </c>
      <c r="C4094" t="s">
        <v>9761</v>
      </c>
      <c r="D4094">
        <v>100463</v>
      </c>
      <c r="E4094" t="s">
        <v>27</v>
      </c>
      <c r="F4094">
        <v>7961501559</v>
      </c>
      <c r="G4094" s="1">
        <v>44927</v>
      </c>
    </row>
    <row r="4095" spans="1:7">
      <c r="A4095" t="s">
        <v>9762</v>
      </c>
      <c r="B4095">
        <v>45</v>
      </c>
      <c r="C4095" t="s">
        <v>9763</v>
      </c>
      <c r="D4095">
        <v>0</v>
      </c>
      <c r="E4095" t="s">
        <v>36</v>
      </c>
      <c r="F4095" t="s">
        <v>9764</v>
      </c>
      <c r="G4095" s="1">
        <v>45025</v>
      </c>
    </row>
    <row r="4096" spans="1:7">
      <c r="A4096" t="s">
        <v>9765</v>
      </c>
      <c r="B4096">
        <v>29</v>
      </c>
      <c r="C4096" t="s">
        <v>9766</v>
      </c>
      <c r="D4096">
        <v>186379</v>
      </c>
      <c r="E4096" t="s">
        <v>12</v>
      </c>
      <c r="F4096">
        <f>1-659-759-2280</f>
        <v>-3697</v>
      </c>
      <c r="G4096" t="s">
        <v>81</v>
      </c>
    </row>
    <row r="4097" spans="1:7">
      <c r="A4097" t="s">
        <v>9767</v>
      </c>
      <c r="B4097">
        <v>-25</v>
      </c>
      <c r="C4097" t="s">
        <v>9768</v>
      </c>
      <c r="D4097">
        <v>193045</v>
      </c>
      <c r="E4097" t="s">
        <v>9</v>
      </c>
      <c r="F4097">
        <f>1-160-799-7113</f>
        <v>-8071</v>
      </c>
      <c r="G4097" s="1">
        <v>45241</v>
      </c>
    </row>
    <row r="4098" spans="1:7">
      <c r="A4098" t="s">
        <v>1752</v>
      </c>
      <c r="B4098">
        <v>58</v>
      </c>
      <c r="C4098" t="s">
        <v>9769</v>
      </c>
      <c r="D4098">
        <v>71662</v>
      </c>
      <c r="E4098" t="s">
        <v>27</v>
      </c>
      <c r="F4098" t="s">
        <v>9770</v>
      </c>
      <c r="G4098" s="1">
        <v>45081</v>
      </c>
    </row>
    <row r="4099" spans="1:7">
      <c r="A4099" t="s">
        <v>9771</v>
      </c>
      <c r="B4099">
        <v>-100</v>
      </c>
      <c r="C4099" t="s">
        <v>9772</v>
      </c>
      <c r="D4099">
        <v>164585</v>
      </c>
      <c r="E4099" t="s">
        <v>36</v>
      </c>
      <c r="F4099">
        <v>8281800690</v>
      </c>
      <c r="G4099" s="1">
        <v>45164</v>
      </c>
    </row>
    <row r="4100" spans="1:7">
      <c r="A4100" t="s">
        <v>9773</v>
      </c>
      <c r="B4100">
        <v>42</v>
      </c>
      <c r="E4100" t="s">
        <v>27</v>
      </c>
      <c r="F4100" t="s">
        <v>9774</v>
      </c>
      <c r="G4100" s="1">
        <v>45139</v>
      </c>
    </row>
    <row r="4101" spans="1:7">
      <c r="A4101" t="s">
        <v>9775</v>
      </c>
      <c r="B4101">
        <v>21</v>
      </c>
      <c r="D4101">
        <v>157904</v>
      </c>
      <c r="E4101" t="s">
        <v>12</v>
      </c>
      <c r="F4101" t="s">
        <v>9776</v>
      </c>
      <c r="G4101" s="1">
        <v>45063</v>
      </c>
    </row>
    <row r="4102" spans="1:7">
      <c r="A4102" t="s">
        <v>5208</v>
      </c>
      <c r="B4102">
        <v>73</v>
      </c>
      <c r="C4102" t="s">
        <v>9777</v>
      </c>
      <c r="D4102">
        <v>182026</v>
      </c>
      <c r="E4102" t="s">
        <v>36</v>
      </c>
      <c r="F4102" t="s">
        <v>9778</v>
      </c>
      <c r="G4102" s="1">
        <v>44934</v>
      </c>
    </row>
    <row r="4103" spans="1:7">
      <c r="A4103" t="s">
        <v>9779</v>
      </c>
      <c r="B4103">
        <v>69</v>
      </c>
      <c r="C4103" t="s">
        <v>9780</v>
      </c>
      <c r="D4103">
        <v>80568</v>
      </c>
      <c r="E4103" t="s">
        <v>9</v>
      </c>
      <c r="F4103" t="s">
        <v>9781</v>
      </c>
      <c r="G4103" s="1">
        <v>44929</v>
      </c>
    </row>
    <row r="4104" spans="1:7">
      <c r="A4104" t="s">
        <v>9782</v>
      </c>
      <c r="B4104">
        <v>46</v>
      </c>
      <c r="C4104" t="s">
        <v>9783</v>
      </c>
      <c r="D4104">
        <v>158411</v>
      </c>
      <c r="E4104" t="s">
        <v>9</v>
      </c>
      <c r="F4104" t="s">
        <v>9784</v>
      </c>
      <c r="G4104" s="1">
        <v>45099</v>
      </c>
    </row>
    <row r="4105" spans="1:7">
      <c r="A4105" t="s">
        <v>9785</v>
      </c>
      <c r="B4105">
        <v>29</v>
      </c>
      <c r="D4105">
        <v>62298</v>
      </c>
      <c r="E4105" t="s">
        <v>9</v>
      </c>
      <c r="F4105" t="s">
        <v>9786</v>
      </c>
      <c r="G4105" s="1">
        <v>45258</v>
      </c>
    </row>
    <row r="4106" spans="1:7">
      <c r="A4106" t="s">
        <v>9787</v>
      </c>
      <c r="B4106">
        <v>300</v>
      </c>
      <c r="C4106" t="s">
        <v>9788</v>
      </c>
      <c r="D4106">
        <v>-20000</v>
      </c>
      <c r="E4106" t="s">
        <v>12</v>
      </c>
      <c r="F4106">
        <f>1-794-673-3996</f>
        <v>-5462</v>
      </c>
      <c r="G4106" s="1">
        <v>44998</v>
      </c>
    </row>
    <row r="4107" spans="1:7">
      <c r="A4107" t="s">
        <v>9789</v>
      </c>
      <c r="B4107">
        <v>24</v>
      </c>
      <c r="C4107" t="s">
        <v>9790</v>
      </c>
      <c r="D4107">
        <v>73158</v>
      </c>
      <c r="E4107" t="s">
        <v>12</v>
      </c>
      <c r="F4107">
        <v>1582918332</v>
      </c>
      <c r="G4107" s="1">
        <v>44977</v>
      </c>
    </row>
    <row r="4108" spans="1:7">
      <c r="A4108" t="s">
        <v>9791</v>
      </c>
      <c r="B4108">
        <v>54</v>
      </c>
      <c r="C4108" t="s">
        <v>9792</v>
      </c>
      <c r="D4108">
        <v>138048</v>
      </c>
      <c r="E4108" t="s">
        <v>294</v>
      </c>
      <c r="F4108">
        <f>1-954-931-8361</f>
        <v>-10245</v>
      </c>
      <c r="G4108" s="1">
        <v>44943</v>
      </c>
    </row>
    <row r="4109" spans="1:7">
      <c r="A4109" t="s">
        <v>9793</v>
      </c>
      <c r="B4109">
        <v>-1</v>
      </c>
      <c r="C4109" t="s">
        <v>9794</v>
      </c>
      <c r="E4109" t="s">
        <v>36</v>
      </c>
      <c r="F4109" t="s">
        <v>9795</v>
      </c>
      <c r="G4109" t="s">
        <v>1627</v>
      </c>
    </row>
    <row r="4110" spans="1:7">
      <c r="A4110" t="s">
        <v>9796</v>
      </c>
      <c r="B4110">
        <v>53</v>
      </c>
      <c r="C4110" t="s">
        <v>9797</v>
      </c>
      <c r="D4110">
        <v>94926</v>
      </c>
      <c r="E4110" t="s">
        <v>9</v>
      </c>
      <c r="F4110" t="s">
        <v>9798</v>
      </c>
      <c r="G4110" s="1">
        <v>45135</v>
      </c>
    </row>
    <row r="4111" spans="1:7">
      <c r="A4111" t="s">
        <v>8948</v>
      </c>
      <c r="B4111">
        <v>60</v>
      </c>
      <c r="C4111" t="s">
        <v>9799</v>
      </c>
      <c r="D4111">
        <v>41516</v>
      </c>
      <c r="E4111" t="s">
        <v>36</v>
      </c>
      <c r="F4111" t="s">
        <v>9800</v>
      </c>
      <c r="G4111" s="1">
        <v>45160</v>
      </c>
    </row>
    <row r="4112" spans="1:7">
      <c r="A4112" t="s">
        <v>9801</v>
      </c>
      <c r="B4112">
        <v>500</v>
      </c>
      <c r="C4112" t="s">
        <v>9802</v>
      </c>
      <c r="D4112">
        <v>34141</v>
      </c>
      <c r="E4112" t="s">
        <v>9</v>
      </c>
      <c r="F4112" t="s">
        <v>9803</v>
      </c>
      <c r="G4112" s="1">
        <v>44988</v>
      </c>
    </row>
    <row r="4113" spans="1:7">
      <c r="A4113" t="s">
        <v>9804</v>
      </c>
      <c r="B4113">
        <v>53</v>
      </c>
      <c r="C4113" t="s">
        <v>9805</v>
      </c>
      <c r="D4113">
        <v>137445</v>
      </c>
      <c r="E4113" t="s">
        <v>12</v>
      </c>
      <c r="F4113">
        <f>1-725-612-6115</f>
        <v>-7451</v>
      </c>
      <c r="G4113" s="1">
        <v>45290</v>
      </c>
    </row>
    <row r="4114" spans="1:7">
      <c r="A4114" t="s">
        <v>9806</v>
      </c>
      <c r="B4114">
        <v>28</v>
      </c>
      <c r="C4114" t="s">
        <v>9807</v>
      </c>
      <c r="D4114">
        <v>90091</v>
      </c>
      <c r="E4114" t="s">
        <v>27</v>
      </c>
      <c r="F4114" t="s">
        <v>9808</v>
      </c>
      <c r="G4114" s="1">
        <v>45200</v>
      </c>
    </row>
    <row r="4115" spans="1:7">
      <c r="A4115" t="s">
        <v>9809</v>
      </c>
      <c r="B4115">
        <v>24</v>
      </c>
      <c r="C4115" t="s">
        <v>9810</v>
      </c>
      <c r="D4115">
        <v>57094</v>
      </c>
      <c r="E4115" t="s">
        <v>12</v>
      </c>
      <c r="F4115" t="s">
        <v>9811</v>
      </c>
      <c r="G4115" s="1">
        <v>45265</v>
      </c>
    </row>
    <row r="4116" spans="1:7">
      <c r="A4116" t="s">
        <v>9812</v>
      </c>
      <c r="B4116">
        <v>54</v>
      </c>
      <c r="C4116" t="s">
        <v>9813</v>
      </c>
      <c r="D4116">
        <v>69895</v>
      </c>
      <c r="E4116" t="s">
        <v>49</v>
      </c>
      <c r="F4116" t="s">
        <v>9814</v>
      </c>
      <c r="G4116" s="1">
        <v>45005</v>
      </c>
    </row>
    <row r="4117" spans="1:7">
      <c r="A4117" t="s">
        <v>9815</v>
      </c>
      <c r="B4117">
        <v>31</v>
      </c>
      <c r="C4117" t="s">
        <v>9816</v>
      </c>
      <c r="E4117" t="s">
        <v>36</v>
      </c>
      <c r="F4117" t="s">
        <v>9817</v>
      </c>
      <c r="G4117" s="1">
        <v>45190</v>
      </c>
    </row>
    <row r="4118" spans="1:7">
      <c r="A4118" t="s">
        <v>9818</v>
      </c>
      <c r="B4118">
        <v>36</v>
      </c>
      <c r="C4118" t="s">
        <v>9819</v>
      </c>
      <c r="D4118">
        <v>119424</v>
      </c>
      <c r="E4118" t="s">
        <v>27</v>
      </c>
      <c r="F4118" t="s">
        <v>9820</v>
      </c>
      <c r="G4118" s="1">
        <v>45085</v>
      </c>
    </row>
    <row r="4119" spans="1:7">
      <c r="A4119" t="s">
        <v>9821</v>
      </c>
      <c r="B4119">
        <v>77</v>
      </c>
      <c r="D4119">
        <v>99202</v>
      </c>
      <c r="E4119" t="s">
        <v>9</v>
      </c>
      <c r="F4119">
        <v>2361792016</v>
      </c>
      <c r="G4119" s="1">
        <v>45198</v>
      </c>
    </row>
    <row r="4120" spans="1:7">
      <c r="A4120" t="s">
        <v>9822</v>
      </c>
      <c r="B4120">
        <v>22</v>
      </c>
      <c r="C4120" t="s">
        <v>9823</v>
      </c>
      <c r="E4120" t="s">
        <v>27</v>
      </c>
      <c r="F4120" t="s">
        <v>9824</v>
      </c>
      <c r="G4120" s="1">
        <v>45160</v>
      </c>
    </row>
    <row r="4121" spans="1:7">
      <c r="B4121">
        <v>500</v>
      </c>
      <c r="C4121" t="s">
        <v>9825</v>
      </c>
      <c r="D4121">
        <v>139779</v>
      </c>
      <c r="E4121" t="s">
        <v>36</v>
      </c>
      <c r="G4121" s="1">
        <v>45014</v>
      </c>
    </row>
    <row r="4122" spans="1:7">
      <c r="A4122" t="s">
        <v>9826</v>
      </c>
      <c r="B4122">
        <v>56</v>
      </c>
      <c r="C4122" t="s">
        <v>9827</v>
      </c>
      <c r="D4122">
        <v>109211</v>
      </c>
      <c r="E4122" t="s">
        <v>27</v>
      </c>
      <c r="F4122">
        <f>1-223-632-2587</f>
        <v>-3441</v>
      </c>
      <c r="G4122" s="1">
        <v>44991</v>
      </c>
    </row>
    <row r="4123" spans="1:7">
      <c r="A4123" t="s">
        <v>9828</v>
      </c>
      <c r="B4123">
        <v>50</v>
      </c>
      <c r="D4123">
        <v>131190</v>
      </c>
      <c r="E4123" t="s">
        <v>12</v>
      </c>
      <c r="F4123">
        <f>1-281-656-6217</f>
        <v>-7153</v>
      </c>
      <c r="G4123" t="s">
        <v>180</v>
      </c>
    </row>
    <row r="4124" spans="1:7">
      <c r="A4124" t="s">
        <v>9829</v>
      </c>
      <c r="B4124">
        <v>56</v>
      </c>
      <c r="C4124" t="s">
        <v>9830</v>
      </c>
      <c r="D4124">
        <v>-5000</v>
      </c>
      <c r="E4124" t="s">
        <v>27</v>
      </c>
      <c r="F4124" t="s">
        <v>9831</v>
      </c>
      <c r="G4124" s="1">
        <v>45053</v>
      </c>
    </row>
    <row r="4125" spans="1:7">
      <c r="A4125" t="s">
        <v>9832</v>
      </c>
      <c r="B4125">
        <v>0</v>
      </c>
      <c r="C4125" t="s">
        <v>9833</v>
      </c>
      <c r="D4125">
        <v>148422</v>
      </c>
      <c r="E4125" t="s">
        <v>36</v>
      </c>
      <c r="F4125" t="s">
        <v>9834</v>
      </c>
      <c r="G4125" s="1">
        <v>45021</v>
      </c>
    </row>
    <row r="4126" spans="1:7">
      <c r="A4126" t="s">
        <v>9835</v>
      </c>
      <c r="B4126">
        <v>67</v>
      </c>
      <c r="D4126">
        <v>103690</v>
      </c>
      <c r="E4126" t="s">
        <v>27</v>
      </c>
      <c r="F4126">
        <v>4870437669</v>
      </c>
      <c r="G4126" s="1">
        <v>45011</v>
      </c>
    </row>
    <row r="4127" spans="1:7">
      <c r="A4127" t="s">
        <v>9836</v>
      </c>
      <c r="B4127">
        <v>19</v>
      </c>
      <c r="C4127" t="s">
        <v>9837</v>
      </c>
      <c r="D4127">
        <v>58333</v>
      </c>
      <c r="E4127" t="s">
        <v>9</v>
      </c>
      <c r="F4127" t="s">
        <v>9838</v>
      </c>
      <c r="G4127" s="1">
        <v>45006</v>
      </c>
    </row>
    <row r="4128" spans="1:7">
      <c r="A4128" t="s">
        <v>9839</v>
      </c>
      <c r="B4128">
        <v>29</v>
      </c>
      <c r="C4128" t="s">
        <v>9840</v>
      </c>
      <c r="D4128">
        <v>140041</v>
      </c>
      <c r="E4128" t="s">
        <v>12</v>
      </c>
      <c r="F4128" t="s">
        <v>9841</v>
      </c>
      <c r="G4128" s="1">
        <v>44927</v>
      </c>
    </row>
    <row r="4129" spans="1:7">
      <c r="B4129">
        <v>34</v>
      </c>
      <c r="C4129" t="s">
        <v>9842</v>
      </c>
      <c r="D4129">
        <v>184961</v>
      </c>
      <c r="E4129" t="s">
        <v>36</v>
      </c>
      <c r="F4129" t="s">
        <v>9843</v>
      </c>
      <c r="G4129" s="1">
        <v>44970</v>
      </c>
    </row>
    <row r="4130" spans="1:7">
      <c r="A4130" t="s">
        <v>9844</v>
      </c>
      <c r="B4130">
        <v>57</v>
      </c>
      <c r="D4130">
        <v>37961</v>
      </c>
      <c r="E4130" t="s">
        <v>9</v>
      </c>
      <c r="F4130">
        <v>9153894150</v>
      </c>
      <c r="G4130" s="1">
        <v>45237</v>
      </c>
    </row>
    <row r="4131" spans="1:7">
      <c r="A4131" t="s">
        <v>7329</v>
      </c>
      <c r="C4131" t="s">
        <v>9845</v>
      </c>
      <c r="D4131">
        <v>87134</v>
      </c>
      <c r="E4131" t="s">
        <v>527</v>
      </c>
      <c r="F4131">
        <v>2118594780</v>
      </c>
      <c r="G4131" s="1">
        <v>44939</v>
      </c>
    </row>
    <row r="4132" spans="1:7">
      <c r="A4132" t="s">
        <v>9846</v>
      </c>
      <c r="B4132">
        <v>47</v>
      </c>
      <c r="C4132" t="s">
        <v>9847</v>
      </c>
      <c r="D4132">
        <v>37170</v>
      </c>
      <c r="E4132" t="s">
        <v>12</v>
      </c>
      <c r="F4132">
        <v>6040185608</v>
      </c>
      <c r="G4132" s="1">
        <v>44993</v>
      </c>
    </row>
    <row r="4133" spans="1:7">
      <c r="A4133" t="s">
        <v>9848</v>
      </c>
      <c r="B4133">
        <v>40</v>
      </c>
      <c r="C4133" t="s">
        <v>61</v>
      </c>
      <c r="D4133">
        <v>35529</v>
      </c>
      <c r="E4133" t="s">
        <v>12</v>
      </c>
      <c r="F4133" t="s">
        <v>9849</v>
      </c>
      <c r="G4133" s="1">
        <v>45186</v>
      </c>
    </row>
    <row r="4134" spans="1:7">
      <c r="A4134" t="s">
        <v>5303</v>
      </c>
      <c r="C4134" t="s">
        <v>9850</v>
      </c>
      <c r="D4134">
        <v>151225</v>
      </c>
      <c r="E4134" t="s">
        <v>27</v>
      </c>
      <c r="F4134">
        <v>8563835154</v>
      </c>
      <c r="G4134" s="1">
        <v>45142</v>
      </c>
    </row>
    <row r="4135" spans="1:7">
      <c r="A4135" t="s">
        <v>9851</v>
      </c>
      <c r="B4135">
        <v>23</v>
      </c>
      <c r="C4135" t="s">
        <v>9852</v>
      </c>
      <c r="D4135">
        <v>59424</v>
      </c>
      <c r="E4135" t="s">
        <v>36</v>
      </c>
      <c r="F4135">
        <v>6169457994</v>
      </c>
      <c r="G4135" s="1">
        <v>45081</v>
      </c>
    </row>
    <row r="4136" spans="1:7">
      <c r="A4136" t="s">
        <v>9853</v>
      </c>
      <c r="B4136">
        <v>29</v>
      </c>
      <c r="C4136" t="s">
        <v>9854</v>
      </c>
      <c r="D4136">
        <v>141900</v>
      </c>
      <c r="E4136" t="s">
        <v>27</v>
      </c>
      <c r="F4136" t="s">
        <v>9855</v>
      </c>
      <c r="G4136" s="1">
        <v>44980</v>
      </c>
    </row>
    <row r="4137" spans="1:7">
      <c r="A4137" t="s">
        <v>9856</v>
      </c>
      <c r="B4137">
        <v>30</v>
      </c>
      <c r="C4137" t="s">
        <v>9857</v>
      </c>
      <c r="D4137">
        <v>42306</v>
      </c>
      <c r="E4137" t="s">
        <v>36</v>
      </c>
      <c r="F4137" t="s">
        <v>9858</v>
      </c>
      <c r="G4137" s="1">
        <v>44998</v>
      </c>
    </row>
    <row r="4138" spans="1:7">
      <c r="A4138" t="s">
        <v>9859</v>
      </c>
      <c r="B4138">
        <v>27</v>
      </c>
      <c r="E4138" t="s">
        <v>27</v>
      </c>
      <c r="F4138" t="s">
        <v>9860</v>
      </c>
      <c r="G4138" s="1">
        <v>45225</v>
      </c>
    </row>
    <row r="4139" spans="1:7">
      <c r="A4139" t="s">
        <v>9861</v>
      </c>
      <c r="B4139">
        <v>33</v>
      </c>
      <c r="D4139">
        <v>174615</v>
      </c>
      <c r="E4139" t="s">
        <v>27</v>
      </c>
      <c r="F4139">
        <f>1-298-527-3484</f>
        <v>-4308</v>
      </c>
      <c r="G4139" s="1">
        <v>45085</v>
      </c>
    </row>
    <row r="4140" spans="1:7">
      <c r="A4140" t="s">
        <v>9862</v>
      </c>
      <c r="B4140">
        <v>58</v>
      </c>
      <c r="C4140" t="s">
        <v>61</v>
      </c>
      <c r="D4140">
        <v>53932</v>
      </c>
      <c r="E4140" t="s">
        <v>9</v>
      </c>
      <c r="F4140" t="s">
        <v>9863</v>
      </c>
      <c r="G4140" s="1">
        <v>45252</v>
      </c>
    </row>
    <row r="4141" spans="1:7">
      <c r="A4141" t="s">
        <v>9864</v>
      </c>
      <c r="B4141">
        <v>22</v>
      </c>
      <c r="C4141" t="s">
        <v>9865</v>
      </c>
      <c r="D4141">
        <v>86809</v>
      </c>
      <c r="E4141" t="s">
        <v>9</v>
      </c>
      <c r="F4141">
        <v>5865058976</v>
      </c>
      <c r="G4141" t="s">
        <v>422</v>
      </c>
    </row>
    <row r="4142" spans="1:7">
      <c r="A4142" t="s">
        <v>9866</v>
      </c>
      <c r="B4142">
        <v>150</v>
      </c>
      <c r="C4142" t="s">
        <v>9867</v>
      </c>
      <c r="D4142">
        <v>65739</v>
      </c>
      <c r="E4142" t="s">
        <v>27</v>
      </c>
      <c r="F4142" t="s">
        <v>9868</v>
      </c>
      <c r="G4142" s="1">
        <v>45057</v>
      </c>
    </row>
    <row r="4143" spans="1:7">
      <c r="A4143" t="s">
        <v>9869</v>
      </c>
      <c r="B4143">
        <v>-50</v>
      </c>
      <c r="C4143" t="s">
        <v>9870</v>
      </c>
      <c r="D4143">
        <v>52837</v>
      </c>
      <c r="E4143" t="s">
        <v>36</v>
      </c>
      <c r="F4143" t="s">
        <v>9871</v>
      </c>
      <c r="G4143" s="1">
        <v>45273</v>
      </c>
    </row>
    <row r="4144" spans="1:7">
      <c r="A4144" t="s">
        <v>9872</v>
      </c>
      <c r="B4144">
        <v>69</v>
      </c>
      <c r="C4144" t="s">
        <v>9873</v>
      </c>
      <c r="D4144">
        <v>187608</v>
      </c>
      <c r="E4144" t="s">
        <v>27</v>
      </c>
      <c r="F4144" t="s">
        <v>9874</v>
      </c>
      <c r="G4144" s="1">
        <v>44927</v>
      </c>
    </row>
    <row r="4145" spans="1:7">
      <c r="A4145" t="s">
        <v>1820</v>
      </c>
      <c r="B4145">
        <v>72</v>
      </c>
      <c r="C4145" t="s">
        <v>9875</v>
      </c>
      <c r="D4145">
        <v>199292</v>
      </c>
      <c r="E4145" t="s">
        <v>36</v>
      </c>
      <c r="F4145" t="s">
        <v>9876</v>
      </c>
      <c r="G4145" s="1">
        <v>45251</v>
      </c>
    </row>
    <row r="4146" spans="1:7">
      <c r="C4146" t="s">
        <v>9877</v>
      </c>
      <c r="D4146">
        <v>136611</v>
      </c>
      <c r="E4146" t="s">
        <v>12</v>
      </c>
      <c r="F4146" t="s">
        <v>9878</v>
      </c>
      <c r="G4146" s="1">
        <v>45186</v>
      </c>
    </row>
    <row r="4147" spans="1:7">
      <c r="A4147" t="s">
        <v>9879</v>
      </c>
      <c r="B4147">
        <v>75</v>
      </c>
      <c r="C4147" t="s">
        <v>9880</v>
      </c>
      <c r="D4147">
        <v>47413</v>
      </c>
      <c r="E4147" t="s">
        <v>27</v>
      </c>
      <c r="F4147" t="s">
        <v>9881</v>
      </c>
      <c r="G4147" s="1">
        <v>45208</v>
      </c>
    </row>
    <row r="4148" spans="1:7">
      <c r="A4148" t="s">
        <v>9882</v>
      </c>
      <c r="B4148">
        <v>31</v>
      </c>
      <c r="C4148" t="s">
        <v>9883</v>
      </c>
      <c r="D4148">
        <v>98619</v>
      </c>
      <c r="E4148" t="s">
        <v>12</v>
      </c>
      <c r="F4148">
        <v>3996087222</v>
      </c>
      <c r="G4148" s="1">
        <v>44962</v>
      </c>
    </row>
    <row r="4149" spans="1:7">
      <c r="A4149" t="s">
        <v>9884</v>
      </c>
      <c r="B4149">
        <v>65</v>
      </c>
      <c r="D4149">
        <v>198455</v>
      </c>
      <c r="E4149" t="s">
        <v>9</v>
      </c>
      <c r="F4149">
        <f>1-229-816-5238</f>
        <v>-6282</v>
      </c>
      <c r="G4149" s="1">
        <v>45176</v>
      </c>
    </row>
    <row r="4150" spans="1:7">
      <c r="A4150" t="s">
        <v>9885</v>
      </c>
      <c r="B4150">
        <v>29</v>
      </c>
      <c r="C4150" t="s">
        <v>9886</v>
      </c>
      <c r="E4150" t="s">
        <v>36</v>
      </c>
      <c r="F4150" t="s">
        <v>9887</v>
      </c>
      <c r="G4150" s="1">
        <v>44984</v>
      </c>
    </row>
    <row r="4151" spans="1:7">
      <c r="A4151" t="s">
        <v>9888</v>
      </c>
      <c r="B4151">
        <v>22</v>
      </c>
      <c r="C4151" t="s">
        <v>9889</v>
      </c>
      <c r="D4151">
        <v>89164</v>
      </c>
      <c r="E4151" t="s">
        <v>36</v>
      </c>
      <c r="F4151" t="s">
        <v>9890</v>
      </c>
      <c r="G4151" s="1">
        <v>45259</v>
      </c>
    </row>
    <row r="4152" spans="1:7">
      <c r="A4152" t="s">
        <v>9891</v>
      </c>
      <c r="B4152">
        <v>23</v>
      </c>
      <c r="C4152" t="s">
        <v>9892</v>
      </c>
      <c r="D4152">
        <v>52259</v>
      </c>
      <c r="F4152" t="s">
        <v>9893</v>
      </c>
      <c r="G4152" s="1">
        <v>44976</v>
      </c>
    </row>
    <row r="4153" spans="1:7">
      <c r="A4153" t="s">
        <v>590</v>
      </c>
      <c r="B4153">
        <v>27</v>
      </c>
      <c r="C4153" t="s">
        <v>61</v>
      </c>
      <c r="D4153">
        <v>173326</v>
      </c>
      <c r="E4153" t="s">
        <v>27</v>
      </c>
      <c r="F4153" t="s">
        <v>9894</v>
      </c>
      <c r="G4153" s="1">
        <v>45229</v>
      </c>
    </row>
    <row r="4154" spans="1:7">
      <c r="A4154" t="s">
        <v>9895</v>
      </c>
      <c r="B4154">
        <v>62</v>
      </c>
      <c r="C4154" t="s">
        <v>9896</v>
      </c>
      <c r="D4154">
        <v>99518</v>
      </c>
      <c r="E4154" t="s">
        <v>12</v>
      </c>
      <c r="F4154" t="s">
        <v>9897</v>
      </c>
      <c r="G4154" s="1">
        <v>45012</v>
      </c>
    </row>
    <row r="4155" spans="1:7">
      <c r="A4155" t="s">
        <v>9898</v>
      </c>
      <c r="B4155">
        <v>36</v>
      </c>
      <c r="C4155" t="s">
        <v>9899</v>
      </c>
      <c r="D4155">
        <v>107243</v>
      </c>
      <c r="E4155" t="s">
        <v>12</v>
      </c>
      <c r="F4155" t="s">
        <v>9900</v>
      </c>
      <c r="G4155" s="1">
        <v>44961</v>
      </c>
    </row>
    <row r="4156" spans="1:7">
      <c r="A4156" t="s">
        <v>9901</v>
      </c>
      <c r="B4156">
        <v>19</v>
      </c>
      <c r="C4156" t="s">
        <v>9902</v>
      </c>
      <c r="D4156">
        <v>128971</v>
      </c>
      <c r="E4156" t="s">
        <v>9</v>
      </c>
      <c r="F4156" t="s">
        <v>9903</v>
      </c>
      <c r="G4156" s="1">
        <v>45145</v>
      </c>
    </row>
    <row r="4157" spans="1:7">
      <c r="B4157">
        <v>34</v>
      </c>
      <c r="C4157" t="s">
        <v>299</v>
      </c>
      <c r="D4157">
        <v>183778</v>
      </c>
      <c r="E4157" t="s">
        <v>27</v>
      </c>
      <c r="F4157">
        <v>1835882089</v>
      </c>
      <c r="G4157" s="1">
        <v>45124</v>
      </c>
    </row>
    <row r="4158" spans="1:7">
      <c r="A4158" t="s">
        <v>9904</v>
      </c>
      <c r="B4158">
        <v>71</v>
      </c>
      <c r="C4158" t="s">
        <v>9905</v>
      </c>
      <c r="D4158">
        <v>141715</v>
      </c>
      <c r="E4158" t="s">
        <v>9</v>
      </c>
      <c r="F4158" t="s">
        <v>9906</v>
      </c>
      <c r="G4158" s="1">
        <v>45132</v>
      </c>
    </row>
    <row r="4159" spans="1:7">
      <c r="A4159" t="s">
        <v>9907</v>
      </c>
      <c r="B4159">
        <v>47</v>
      </c>
      <c r="C4159" t="s">
        <v>9908</v>
      </c>
      <c r="D4159">
        <v>93749</v>
      </c>
      <c r="E4159" t="s">
        <v>9</v>
      </c>
      <c r="F4159">
        <f>1-388-500-3659</f>
        <v>-4546</v>
      </c>
      <c r="G4159" s="1">
        <v>45000</v>
      </c>
    </row>
    <row r="4160" spans="1:7">
      <c r="A4160" t="s">
        <v>9909</v>
      </c>
      <c r="B4160">
        <v>999</v>
      </c>
      <c r="D4160">
        <v>36464</v>
      </c>
      <c r="E4160" t="s">
        <v>9</v>
      </c>
      <c r="F4160" t="s">
        <v>9910</v>
      </c>
      <c r="G4160" s="1">
        <v>45269</v>
      </c>
    </row>
    <row r="4161" spans="1:7">
      <c r="A4161" t="s">
        <v>9911</v>
      </c>
      <c r="B4161">
        <v>33</v>
      </c>
      <c r="C4161" t="s">
        <v>9912</v>
      </c>
      <c r="D4161">
        <v>44506</v>
      </c>
      <c r="E4161" t="s">
        <v>36</v>
      </c>
      <c r="G4161" s="1">
        <v>45257</v>
      </c>
    </row>
    <row r="4162" spans="1:7">
      <c r="A4162" t="s">
        <v>9913</v>
      </c>
      <c r="B4162">
        <v>61</v>
      </c>
      <c r="C4162" t="s">
        <v>9914</v>
      </c>
      <c r="D4162">
        <v>-50000</v>
      </c>
      <c r="E4162" t="s">
        <v>12</v>
      </c>
      <c r="F4162" t="s">
        <v>9915</v>
      </c>
      <c r="G4162" s="1">
        <v>45110</v>
      </c>
    </row>
    <row r="4163" spans="1:7">
      <c r="A4163" t="s">
        <v>9916</v>
      </c>
      <c r="B4163">
        <v>78</v>
      </c>
      <c r="C4163" t="s">
        <v>594</v>
      </c>
      <c r="D4163">
        <v>100404</v>
      </c>
      <c r="E4163" t="s">
        <v>36</v>
      </c>
      <c r="F4163">
        <f>1-465-992-1975</f>
        <v>-3431</v>
      </c>
      <c r="G4163" s="1">
        <v>45288</v>
      </c>
    </row>
    <row r="4164" spans="1:7">
      <c r="A4164" t="s">
        <v>9917</v>
      </c>
      <c r="B4164">
        <v>23</v>
      </c>
      <c r="C4164" t="s">
        <v>9918</v>
      </c>
      <c r="D4164">
        <v>50116</v>
      </c>
      <c r="E4164" t="s">
        <v>12</v>
      </c>
      <c r="F4164">
        <f>1-879-477-3931</f>
        <v>-5286</v>
      </c>
      <c r="G4164" s="1">
        <v>45113</v>
      </c>
    </row>
    <row r="4165" spans="1:7">
      <c r="A4165" t="s">
        <v>94</v>
      </c>
      <c r="B4165">
        <v>78</v>
      </c>
      <c r="C4165" t="s">
        <v>9919</v>
      </c>
      <c r="D4165">
        <v>110960</v>
      </c>
      <c r="E4165" t="s">
        <v>9</v>
      </c>
      <c r="F4165" t="s">
        <v>9920</v>
      </c>
      <c r="G4165" s="1">
        <v>45206</v>
      </c>
    </row>
    <row r="4166" spans="1:7">
      <c r="A4166" t="s">
        <v>9921</v>
      </c>
      <c r="B4166">
        <v>46</v>
      </c>
      <c r="C4166" t="s">
        <v>9922</v>
      </c>
      <c r="D4166">
        <v>159716</v>
      </c>
      <c r="E4166" t="s">
        <v>27</v>
      </c>
      <c r="F4166" t="s">
        <v>9923</v>
      </c>
      <c r="G4166" s="1">
        <v>45113</v>
      </c>
    </row>
    <row r="4167" spans="1:7">
      <c r="A4167" t="s">
        <v>9924</v>
      </c>
      <c r="B4167">
        <v>56</v>
      </c>
      <c r="C4167" t="s">
        <v>9925</v>
      </c>
      <c r="D4167">
        <v>161763</v>
      </c>
      <c r="E4167" t="s">
        <v>9</v>
      </c>
      <c r="F4167">
        <v>1179276130</v>
      </c>
      <c r="G4167" s="1">
        <v>45045</v>
      </c>
    </row>
    <row r="4168" spans="1:7">
      <c r="A4168" t="s">
        <v>9926</v>
      </c>
      <c r="B4168">
        <v>46</v>
      </c>
      <c r="C4168" t="s">
        <v>9927</v>
      </c>
      <c r="D4168">
        <v>64578</v>
      </c>
      <c r="E4168" t="s">
        <v>9</v>
      </c>
      <c r="F4168">
        <f>1-582-369-1491</f>
        <v>-2441</v>
      </c>
      <c r="G4168" s="1">
        <v>45066</v>
      </c>
    </row>
    <row r="4169" spans="1:7">
      <c r="A4169" t="s">
        <v>9928</v>
      </c>
      <c r="B4169">
        <v>25</v>
      </c>
      <c r="C4169" t="s">
        <v>9929</v>
      </c>
      <c r="D4169">
        <v>40785</v>
      </c>
      <c r="E4169" t="s">
        <v>27</v>
      </c>
      <c r="F4169" t="s">
        <v>9930</v>
      </c>
      <c r="G4169" s="1">
        <v>45047</v>
      </c>
    </row>
    <row r="4170" spans="1:7">
      <c r="A4170" t="s">
        <v>9931</v>
      </c>
      <c r="B4170">
        <v>75</v>
      </c>
      <c r="C4170" t="s">
        <v>9932</v>
      </c>
      <c r="D4170">
        <v>125761</v>
      </c>
      <c r="E4170" t="s">
        <v>9</v>
      </c>
      <c r="F4170" t="s">
        <v>9933</v>
      </c>
      <c r="G4170" s="1">
        <v>45156</v>
      </c>
    </row>
    <row r="4171" spans="1:7">
      <c r="A4171" t="s">
        <v>9934</v>
      </c>
      <c r="B4171">
        <v>-25</v>
      </c>
      <c r="C4171" t="s">
        <v>9935</v>
      </c>
      <c r="D4171">
        <v>106946</v>
      </c>
      <c r="E4171" t="s">
        <v>36</v>
      </c>
      <c r="F4171" t="s">
        <v>9936</v>
      </c>
      <c r="G4171" s="1">
        <v>45139</v>
      </c>
    </row>
    <row r="4172" spans="1:7">
      <c r="A4172" t="s">
        <v>4173</v>
      </c>
      <c r="C4172" t="s">
        <v>594</v>
      </c>
      <c r="D4172">
        <v>75095</v>
      </c>
      <c r="E4172" t="s">
        <v>27</v>
      </c>
      <c r="F4172" t="s">
        <v>9937</v>
      </c>
      <c r="G4172" s="1">
        <v>45274</v>
      </c>
    </row>
    <row r="4173" spans="1:7">
      <c r="A4173" t="s">
        <v>8757</v>
      </c>
      <c r="B4173">
        <v>31</v>
      </c>
      <c r="C4173" t="s">
        <v>9938</v>
      </c>
      <c r="D4173">
        <v>110409</v>
      </c>
      <c r="E4173" t="s">
        <v>12</v>
      </c>
      <c r="F4173" t="s">
        <v>9939</v>
      </c>
      <c r="G4173" s="1">
        <v>45161</v>
      </c>
    </row>
    <row r="4174" spans="1:7">
      <c r="A4174" t="s">
        <v>9940</v>
      </c>
      <c r="B4174">
        <v>70</v>
      </c>
      <c r="C4174" t="s">
        <v>9941</v>
      </c>
      <c r="D4174">
        <v>117959</v>
      </c>
      <c r="E4174" t="s">
        <v>12</v>
      </c>
      <c r="F4174" t="s">
        <v>9942</v>
      </c>
      <c r="G4174" s="1">
        <v>44933</v>
      </c>
    </row>
    <row r="4175" spans="1:7">
      <c r="A4175" t="s">
        <v>9943</v>
      </c>
      <c r="B4175">
        <v>66</v>
      </c>
      <c r="D4175">
        <v>37601</v>
      </c>
      <c r="E4175" t="s">
        <v>9</v>
      </c>
      <c r="F4175" t="s">
        <v>9944</v>
      </c>
      <c r="G4175" s="1">
        <v>45136</v>
      </c>
    </row>
    <row r="4176" spans="1:7">
      <c r="B4176">
        <v>500</v>
      </c>
      <c r="C4176" t="s">
        <v>9945</v>
      </c>
      <c r="D4176">
        <v>129515</v>
      </c>
      <c r="E4176" t="s">
        <v>36</v>
      </c>
      <c r="F4176" t="s">
        <v>9946</v>
      </c>
      <c r="G4176" s="1">
        <v>44938</v>
      </c>
    </row>
    <row r="4177" spans="1:7">
      <c r="A4177" t="s">
        <v>5904</v>
      </c>
      <c r="B4177">
        <v>65</v>
      </c>
      <c r="C4177" t="s">
        <v>9947</v>
      </c>
      <c r="D4177">
        <v>105715</v>
      </c>
      <c r="E4177" t="s">
        <v>9</v>
      </c>
      <c r="F4177">
        <f>1-239-607-6918</f>
        <v>-7763</v>
      </c>
      <c r="G4177" s="1">
        <v>45261</v>
      </c>
    </row>
    <row r="4178" spans="1:7">
      <c r="A4178" t="s">
        <v>22</v>
      </c>
      <c r="B4178">
        <v>35</v>
      </c>
      <c r="C4178" t="s">
        <v>9948</v>
      </c>
      <c r="D4178">
        <v>34234</v>
      </c>
      <c r="E4178" t="s">
        <v>27</v>
      </c>
      <c r="F4178">
        <f>1-811-594-9106</f>
        <v>-10510</v>
      </c>
      <c r="G4178" s="1">
        <v>45107</v>
      </c>
    </row>
    <row r="4179" spans="1:7">
      <c r="A4179" t="s">
        <v>9949</v>
      </c>
      <c r="B4179">
        <v>53</v>
      </c>
      <c r="C4179" t="s">
        <v>9950</v>
      </c>
      <c r="D4179">
        <v>164445</v>
      </c>
      <c r="E4179" t="s">
        <v>12</v>
      </c>
      <c r="F4179">
        <f>1-377-722-2623</f>
        <v>-3721</v>
      </c>
      <c r="G4179" s="1">
        <v>45022</v>
      </c>
    </row>
    <row r="4180" spans="1:7">
      <c r="A4180" t="s">
        <v>9951</v>
      </c>
      <c r="B4180">
        <v>-25</v>
      </c>
      <c r="C4180" t="s">
        <v>9952</v>
      </c>
      <c r="D4180">
        <v>121118</v>
      </c>
      <c r="E4180" t="s">
        <v>27</v>
      </c>
      <c r="F4180" t="s">
        <v>9953</v>
      </c>
      <c r="G4180" s="1">
        <v>45239</v>
      </c>
    </row>
    <row r="4181" spans="1:7">
      <c r="A4181" t="s">
        <v>9954</v>
      </c>
      <c r="B4181">
        <v>49</v>
      </c>
      <c r="C4181" t="s">
        <v>9955</v>
      </c>
      <c r="D4181">
        <v>129572</v>
      </c>
      <c r="E4181" t="s">
        <v>9</v>
      </c>
      <c r="F4181">
        <f>1-465-656-8880</f>
        <v>-10000</v>
      </c>
      <c r="G4181" s="1">
        <v>44990</v>
      </c>
    </row>
    <row r="4182" spans="1:7">
      <c r="A4182" t="s">
        <v>9956</v>
      </c>
      <c r="B4182">
        <v>43</v>
      </c>
      <c r="C4182" t="s">
        <v>9957</v>
      </c>
      <c r="D4182">
        <v>195070</v>
      </c>
      <c r="E4182" t="s">
        <v>27</v>
      </c>
      <c r="F4182">
        <v>6936078258</v>
      </c>
      <c r="G4182" s="1">
        <v>45133</v>
      </c>
    </row>
    <row r="4183" spans="1:7">
      <c r="A4183" t="s">
        <v>9958</v>
      </c>
      <c r="B4183">
        <v>53</v>
      </c>
      <c r="C4183" t="s">
        <v>9959</v>
      </c>
      <c r="D4183">
        <v>31515</v>
      </c>
      <c r="E4183" t="s">
        <v>12</v>
      </c>
      <c r="F4183" t="s">
        <v>9960</v>
      </c>
      <c r="G4183" s="1">
        <v>45012</v>
      </c>
    </row>
    <row r="4184" spans="1:7">
      <c r="A4184" t="s">
        <v>9961</v>
      </c>
      <c r="B4184">
        <v>-50</v>
      </c>
      <c r="C4184" t="s">
        <v>9962</v>
      </c>
      <c r="D4184">
        <v>179233</v>
      </c>
      <c r="E4184" t="s">
        <v>36</v>
      </c>
      <c r="F4184" t="s">
        <v>9963</v>
      </c>
      <c r="G4184" s="1">
        <v>45105</v>
      </c>
    </row>
    <row r="4185" spans="1:7">
      <c r="A4185" t="s">
        <v>9964</v>
      </c>
      <c r="B4185">
        <v>32</v>
      </c>
      <c r="C4185" t="s">
        <v>9965</v>
      </c>
      <c r="D4185">
        <v>58992</v>
      </c>
      <c r="E4185" t="s">
        <v>36</v>
      </c>
      <c r="F4185" t="s">
        <v>9966</v>
      </c>
      <c r="G4185" s="1">
        <v>45057</v>
      </c>
    </row>
    <row r="4186" spans="1:7">
      <c r="A4186" t="s">
        <v>9967</v>
      </c>
      <c r="B4186">
        <v>23</v>
      </c>
      <c r="E4186" t="s">
        <v>12</v>
      </c>
      <c r="F4186" t="s">
        <v>9968</v>
      </c>
      <c r="G4186" s="1">
        <v>45223</v>
      </c>
    </row>
    <row r="4187" spans="1:7">
      <c r="A4187" t="s">
        <v>9969</v>
      </c>
      <c r="B4187">
        <v>73</v>
      </c>
      <c r="C4187" t="s">
        <v>9970</v>
      </c>
      <c r="D4187">
        <v>108572</v>
      </c>
      <c r="E4187" t="s">
        <v>12</v>
      </c>
      <c r="F4187">
        <v>7855638604</v>
      </c>
      <c r="G4187" s="1">
        <v>45025</v>
      </c>
    </row>
    <row r="4188" spans="1:7">
      <c r="A4188" t="s">
        <v>9971</v>
      </c>
      <c r="B4188">
        <v>30</v>
      </c>
      <c r="C4188" t="s">
        <v>9972</v>
      </c>
      <c r="D4188">
        <v>156299</v>
      </c>
      <c r="E4188" t="s">
        <v>27</v>
      </c>
      <c r="F4188" t="s">
        <v>9973</v>
      </c>
      <c r="G4188" s="1">
        <v>45111</v>
      </c>
    </row>
    <row r="4189" spans="1:7">
      <c r="A4189" t="s">
        <v>9974</v>
      </c>
      <c r="B4189">
        <v>69</v>
      </c>
      <c r="C4189" t="s">
        <v>9975</v>
      </c>
      <c r="D4189">
        <v>199579</v>
      </c>
      <c r="E4189" t="s">
        <v>12</v>
      </c>
      <c r="F4189" t="s">
        <v>9976</v>
      </c>
      <c r="G4189" s="1">
        <v>45170</v>
      </c>
    </row>
    <row r="4190" spans="1:7">
      <c r="A4190" t="s">
        <v>9977</v>
      </c>
      <c r="B4190">
        <v>77</v>
      </c>
      <c r="C4190" t="s">
        <v>9978</v>
      </c>
      <c r="D4190">
        <v>109267</v>
      </c>
      <c r="E4190" t="s">
        <v>27</v>
      </c>
      <c r="F4190" t="s">
        <v>9979</v>
      </c>
      <c r="G4190" s="1">
        <v>45118</v>
      </c>
    </row>
    <row r="4191" spans="1:7">
      <c r="A4191" t="s">
        <v>9980</v>
      </c>
      <c r="B4191">
        <v>300</v>
      </c>
      <c r="C4191" t="s">
        <v>9981</v>
      </c>
      <c r="D4191">
        <v>126498</v>
      </c>
      <c r="E4191" t="s">
        <v>9</v>
      </c>
      <c r="F4191" t="s">
        <v>9982</v>
      </c>
      <c r="G4191" s="1">
        <v>45283</v>
      </c>
    </row>
    <row r="4192" spans="1:7">
      <c r="A4192" t="s">
        <v>9983</v>
      </c>
      <c r="B4192">
        <v>72</v>
      </c>
      <c r="C4192" t="s">
        <v>9984</v>
      </c>
      <c r="D4192">
        <v>193996</v>
      </c>
      <c r="E4192" t="s">
        <v>9</v>
      </c>
      <c r="F4192" t="s">
        <v>9985</v>
      </c>
      <c r="G4192" s="1">
        <v>45024</v>
      </c>
    </row>
    <row r="4193" spans="1:7">
      <c r="A4193" t="s">
        <v>9986</v>
      </c>
      <c r="B4193">
        <v>27</v>
      </c>
      <c r="C4193" t="s">
        <v>9987</v>
      </c>
      <c r="D4193">
        <v>107694</v>
      </c>
      <c r="E4193" t="s">
        <v>12</v>
      </c>
      <c r="F4193" t="s">
        <v>9988</v>
      </c>
      <c r="G4193" s="1">
        <v>44940</v>
      </c>
    </row>
    <row r="4194" spans="1:7">
      <c r="A4194" t="s">
        <v>9989</v>
      </c>
      <c r="B4194">
        <v>23</v>
      </c>
      <c r="C4194" t="s">
        <v>9990</v>
      </c>
      <c r="E4194" t="s">
        <v>12</v>
      </c>
      <c r="F4194" t="s">
        <v>9991</v>
      </c>
      <c r="G4194" s="1">
        <v>45080</v>
      </c>
    </row>
    <row r="4195" spans="1:7">
      <c r="A4195" t="s">
        <v>9992</v>
      </c>
      <c r="B4195">
        <v>71</v>
      </c>
      <c r="C4195" t="s">
        <v>9993</v>
      </c>
      <c r="D4195">
        <v>60480</v>
      </c>
      <c r="E4195" t="s">
        <v>12</v>
      </c>
      <c r="F4195">
        <v>6157964035</v>
      </c>
      <c r="G4195" s="1">
        <v>45182</v>
      </c>
    </row>
    <row r="4196" spans="1:7">
      <c r="A4196" t="s">
        <v>4855</v>
      </c>
      <c r="B4196">
        <v>73</v>
      </c>
      <c r="C4196" t="s">
        <v>9994</v>
      </c>
      <c r="D4196">
        <v>196812</v>
      </c>
      <c r="E4196" t="s">
        <v>18</v>
      </c>
      <c r="F4196" t="s">
        <v>9995</v>
      </c>
      <c r="G4196" s="1">
        <v>45012</v>
      </c>
    </row>
    <row r="4197" spans="1:7">
      <c r="A4197" t="s">
        <v>9996</v>
      </c>
      <c r="B4197">
        <v>43</v>
      </c>
      <c r="C4197" t="s">
        <v>9997</v>
      </c>
      <c r="D4197">
        <v>127557</v>
      </c>
      <c r="E4197" t="s">
        <v>27</v>
      </c>
      <c r="F4197" t="s">
        <v>9998</v>
      </c>
      <c r="G4197" s="1">
        <v>44956</v>
      </c>
    </row>
    <row r="4198" spans="1:7">
      <c r="A4198" t="s">
        <v>9999</v>
      </c>
      <c r="B4198">
        <v>36</v>
      </c>
      <c r="C4198" t="s">
        <v>10000</v>
      </c>
      <c r="D4198">
        <v>131121</v>
      </c>
      <c r="E4198" t="s">
        <v>36</v>
      </c>
      <c r="F4198">
        <v>3584703554</v>
      </c>
      <c r="G4198" s="1">
        <v>45171</v>
      </c>
    </row>
    <row r="4199" spans="1:7">
      <c r="B4199">
        <v>56</v>
      </c>
      <c r="C4199" t="s">
        <v>10001</v>
      </c>
      <c r="D4199">
        <v>52738</v>
      </c>
      <c r="E4199" t="s">
        <v>12</v>
      </c>
      <c r="F4199">
        <f>1-897-751-9615</f>
        <v>-11262</v>
      </c>
      <c r="G4199" s="1">
        <v>45230</v>
      </c>
    </row>
    <row r="4200" spans="1:7">
      <c r="A4200" t="s">
        <v>4147</v>
      </c>
      <c r="B4200">
        <v>68</v>
      </c>
      <c r="C4200" t="s">
        <v>518</v>
      </c>
      <c r="D4200">
        <v>162702</v>
      </c>
      <c r="E4200" t="s">
        <v>9</v>
      </c>
      <c r="F4200" t="s">
        <v>10002</v>
      </c>
      <c r="G4200" s="1">
        <v>44991</v>
      </c>
    </row>
    <row r="4201" spans="1:7">
      <c r="A4201" t="s">
        <v>10003</v>
      </c>
      <c r="B4201">
        <v>66</v>
      </c>
      <c r="C4201" t="s">
        <v>10004</v>
      </c>
      <c r="D4201">
        <v>158867</v>
      </c>
      <c r="E4201" t="s">
        <v>27</v>
      </c>
      <c r="F4201" t="s">
        <v>10005</v>
      </c>
      <c r="G4201" s="1">
        <v>45217</v>
      </c>
    </row>
    <row r="4202" spans="1:7">
      <c r="A4202" t="s">
        <v>10006</v>
      </c>
      <c r="B4202">
        <v>34</v>
      </c>
      <c r="C4202" t="s">
        <v>10007</v>
      </c>
      <c r="D4202">
        <v>117939</v>
      </c>
      <c r="E4202" t="s">
        <v>9</v>
      </c>
      <c r="F4202" t="s">
        <v>10008</v>
      </c>
      <c r="G4202" s="1">
        <v>45120</v>
      </c>
    </row>
    <row r="4203" spans="1:7">
      <c r="A4203" t="s">
        <v>10009</v>
      </c>
      <c r="B4203">
        <v>35</v>
      </c>
      <c r="C4203" t="s">
        <v>10010</v>
      </c>
      <c r="D4203">
        <v>163959</v>
      </c>
      <c r="E4203" t="s">
        <v>12</v>
      </c>
      <c r="F4203" t="s">
        <v>10011</v>
      </c>
      <c r="G4203" s="1">
        <v>45157</v>
      </c>
    </row>
    <row r="4204" spans="1:7">
      <c r="A4204" t="s">
        <v>10012</v>
      </c>
      <c r="B4204">
        <v>75</v>
      </c>
      <c r="C4204" t="s">
        <v>10013</v>
      </c>
      <c r="D4204">
        <v>129956</v>
      </c>
      <c r="E4204" t="s">
        <v>12</v>
      </c>
      <c r="F4204" t="s">
        <v>10014</v>
      </c>
      <c r="G4204" s="1">
        <v>45210</v>
      </c>
    </row>
    <row r="4205" spans="1:7">
      <c r="A4205" t="s">
        <v>10015</v>
      </c>
      <c r="B4205">
        <v>22</v>
      </c>
      <c r="D4205">
        <v>108278</v>
      </c>
      <c r="E4205" t="s">
        <v>36</v>
      </c>
      <c r="F4205" t="s">
        <v>10016</v>
      </c>
      <c r="G4205" s="1">
        <v>44982</v>
      </c>
    </row>
    <row r="4206" spans="1:7">
      <c r="A4206" t="s">
        <v>10017</v>
      </c>
      <c r="B4206">
        <v>73</v>
      </c>
      <c r="C4206" t="s">
        <v>10018</v>
      </c>
      <c r="D4206">
        <v>62125</v>
      </c>
      <c r="E4206" t="s">
        <v>9</v>
      </c>
      <c r="F4206" t="s">
        <v>10019</v>
      </c>
      <c r="G4206" s="1">
        <v>45136</v>
      </c>
    </row>
    <row r="4207" spans="1:7">
      <c r="A4207" t="s">
        <v>10020</v>
      </c>
      <c r="C4207" t="s">
        <v>10021</v>
      </c>
      <c r="D4207">
        <v>34239</v>
      </c>
      <c r="E4207" t="s">
        <v>49</v>
      </c>
      <c r="F4207">
        <v>4502414628</v>
      </c>
      <c r="G4207" s="1">
        <v>45104</v>
      </c>
    </row>
    <row r="4208" spans="1:7">
      <c r="A4208" t="s">
        <v>10022</v>
      </c>
      <c r="B4208">
        <v>61</v>
      </c>
      <c r="C4208" t="s">
        <v>10023</v>
      </c>
      <c r="D4208">
        <v>75968</v>
      </c>
      <c r="E4208" t="s">
        <v>36</v>
      </c>
      <c r="F4208">
        <f>1-810-341-3835</f>
        <v>-4985</v>
      </c>
      <c r="G4208" s="1">
        <v>45148</v>
      </c>
    </row>
    <row r="4209" spans="1:7">
      <c r="A4209" t="s">
        <v>6847</v>
      </c>
      <c r="B4209">
        <v>31</v>
      </c>
      <c r="C4209" t="s">
        <v>6848</v>
      </c>
      <c r="D4209">
        <v>-10000</v>
      </c>
      <c r="E4209" t="s">
        <v>9</v>
      </c>
      <c r="F4209">
        <v>6810639622</v>
      </c>
      <c r="G4209" s="1">
        <v>45187</v>
      </c>
    </row>
    <row r="4210" spans="1:7">
      <c r="A4210" t="s">
        <v>10024</v>
      </c>
      <c r="B4210">
        <v>66</v>
      </c>
      <c r="C4210" t="s">
        <v>10025</v>
      </c>
      <c r="D4210">
        <v>157992</v>
      </c>
      <c r="E4210" t="s">
        <v>9</v>
      </c>
      <c r="F4210" t="s">
        <v>10026</v>
      </c>
      <c r="G4210" s="1">
        <v>44984</v>
      </c>
    </row>
    <row r="4211" spans="1:7">
      <c r="A4211" t="s">
        <v>10027</v>
      </c>
      <c r="B4211">
        <v>39</v>
      </c>
      <c r="D4211">
        <v>103302</v>
      </c>
      <c r="E4211" t="s">
        <v>27</v>
      </c>
      <c r="F4211" t="s">
        <v>10028</v>
      </c>
      <c r="G4211" t="s">
        <v>715</v>
      </c>
    </row>
    <row r="4212" spans="1:7">
      <c r="A4212" t="s">
        <v>10029</v>
      </c>
      <c r="B4212">
        <v>43</v>
      </c>
      <c r="C4212" t="s">
        <v>10030</v>
      </c>
      <c r="D4212">
        <v>194044</v>
      </c>
      <c r="E4212" t="s">
        <v>9</v>
      </c>
      <c r="F4212">
        <f>1-908-960-4172</f>
        <v>-6039</v>
      </c>
      <c r="G4212" s="1">
        <v>44929</v>
      </c>
    </row>
    <row r="4213" spans="1:7">
      <c r="A4213" t="s">
        <v>10031</v>
      </c>
      <c r="C4213" t="s">
        <v>10032</v>
      </c>
      <c r="D4213">
        <v>110052</v>
      </c>
      <c r="E4213" t="s">
        <v>9</v>
      </c>
      <c r="F4213" t="s">
        <v>10033</v>
      </c>
      <c r="G4213" s="1">
        <v>45201</v>
      </c>
    </row>
    <row r="4214" spans="1:7">
      <c r="A4214" t="s">
        <v>10034</v>
      </c>
      <c r="B4214">
        <v>45</v>
      </c>
      <c r="C4214" t="s">
        <v>10035</v>
      </c>
      <c r="D4214">
        <v>128682</v>
      </c>
      <c r="E4214" t="s">
        <v>9</v>
      </c>
      <c r="F4214">
        <v>9599885296</v>
      </c>
      <c r="G4214" t="s">
        <v>715</v>
      </c>
    </row>
    <row r="4215" spans="1:7">
      <c r="A4215" t="s">
        <v>6940</v>
      </c>
      <c r="B4215">
        <v>52</v>
      </c>
      <c r="C4215" t="s">
        <v>10036</v>
      </c>
      <c r="D4215">
        <v>106290</v>
      </c>
      <c r="E4215" t="s">
        <v>12</v>
      </c>
      <c r="F4215">
        <v>2009375725</v>
      </c>
      <c r="G4215" s="1">
        <v>45213</v>
      </c>
    </row>
    <row r="4216" spans="1:7">
      <c r="A4216" t="s">
        <v>10037</v>
      </c>
      <c r="B4216">
        <v>71</v>
      </c>
      <c r="C4216" t="s">
        <v>17</v>
      </c>
      <c r="D4216">
        <v>165451</v>
      </c>
      <c r="E4216" t="s">
        <v>9</v>
      </c>
      <c r="F4216" t="s">
        <v>10038</v>
      </c>
      <c r="G4216" s="1">
        <v>44995</v>
      </c>
    </row>
    <row r="4217" spans="1:7">
      <c r="A4217" t="s">
        <v>10039</v>
      </c>
      <c r="B4217">
        <v>68</v>
      </c>
      <c r="C4217" t="s">
        <v>10040</v>
      </c>
      <c r="D4217">
        <v>37987</v>
      </c>
      <c r="E4217" t="s">
        <v>9</v>
      </c>
      <c r="F4217">
        <f>1-715-898-3486</f>
        <v>-5098</v>
      </c>
      <c r="G4217" s="1">
        <v>44957</v>
      </c>
    </row>
    <row r="4218" spans="1:7">
      <c r="A4218" t="s">
        <v>10041</v>
      </c>
      <c r="B4218">
        <v>-100</v>
      </c>
      <c r="C4218" t="s">
        <v>10042</v>
      </c>
      <c r="E4218" t="s">
        <v>27</v>
      </c>
      <c r="F4218">
        <f>1-322-914-2847</f>
        <v>-4082</v>
      </c>
      <c r="G4218" s="1">
        <v>45282</v>
      </c>
    </row>
    <row r="4219" spans="1:7">
      <c r="A4219" t="s">
        <v>10043</v>
      </c>
      <c r="B4219">
        <v>29</v>
      </c>
      <c r="C4219" t="s">
        <v>10044</v>
      </c>
      <c r="D4219">
        <v>152990</v>
      </c>
      <c r="E4219" t="s">
        <v>12</v>
      </c>
      <c r="F4219" t="s">
        <v>10045</v>
      </c>
      <c r="G4219" s="1">
        <v>45008</v>
      </c>
    </row>
    <row r="4220" spans="1:7">
      <c r="A4220" t="s">
        <v>10046</v>
      </c>
      <c r="B4220">
        <v>-100</v>
      </c>
      <c r="C4220" t="s">
        <v>10047</v>
      </c>
      <c r="D4220">
        <v>145140</v>
      </c>
      <c r="E4220" t="s">
        <v>27</v>
      </c>
      <c r="F4220">
        <v>6171843301</v>
      </c>
      <c r="G4220" s="1">
        <v>44983</v>
      </c>
    </row>
    <row r="4221" spans="1:7">
      <c r="A4221" t="s">
        <v>10048</v>
      </c>
      <c r="B4221">
        <v>26</v>
      </c>
      <c r="C4221" t="s">
        <v>10049</v>
      </c>
      <c r="D4221">
        <v>37812</v>
      </c>
      <c r="E4221" t="s">
        <v>9</v>
      </c>
      <c r="F4221" t="s">
        <v>10050</v>
      </c>
      <c r="G4221" s="1">
        <v>45275</v>
      </c>
    </row>
    <row r="4222" spans="1:7">
      <c r="A4222" t="s">
        <v>10051</v>
      </c>
      <c r="B4222">
        <v>-100</v>
      </c>
      <c r="C4222" t="s">
        <v>10052</v>
      </c>
      <c r="D4222">
        <v>133306</v>
      </c>
      <c r="E4222" t="s">
        <v>9</v>
      </c>
      <c r="F4222" t="s">
        <v>10053</v>
      </c>
      <c r="G4222" s="1">
        <v>45229</v>
      </c>
    </row>
    <row r="4223" spans="1:7">
      <c r="A4223" t="s">
        <v>10054</v>
      </c>
      <c r="B4223">
        <v>28</v>
      </c>
      <c r="D4223">
        <v>145652</v>
      </c>
      <c r="E4223" t="s">
        <v>36</v>
      </c>
      <c r="F4223">
        <v>3554223931</v>
      </c>
      <c r="G4223" s="1">
        <v>45012</v>
      </c>
    </row>
    <row r="4224" spans="1:7">
      <c r="A4224" t="s">
        <v>10055</v>
      </c>
      <c r="B4224">
        <v>46</v>
      </c>
      <c r="C4224" t="s">
        <v>10056</v>
      </c>
      <c r="D4224">
        <v>157173</v>
      </c>
      <c r="E4224" t="s">
        <v>527</v>
      </c>
      <c r="F4224" t="s">
        <v>10057</v>
      </c>
      <c r="G4224" s="1">
        <v>45261</v>
      </c>
    </row>
    <row r="4225" spans="1:7">
      <c r="A4225" t="s">
        <v>10058</v>
      </c>
      <c r="B4225">
        <v>78</v>
      </c>
      <c r="C4225" t="s">
        <v>10059</v>
      </c>
      <c r="D4225">
        <v>35577</v>
      </c>
      <c r="E4225" t="s">
        <v>36</v>
      </c>
      <c r="F4225" t="s">
        <v>10060</v>
      </c>
      <c r="G4225" s="1">
        <v>45011</v>
      </c>
    </row>
    <row r="4226" spans="1:7">
      <c r="A4226" t="s">
        <v>10061</v>
      </c>
      <c r="B4226">
        <v>76</v>
      </c>
      <c r="C4226" t="s">
        <v>10062</v>
      </c>
      <c r="D4226">
        <v>-20000</v>
      </c>
      <c r="E4226" t="s">
        <v>27</v>
      </c>
      <c r="F4226" t="s">
        <v>10063</v>
      </c>
      <c r="G4226" s="1">
        <v>45120</v>
      </c>
    </row>
    <row r="4227" spans="1:7">
      <c r="B4227">
        <v>51</v>
      </c>
      <c r="C4227" t="s">
        <v>17</v>
      </c>
      <c r="D4227">
        <v>143711</v>
      </c>
      <c r="E4227" t="s">
        <v>27</v>
      </c>
      <c r="F4227" t="s">
        <v>10064</v>
      </c>
      <c r="G4227" s="1">
        <v>44958</v>
      </c>
    </row>
    <row r="4228" spans="1:7">
      <c r="A4228" t="s">
        <v>10065</v>
      </c>
      <c r="B4228">
        <v>38</v>
      </c>
      <c r="C4228" t="s">
        <v>10066</v>
      </c>
      <c r="E4228" t="s">
        <v>27</v>
      </c>
      <c r="F4228" t="s">
        <v>10067</v>
      </c>
      <c r="G4228" s="1">
        <v>44952</v>
      </c>
    </row>
    <row r="4229" spans="1:7">
      <c r="A4229" t="s">
        <v>10068</v>
      </c>
      <c r="B4229">
        <v>68</v>
      </c>
      <c r="C4229" t="s">
        <v>10069</v>
      </c>
      <c r="D4229">
        <v>-5000</v>
      </c>
      <c r="E4229" t="s">
        <v>12</v>
      </c>
      <c r="F4229">
        <v>3269150598</v>
      </c>
      <c r="G4229" s="1">
        <v>45172</v>
      </c>
    </row>
    <row r="4230" spans="1:7">
      <c r="A4230" t="s">
        <v>10070</v>
      </c>
      <c r="B4230">
        <v>60</v>
      </c>
      <c r="C4230" t="s">
        <v>169</v>
      </c>
      <c r="D4230">
        <v>151070</v>
      </c>
      <c r="E4230" t="s">
        <v>36</v>
      </c>
      <c r="F4230">
        <f>1-734-732-5125</f>
        <v>-6590</v>
      </c>
      <c r="G4230" s="1">
        <v>45024</v>
      </c>
    </row>
    <row r="4231" spans="1:7">
      <c r="A4231" t="s">
        <v>10071</v>
      </c>
      <c r="B4231">
        <v>70</v>
      </c>
      <c r="C4231" t="s">
        <v>10072</v>
      </c>
      <c r="D4231">
        <v>33225</v>
      </c>
      <c r="E4231" t="s">
        <v>36</v>
      </c>
      <c r="F4231">
        <v>6686039480</v>
      </c>
      <c r="G4231" s="1">
        <v>45066</v>
      </c>
    </row>
    <row r="4232" spans="1:7">
      <c r="A4232" t="s">
        <v>10073</v>
      </c>
      <c r="B4232">
        <v>41</v>
      </c>
      <c r="C4232" t="s">
        <v>594</v>
      </c>
      <c r="D4232">
        <v>181883</v>
      </c>
      <c r="E4232" t="s">
        <v>358</v>
      </c>
      <c r="F4232" t="s">
        <v>10074</v>
      </c>
      <c r="G4232" s="1">
        <v>45139</v>
      </c>
    </row>
    <row r="4233" spans="1:7">
      <c r="A4233" t="s">
        <v>10075</v>
      </c>
      <c r="B4233">
        <v>56</v>
      </c>
      <c r="C4233" t="s">
        <v>10076</v>
      </c>
      <c r="D4233">
        <v>75117</v>
      </c>
      <c r="E4233" t="s">
        <v>90</v>
      </c>
      <c r="F4233" t="s">
        <v>10077</v>
      </c>
      <c r="G4233" s="1">
        <v>45285</v>
      </c>
    </row>
    <row r="4234" spans="1:7">
      <c r="A4234" t="s">
        <v>10078</v>
      </c>
      <c r="B4234">
        <v>18</v>
      </c>
      <c r="C4234" t="s">
        <v>10079</v>
      </c>
      <c r="D4234">
        <v>112674</v>
      </c>
      <c r="E4234" t="s">
        <v>27</v>
      </c>
      <c r="F4234" t="s">
        <v>10080</v>
      </c>
      <c r="G4234" s="1">
        <v>44944</v>
      </c>
    </row>
    <row r="4235" spans="1:7">
      <c r="A4235" t="s">
        <v>10081</v>
      </c>
      <c r="B4235">
        <v>36</v>
      </c>
      <c r="C4235" t="s">
        <v>10082</v>
      </c>
      <c r="D4235">
        <v>82413</v>
      </c>
      <c r="E4235" t="s">
        <v>27</v>
      </c>
      <c r="F4235" t="s">
        <v>10083</v>
      </c>
      <c r="G4235" s="1">
        <v>44931</v>
      </c>
    </row>
    <row r="4236" spans="1:7">
      <c r="A4236" t="s">
        <v>10084</v>
      </c>
      <c r="B4236">
        <v>43</v>
      </c>
      <c r="C4236" t="s">
        <v>10085</v>
      </c>
      <c r="D4236">
        <v>-20000</v>
      </c>
      <c r="E4236" t="s">
        <v>12</v>
      </c>
      <c r="F4236">
        <v>2595976710</v>
      </c>
      <c r="G4236" s="1">
        <v>45022</v>
      </c>
    </row>
    <row r="4237" spans="1:7">
      <c r="A4237" t="s">
        <v>10086</v>
      </c>
      <c r="B4237">
        <v>26</v>
      </c>
      <c r="C4237" t="s">
        <v>10087</v>
      </c>
      <c r="D4237">
        <v>173369</v>
      </c>
      <c r="E4237" t="s">
        <v>12</v>
      </c>
      <c r="F4237" t="s">
        <v>10088</v>
      </c>
      <c r="G4237" s="1">
        <v>45258</v>
      </c>
    </row>
    <row r="4238" spans="1:7">
      <c r="A4238" t="s">
        <v>10089</v>
      </c>
      <c r="B4238">
        <v>-1</v>
      </c>
      <c r="C4238" t="s">
        <v>10090</v>
      </c>
      <c r="D4238">
        <v>102920</v>
      </c>
      <c r="F4238" t="s">
        <v>10091</v>
      </c>
      <c r="G4238" s="1">
        <v>45102</v>
      </c>
    </row>
    <row r="4239" spans="1:7">
      <c r="A4239" t="s">
        <v>10092</v>
      </c>
      <c r="B4239">
        <v>21</v>
      </c>
      <c r="C4239" t="s">
        <v>10093</v>
      </c>
      <c r="D4239">
        <v>66018</v>
      </c>
      <c r="E4239" t="s">
        <v>27</v>
      </c>
      <c r="F4239" t="s">
        <v>10094</v>
      </c>
      <c r="G4239" s="1">
        <v>45291</v>
      </c>
    </row>
    <row r="4240" spans="1:7">
      <c r="A4240" t="s">
        <v>10095</v>
      </c>
      <c r="B4240">
        <v>22</v>
      </c>
      <c r="C4240" t="s">
        <v>10096</v>
      </c>
      <c r="D4240">
        <v>142470</v>
      </c>
      <c r="E4240" t="s">
        <v>27</v>
      </c>
      <c r="F4240" t="s">
        <v>10097</v>
      </c>
      <c r="G4240" s="1">
        <v>45184</v>
      </c>
    </row>
    <row r="4241" spans="1:7">
      <c r="A4241" t="s">
        <v>10098</v>
      </c>
      <c r="B4241">
        <v>41</v>
      </c>
      <c r="C4241" t="s">
        <v>10099</v>
      </c>
      <c r="D4241">
        <v>173314</v>
      </c>
      <c r="E4241" t="s">
        <v>36</v>
      </c>
      <c r="F4241">
        <f>1-210-531-7977</f>
        <v>-8717</v>
      </c>
      <c r="G4241" s="1">
        <v>44945</v>
      </c>
    </row>
    <row r="4242" spans="1:7">
      <c r="A4242" t="s">
        <v>10100</v>
      </c>
      <c r="B4242">
        <v>25</v>
      </c>
      <c r="C4242" t="s">
        <v>10101</v>
      </c>
      <c r="D4242">
        <v>166385</v>
      </c>
      <c r="E4242" t="s">
        <v>12</v>
      </c>
      <c r="F4242" t="s">
        <v>10102</v>
      </c>
      <c r="G4242" s="1">
        <v>45267</v>
      </c>
    </row>
    <row r="4243" spans="1:7">
      <c r="A4243" t="s">
        <v>8368</v>
      </c>
      <c r="B4243">
        <v>76</v>
      </c>
      <c r="C4243" t="s">
        <v>10103</v>
      </c>
      <c r="D4243">
        <v>89234</v>
      </c>
      <c r="E4243" t="s">
        <v>12</v>
      </c>
      <c r="F4243" t="s">
        <v>10104</v>
      </c>
      <c r="G4243" s="1">
        <v>45129</v>
      </c>
    </row>
    <row r="4244" spans="1:7">
      <c r="A4244" t="s">
        <v>10105</v>
      </c>
      <c r="B4244">
        <v>18</v>
      </c>
      <c r="C4244" t="s">
        <v>10106</v>
      </c>
      <c r="D4244">
        <v>155788</v>
      </c>
      <c r="E4244" t="s">
        <v>27</v>
      </c>
      <c r="F4244">
        <v>8300745056</v>
      </c>
      <c r="G4244" s="1">
        <v>45255</v>
      </c>
    </row>
    <row r="4245" spans="1:7">
      <c r="B4245">
        <v>56</v>
      </c>
      <c r="C4245" t="s">
        <v>10107</v>
      </c>
      <c r="E4245" t="s">
        <v>27</v>
      </c>
      <c r="F4245" t="s">
        <v>10108</v>
      </c>
      <c r="G4245" s="1">
        <v>45113</v>
      </c>
    </row>
    <row r="4246" spans="1:7">
      <c r="A4246" t="s">
        <v>10109</v>
      </c>
      <c r="B4246">
        <v>70</v>
      </c>
      <c r="C4246" t="s">
        <v>10110</v>
      </c>
      <c r="D4246">
        <v>171727</v>
      </c>
      <c r="E4246" t="s">
        <v>36</v>
      </c>
      <c r="F4246" t="s">
        <v>10111</v>
      </c>
      <c r="G4246" s="1">
        <v>44938</v>
      </c>
    </row>
    <row r="4247" spans="1:7">
      <c r="A4247" t="s">
        <v>10112</v>
      </c>
      <c r="B4247">
        <v>20</v>
      </c>
      <c r="C4247" t="s">
        <v>10113</v>
      </c>
      <c r="D4247">
        <v>76562</v>
      </c>
      <c r="E4247" t="s">
        <v>36</v>
      </c>
      <c r="F4247">
        <v>7923014252</v>
      </c>
      <c r="G4247" s="1">
        <v>45225</v>
      </c>
    </row>
    <row r="4248" spans="1:7">
      <c r="A4248" t="s">
        <v>10114</v>
      </c>
      <c r="B4248">
        <v>52</v>
      </c>
      <c r="C4248" t="s">
        <v>478</v>
      </c>
      <c r="D4248">
        <v>67419</v>
      </c>
      <c r="E4248" t="s">
        <v>27</v>
      </c>
      <c r="F4248">
        <f>1-977-840-4509</f>
        <v>-6325</v>
      </c>
      <c r="G4248" s="1">
        <v>45158</v>
      </c>
    </row>
    <row r="4249" spans="1:7">
      <c r="A4249" t="s">
        <v>10115</v>
      </c>
      <c r="B4249">
        <v>63</v>
      </c>
      <c r="D4249">
        <v>136170</v>
      </c>
      <c r="E4249" t="s">
        <v>9</v>
      </c>
      <c r="F4249">
        <v>3400153865</v>
      </c>
      <c r="G4249" s="1">
        <v>45163</v>
      </c>
    </row>
    <row r="4250" spans="1:7">
      <c r="A4250" t="s">
        <v>10116</v>
      </c>
      <c r="B4250">
        <v>51</v>
      </c>
      <c r="C4250" t="s">
        <v>10117</v>
      </c>
      <c r="D4250">
        <v>37135</v>
      </c>
      <c r="E4250" t="s">
        <v>27</v>
      </c>
      <c r="F4250" t="s">
        <v>10118</v>
      </c>
      <c r="G4250" s="1">
        <v>45204</v>
      </c>
    </row>
    <row r="4251" spans="1:7">
      <c r="A4251" t="s">
        <v>10119</v>
      </c>
      <c r="B4251">
        <v>48</v>
      </c>
      <c r="C4251" t="s">
        <v>10120</v>
      </c>
      <c r="D4251">
        <v>150589</v>
      </c>
      <c r="E4251" t="s">
        <v>12</v>
      </c>
      <c r="G4251" s="1">
        <v>45285</v>
      </c>
    </row>
    <row r="4252" spans="1:7">
      <c r="A4252" t="s">
        <v>10121</v>
      </c>
      <c r="B4252">
        <v>72</v>
      </c>
      <c r="C4252" t="s">
        <v>10122</v>
      </c>
      <c r="D4252">
        <v>190703</v>
      </c>
      <c r="E4252" t="s">
        <v>27</v>
      </c>
      <c r="F4252" t="s">
        <v>10123</v>
      </c>
      <c r="G4252" s="1">
        <v>45080</v>
      </c>
    </row>
    <row r="4253" spans="1:7">
      <c r="A4253" t="s">
        <v>10124</v>
      </c>
      <c r="B4253">
        <v>41</v>
      </c>
      <c r="C4253" t="s">
        <v>10125</v>
      </c>
      <c r="D4253">
        <v>138612</v>
      </c>
      <c r="E4253" t="s">
        <v>36</v>
      </c>
      <c r="F4253">
        <f>1-184-318-2158</f>
        <v>-2659</v>
      </c>
      <c r="G4253" s="1">
        <v>45152</v>
      </c>
    </row>
    <row r="4254" spans="1:7">
      <c r="A4254" t="s">
        <v>10126</v>
      </c>
      <c r="B4254">
        <v>52</v>
      </c>
      <c r="C4254" t="s">
        <v>10127</v>
      </c>
      <c r="D4254">
        <v>30767</v>
      </c>
      <c r="E4254" t="s">
        <v>358</v>
      </c>
      <c r="F4254" t="s">
        <v>10128</v>
      </c>
      <c r="G4254" s="1">
        <v>45017</v>
      </c>
    </row>
    <row r="4255" spans="1:7">
      <c r="A4255" t="s">
        <v>10129</v>
      </c>
      <c r="B4255">
        <v>45</v>
      </c>
      <c r="C4255" t="s">
        <v>10130</v>
      </c>
      <c r="D4255">
        <v>172105</v>
      </c>
      <c r="E4255" t="s">
        <v>9</v>
      </c>
      <c r="F4255" t="s">
        <v>10131</v>
      </c>
      <c r="G4255" s="1">
        <v>44937</v>
      </c>
    </row>
    <row r="4256" spans="1:7">
      <c r="B4256">
        <v>43</v>
      </c>
      <c r="C4256" t="s">
        <v>10132</v>
      </c>
      <c r="E4256" t="s">
        <v>27</v>
      </c>
      <c r="F4256" t="s">
        <v>10133</v>
      </c>
      <c r="G4256" s="1">
        <v>45012</v>
      </c>
    </row>
    <row r="4257" spans="1:7">
      <c r="A4257" t="s">
        <v>10134</v>
      </c>
      <c r="B4257">
        <v>51</v>
      </c>
      <c r="C4257" t="s">
        <v>10135</v>
      </c>
      <c r="D4257">
        <v>43777</v>
      </c>
      <c r="E4257" t="s">
        <v>27</v>
      </c>
      <c r="F4257" t="s">
        <v>10136</v>
      </c>
      <c r="G4257" s="1">
        <v>45211</v>
      </c>
    </row>
    <row r="4258" spans="1:7">
      <c r="A4258" t="s">
        <v>10137</v>
      </c>
      <c r="B4258">
        <v>-10</v>
      </c>
      <c r="C4258" t="s">
        <v>169</v>
      </c>
      <c r="D4258">
        <v>102567</v>
      </c>
      <c r="E4258" t="s">
        <v>9</v>
      </c>
      <c r="F4258">
        <f>1-997-685-9267</f>
        <v>-10948</v>
      </c>
      <c r="G4258" s="1">
        <v>45018</v>
      </c>
    </row>
    <row r="4259" spans="1:7">
      <c r="A4259" t="s">
        <v>10138</v>
      </c>
      <c r="B4259">
        <v>60</v>
      </c>
      <c r="C4259" t="s">
        <v>17</v>
      </c>
      <c r="D4259">
        <v>189204</v>
      </c>
      <c r="E4259" t="s">
        <v>36</v>
      </c>
      <c r="F4259" t="s">
        <v>10139</v>
      </c>
      <c r="G4259" s="1">
        <v>45224</v>
      </c>
    </row>
    <row r="4260" spans="1:7">
      <c r="B4260">
        <v>46</v>
      </c>
      <c r="C4260" t="s">
        <v>10140</v>
      </c>
      <c r="D4260">
        <v>129977</v>
      </c>
      <c r="E4260" t="s">
        <v>36</v>
      </c>
      <c r="F4260" t="s">
        <v>10141</v>
      </c>
      <c r="G4260" s="1">
        <v>45139</v>
      </c>
    </row>
    <row r="4261" spans="1:7">
      <c r="A4261" t="s">
        <v>10142</v>
      </c>
      <c r="B4261">
        <v>28</v>
      </c>
      <c r="C4261" t="s">
        <v>10143</v>
      </c>
      <c r="D4261">
        <v>96727</v>
      </c>
      <c r="E4261" t="s">
        <v>36</v>
      </c>
      <c r="F4261">
        <f>1-369-164-6987</f>
        <v>-7519</v>
      </c>
      <c r="G4261" s="1">
        <v>45285</v>
      </c>
    </row>
    <row r="4262" spans="1:7">
      <c r="B4262">
        <v>63</v>
      </c>
      <c r="C4262" t="s">
        <v>10144</v>
      </c>
      <c r="E4262" t="s">
        <v>27</v>
      </c>
      <c r="F4262">
        <v>4520399955</v>
      </c>
      <c r="G4262" s="1">
        <v>45250</v>
      </c>
    </row>
    <row r="4263" spans="1:7">
      <c r="A4263" t="s">
        <v>10145</v>
      </c>
      <c r="B4263">
        <v>35</v>
      </c>
      <c r="D4263">
        <v>92261</v>
      </c>
      <c r="E4263" t="s">
        <v>27</v>
      </c>
      <c r="F4263" t="s">
        <v>10146</v>
      </c>
      <c r="G4263" s="1">
        <v>44978</v>
      </c>
    </row>
    <row r="4264" spans="1:7">
      <c r="B4264">
        <v>22</v>
      </c>
      <c r="C4264" t="s">
        <v>10147</v>
      </c>
      <c r="D4264">
        <v>32642</v>
      </c>
      <c r="E4264" t="s">
        <v>36</v>
      </c>
      <c r="F4264">
        <v>2299900457</v>
      </c>
      <c r="G4264" s="1">
        <v>45030</v>
      </c>
    </row>
    <row r="4265" spans="1:7">
      <c r="A4265" t="s">
        <v>10148</v>
      </c>
      <c r="B4265">
        <v>32</v>
      </c>
      <c r="C4265" t="s">
        <v>10149</v>
      </c>
      <c r="D4265">
        <v>119571</v>
      </c>
      <c r="E4265" t="s">
        <v>9</v>
      </c>
      <c r="F4265">
        <v>1831314297</v>
      </c>
      <c r="G4265" s="1">
        <v>45092</v>
      </c>
    </row>
    <row r="4266" spans="1:7">
      <c r="A4266" t="s">
        <v>10150</v>
      </c>
      <c r="B4266">
        <v>45</v>
      </c>
      <c r="C4266" t="s">
        <v>10151</v>
      </c>
      <c r="D4266">
        <v>176115</v>
      </c>
      <c r="E4266" t="s">
        <v>873</v>
      </c>
      <c r="F4266" t="s">
        <v>10152</v>
      </c>
      <c r="G4266" s="1">
        <v>45122</v>
      </c>
    </row>
    <row r="4267" spans="1:7">
      <c r="A4267" t="s">
        <v>10153</v>
      </c>
      <c r="B4267">
        <v>52</v>
      </c>
      <c r="D4267">
        <v>107603</v>
      </c>
      <c r="E4267" t="s">
        <v>27</v>
      </c>
      <c r="F4267" t="s">
        <v>10154</v>
      </c>
      <c r="G4267" s="1">
        <v>45170</v>
      </c>
    </row>
    <row r="4268" spans="1:7">
      <c r="A4268" t="s">
        <v>10155</v>
      </c>
      <c r="B4268">
        <v>25</v>
      </c>
      <c r="C4268" t="s">
        <v>10156</v>
      </c>
      <c r="D4268">
        <v>162661</v>
      </c>
      <c r="E4268" t="s">
        <v>27</v>
      </c>
      <c r="F4268">
        <v>4642432004</v>
      </c>
      <c r="G4268" s="1">
        <v>45216</v>
      </c>
    </row>
    <row r="4269" spans="1:7">
      <c r="A4269" t="s">
        <v>9815</v>
      </c>
      <c r="B4269">
        <v>36</v>
      </c>
      <c r="C4269" t="s">
        <v>10157</v>
      </c>
      <c r="D4269">
        <v>148696</v>
      </c>
      <c r="E4269" t="s">
        <v>27</v>
      </c>
      <c r="F4269" t="s">
        <v>10158</v>
      </c>
      <c r="G4269" s="1">
        <v>45182</v>
      </c>
    </row>
    <row r="4270" spans="1:7">
      <c r="A4270" t="s">
        <v>10159</v>
      </c>
      <c r="B4270">
        <v>24</v>
      </c>
      <c r="C4270" t="s">
        <v>10160</v>
      </c>
      <c r="D4270">
        <v>52616</v>
      </c>
      <c r="E4270" t="s">
        <v>12</v>
      </c>
      <c r="G4270" t="s">
        <v>715</v>
      </c>
    </row>
    <row r="4271" spans="1:7">
      <c r="A4271" t="s">
        <v>10161</v>
      </c>
      <c r="B4271">
        <v>71</v>
      </c>
      <c r="C4271" t="s">
        <v>10162</v>
      </c>
      <c r="D4271">
        <v>128046</v>
      </c>
      <c r="E4271" t="s">
        <v>27</v>
      </c>
      <c r="F4271">
        <v>7301035934</v>
      </c>
      <c r="G4271" s="1">
        <v>44944</v>
      </c>
    </row>
    <row r="4272" spans="1:7">
      <c r="A4272" t="s">
        <v>10163</v>
      </c>
      <c r="B4272">
        <v>78</v>
      </c>
      <c r="C4272" t="s">
        <v>170</v>
      </c>
      <c r="D4272">
        <v>-1000</v>
      </c>
      <c r="E4272" t="s">
        <v>27</v>
      </c>
      <c r="F4272" t="s">
        <v>10164</v>
      </c>
      <c r="G4272" s="1">
        <v>45134</v>
      </c>
    </row>
    <row r="4273" spans="1:7">
      <c r="A4273" t="s">
        <v>10165</v>
      </c>
      <c r="B4273">
        <v>74</v>
      </c>
      <c r="C4273" t="s">
        <v>10166</v>
      </c>
      <c r="D4273">
        <v>97468</v>
      </c>
      <c r="E4273" t="s">
        <v>27</v>
      </c>
      <c r="F4273" t="s">
        <v>10167</v>
      </c>
      <c r="G4273" s="1">
        <v>45001</v>
      </c>
    </row>
    <row r="4274" spans="1:7">
      <c r="A4274" t="s">
        <v>10168</v>
      </c>
      <c r="B4274">
        <v>-25</v>
      </c>
      <c r="C4274" t="s">
        <v>10169</v>
      </c>
      <c r="D4274">
        <v>140684</v>
      </c>
      <c r="E4274" t="s">
        <v>36</v>
      </c>
      <c r="F4274">
        <f>1-476-230-6134</f>
        <v>-6839</v>
      </c>
      <c r="G4274" s="1">
        <v>45076</v>
      </c>
    </row>
    <row r="4275" spans="1:7">
      <c r="A4275" t="s">
        <v>10170</v>
      </c>
      <c r="B4275">
        <v>79</v>
      </c>
      <c r="C4275" t="s">
        <v>10171</v>
      </c>
      <c r="D4275">
        <v>165440</v>
      </c>
      <c r="E4275" t="s">
        <v>12</v>
      </c>
      <c r="F4275" t="s">
        <v>10172</v>
      </c>
      <c r="G4275" s="1">
        <v>44993</v>
      </c>
    </row>
    <row r="4276" spans="1:7">
      <c r="A4276" t="s">
        <v>10173</v>
      </c>
      <c r="B4276">
        <v>74</v>
      </c>
      <c r="C4276" t="s">
        <v>10174</v>
      </c>
      <c r="D4276">
        <v>133475</v>
      </c>
      <c r="E4276" t="s">
        <v>12</v>
      </c>
      <c r="F4276" t="s">
        <v>10175</v>
      </c>
      <c r="G4276" s="1">
        <v>45052</v>
      </c>
    </row>
    <row r="4277" spans="1:7">
      <c r="A4277" t="s">
        <v>10176</v>
      </c>
      <c r="B4277">
        <v>44</v>
      </c>
      <c r="C4277" t="s">
        <v>10177</v>
      </c>
      <c r="D4277">
        <v>109823</v>
      </c>
      <c r="E4277" t="s">
        <v>294</v>
      </c>
      <c r="F4277" t="s">
        <v>10178</v>
      </c>
      <c r="G4277" s="1">
        <v>45026</v>
      </c>
    </row>
    <row r="4278" spans="1:7">
      <c r="A4278" t="s">
        <v>10179</v>
      </c>
      <c r="B4278">
        <v>49</v>
      </c>
      <c r="C4278" t="s">
        <v>10180</v>
      </c>
      <c r="D4278">
        <v>63635</v>
      </c>
      <c r="E4278" t="s">
        <v>9</v>
      </c>
      <c r="G4278" s="1">
        <v>45027</v>
      </c>
    </row>
    <row r="4279" spans="1:7">
      <c r="A4279" t="s">
        <v>7484</v>
      </c>
      <c r="B4279">
        <v>72</v>
      </c>
      <c r="C4279" t="s">
        <v>10181</v>
      </c>
      <c r="D4279">
        <v>45198</v>
      </c>
      <c r="E4279" t="s">
        <v>9</v>
      </c>
      <c r="F4279">
        <v>5952255182</v>
      </c>
      <c r="G4279" s="1">
        <v>45269</v>
      </c>
    </row>
    <row r="4280" spans="1:7">
      <c r="B4280">
        <v>72</v>
      </c>
      <c r="C4280" t="s">
        <v>10182</v>
      </c>
      <c r="D4280">
        <v>96323</v>
      </c>
      <c r="E4280" t="s">
        <v>9</v>
      </c>
      <c r="F4280">
        <f>1-335-810-9697</f>
        <v>-10841</v>
      </c>
      <c r="G4280" s="1">
        <v>45139</v>
      </c>
    </row>
    <row r="4281" spans="1:7">
      <c r="A4281" t="s">
        <v>10183</v>
      </c>
      <c r="B4281">
        <v>68</v>
      </c>
      <c r="C4281" t="s">
        <v>10184</v>
      </c>
      <c r="D4281">
        <v>91602</v>
      </c>
      <c r="E4281" t="s">
        <v>294</v>
      </c>
      <c r="F4281" t="s">
        <v>10185</v>
      </c>
      <c r="G4281" s="1">
        <v>44935</v>
      </c>
    </row>
    <row r="4282" spans="1:7">
      <c r="A4282" t="s">
        <v>10186</v>
      </c>
      <c r="B4282">
        <v>48</v>
      </c>
      <c r="C4282" t="s">
        <v>10187</v>
      </c>
      <c r="E4282" t="s">
        <v>27</v>
      </c>
      <c r="F4282">
        <v>6973394281</v>
      </c>
      <c r="G4282" s="1">
        <v>45090</v>
      </c>
    </row>
    <row r="4283" spans="1:7">
      <c r="A4283" t="s">
        <v>10188</v>
      </c>
      <c r="C4283" t="s">
        <v>10189</v>
      </c>
      <c r="D4283">
        <v>30924</v>
      </c>
      <c r="E4283" t="s">
        <v>12</v>
      </c>
      <c r="F4283" t="s">
        <v>10190</v>
      </c>
      <c r="G4283" s="1">
        <v>45027</v>
      </c>
    </row>
    <row r="4284" spans="1:7">
      <c r="A4284" t="s">
        <v>10191</v>
      </c>
      <c r="B4284">
        <v>29</v>
      </c>
      <c r="C4284" t="s">
        <v>10192</v>
      </c>
      <c r="D4284">
        <v>80492</v>
      </c>
      <c r="F4284">
        <f>1-193-779-6251</f>
        <v>-7222</v>
      </c>
      <c r="G4284" s="1">
        <v>45183</v>
      </c>
    </row>
    <row r="4285" spans="1:7">
      <c r="A4285" t="s">
        <v>10193</v>
      </c>
      <c r="B4285">
        <v>58</v>
      </c>
      <c r="C4285" t="s">
        <v>10194</v>
      </c>
      <c r="D4285">
        <v>59680</v>
      </c>
      <c r="E4285" t="s">
        <v>12</v>
      </c>
      <c r="F4285" t="s">
        <v>10195</v>
      </c>
      <c r="G4285" s="1">
        <v>45003</v>
      </c>
    </row>
    <row r="4286" spans="1:7">
      <c r="A4286" t="s">
        <v>10196</v>
      </c>
      <c r="C4286" t="s">
        <v>10197</v>
      </c>
      <c r="D4286">
        <v>198914</v>
      </c>
      <c r="E4286" t="s">
        <v>12</v>
      </c>
      <c r="F4286" t="s">
        <v>10198</v>
      </c>
      <c r="G4286" s="1">
        <v>45018</v>
      </c>
    </row>
    <row r="4287" spans="1:7">
      <c r="A4287" t="s">
        <v>10199</v>
      </c>
      <c r="B4287">
        <v>18</v>
      </c>
      <c r="C4287" t="s">
        <v>10200</v>
      </c>
      <c r="D4287">
        <v>166023</v>
      </c>
      <c r="E4287" t="s">
        <v>12</v>
      </c>
      <c r="G4287" s="1">
        <v>45234</v>
      </c>
    </row>
    <row r="4288" spans="1:7">
      <c r="A4288" t="s">
        <v>10201</v>
      </c>
      <c r="B4288">
        <v>26</v>
      </c>
      <c r="C4288" t="s">
        <v>594</v>
      </c>
      <c r="D4288">
        <v>84362</v>
      </c>
      <c r="E4288" t="s">
        <v>9</v>
      </c>
      <c r="F4288" t="s">
        <v>10202</v>
      </c>
      <c r="G4288" s="1">
        <v>45002</v>
      </c>
    </row>
    <row r="4289" spans="1:7">
      <c r="A4289" t="s">
        <v>10203</v>
      </c>
      <c r="B4289">
        <v>48</v>
      </c>
      <c r="C4289" t="s">
        <v>10204</v>
      </c>
      <c r="D4289">
        <v>0</v>
      </c>
      <c r="E4289" t="s">
        <v>27</v>
      </c>
      <c r="F4289" t="s">
        <v>10205</v>
      </c>
      <c r="G4289" s="1">
        <v>45041</v>
      </c>
    </row>
    <row r="4290" spans="1:7">
      <c r="A4290" t="s">
        <v>10206</v>
      </c>
      <c r="B4290">
        <v>20</v>
      </c>
      <c r="C4290" t="s">
        <v>10207</v>
      </c>
      <c r="D4290">
        <v>148128</v>
      </c>
      <c r="E4290" t="s">
        <v>27</v>
      </c>
      <c r="F4290">
        <f>1-381-708-1585</f>
        <v>-2673</v>
      </c>
      <c r="G4290" s="1">
        <v>45208</v>
      </c>
    </row>
    <row r="4291" spans="1:7">
      <c r="A4291" t="s">
        <v>10208</v>
      </c>
      <c r="B4291">
        <v>65</v>
      </c>
      <c r="C4291" t="s">
        <v>10209</v>
      </c>
      <c r="D4291">
        <v>166269</v>
      </c>
      <c r="E4291" t="s">
        <v>36</v>
      </c>
      <c r="F4291" t="s">
        <v>10210</v>
      </c>
      <c r="G4291" s="1">
        <v>45284</v>
      </c>
    </row>
    <row r="4292" spans="1:7">
      <c r="A4292" t="s">
        <v>10211</v>
      </c>
      <c r="B4292">
        <v>22</v>
      </c>
      <c r="C4292" t="s">
        <v>10212</v>
      </c>
      <c r="D4292">
        <v>87388</v>
      </c>
      <c r="E4292" t="s">
        <v>9</v>
      </c>
      <c r="F4292">
        <f>1-649-864-4951</f>
        <v>-6463</v>
      </c>
      <c r="G4292" s="1">
        <v>45087</v>
      </c>
    </row>
    <row r="4293" spans="1:7">
      <c r="A4293" t="s">
        <v>10213</v>
      </c>
      <c r="B4293">
        <v>54</v>
      </c>
      <c r="C4293" t="s">
        <v>10214</v>
      </c>
      <c r="D4293">
        <v>157581</v>
      </c>
      <c r="E4293" t="s">
        <v>27</v>
      </c>
      <c r="F4293">
        <v>8031053243</v>
      </c>
      <c r="G4293" s="1">
        <v>45193</v>
      </c>
    </row>
    <row r="4294" spans="1:7">
      <c r="A4294" t="s">
        <v>10215</v>
      </c>
      <c r="B4294">
        <v>54</v>
      </c>
      <c r="C4294" t="s">
        <v>10216</v>
      </c>
      <c r="D4294">
        <v>184721</v>
      </c>
      <c r="E4294" t="s">
        <v>27</v>
      </c>
      <c r="F4294" t="s">
        <v>10217</v>
      </c>
      <c r="G4294" s="1">
        <v>45023</v>
      </c>
    </row>
    <row r="4295" spans="1:7">
      <c r="A4295" t="s">
        <v>10218</v>
      </c>
      <c r="B4295">
        <v>67</v>
      </c>
      <c r="C4295" t="s">
        <v>10219</v>
      </c>
      <c r="D4295">
        <v>187921</v>
      </c>
      <c r="E4295" t="s">
        <v>27</v>
      </c>
      <c r="F4295" t="s">
        <v>10220</v>
      </c>
      <c r="G4295" s="1">
        <v>45284</v>
      </c>
    </row>
    <row r="4296" spans="1:7">
      <c r="A4296" t="s">
        <v>10221</v>
      </c>
      <c r="B4296">
        <v>74</v>
      </c>
      <c r="C4296" t="s">
        <v>10222</v>
      </c>
      <c r="D4296">
        <v>126870</v>
      </c>
      <c r="E4296" t="s">
        <v>27</v>
      </c>
      <c r="F4296" t="s">
        <v>10223</v>
      </c>
      <c r="G4296" s="1">
        <v>45099</v>
      </c>
    </row>
    <row r="4297" spans="1:7">
      <c r="A4297" t="s">
        <v>10224</v>
      </c>
      <c r="B4297">
        <v>66</v>
      </c>
      <c r="D4297">
        <v>32251</v>
      </c>
      <c r="E4297" t="s">
        <v>27</v>
      </c>
      <c r="F4297" t="s">
        <v>10225</v>
      </c>
      <c r="G4297" s="1">
        <v>45232</v>
      </c>
    </row>
    <row r="4298" spans="1:7">
      <c r="A4298" t="s">
        <v>10226</v>
      </c>
      <c r="B4298">
        <v>46</v>
      </c>
      <c r="C4298" t="s">
        <v>10227</v>
      </c>
      <c r="D4298">
        <v>62299</v>
      </c>
      <c r="E4298" t="s">
        <v>36</v>
      </c>
      <c r="F4298">
        <v>2664876543</v>
      </c>
      <c r="G4298" s="1">
        <v>45213</v>
      </c>
    </row>
    <row r="4299" spans="1:7">
      <c r="A4299" t="s">
        <v>10228</v>
      </c>
      <c r="B4299">
        <v>51</v>
      </c>
      <c r="C4299" t="s">
        <v>10229</v>
      </c>
      <c r="D4299">
        <v>-50000</v>
      </c>
      <c r="E4299" t="s">
        <v>36</v>
      </c>
      <c r="F4299">
        <v>7929459291</v>
      </c>
      <c r="G4299" s="1">
        <v>45227</v>
      </c>
    </row>
    <row r="4300" spans="1:7">
      <c r="A4300" t="s">
        <v>10230</v>
      </c>
      <c r="B4300">
        <v>31</v>
      </c>
      <c r="C4300" t="s">
        <v>10231</v>
      </c>
      <c r="D4300">
        <v>126622</v>
      </c>
      <c r="E4300" t="s">
        <v>27</v>
      </c>
      <c r="F4300">
        <f>1-113-721-5473</f>
        <v>-6306</v>
      </c>
      <c r="G4300" s="1">
        <v>45030</v>
      </c>
    </row>
    <row r="4301" spans="1:7">
      <c r="A4301" t="s">
        <v>10232</v>
      </c>
      <c r="B4301">
        <v>63</v>
      </c>
      <c r="C4301" t="s">
        <v>10233</v>
      </c>
      <c r="D4301">
        <v>165699</v>
      </c>
      <c r="E4301" t="s">
        <v>358</v>
      </c>
      <c r="F4301" t="s">
        <v>10234</v>
      </c>
      <c r="G4301" s="1">
        <v>45180</v>
      </c>
    </row>
    <row r="4302" spans="1:7">
      <c r="A4302" t="s">
        <v>10235</v>
      </c>
      <c r="B4302">
        <v>54</v>
      </c>
      <c r="C4302" t="s">
        <v>10236</v>
      </c>
      <c r="D4302">
        <v>169876</v>
      </c>
      <c r="E4302" t="s">
        <v>36</v>
      </c>
      <c r="F4302" t="s">
        <v>10237</v>
      </c>
      <c r="G4302" s="1">
        <v>44947</v>
      </c>
    </row>
    <row r="4303" spans="1:7">
      <c r="A4303" t="s">
        <v>10238</v>
      </c>
      <c r="B4303">
        <v>72</v>
      </c>
      <c r="C4303" t="s">
        <v>10239</v>
      </c>
      <c r="D4303">
        <v>77118</v>
      </c>
      <c r="E4303" t="s">
        <v>27</v>
      </c>
      <c r="F4303">
        <v>5081499111</v>
      </c>
      <c r="G4303" t="s">
        <v>3963</v>
      </c>
    </row>
    <row r="4304" spans="1:7">
      <c r="A4304" t="s">
        <v>3907</v>
      </c>
      <c r="B4304">
        <v>67</v>
      </c>
      <c r="D4304">
        <v>150592</v>
      </c>
      <c r="E4304" t="s">
        <v>9</v>
      </c>
      <c r="F4304" t="s">
        <v>10240</v>
      </c>
      <c r="G4304" s="1">
        <v>44927</v>
      </c>
    </row>
    <row r="4305" spans="1:7">
      <c r="A4305" t="s">
        <v>10241</v>
      </c>
      <c r="B4305">
        <v>61</v>
      </c>
      <c r="C4305" t="s">
        <v>10242</v>
      </c>
      <c r="D4305">
        <v>96125</v>
      </c>
      <c r="E4305" t="s">
        <v>27</v>
      </c>
      <c r="F4305" t="s">
        <v>10243</v>
      </c>
      <c r="G4305" s="1">
        <v>44931</v>
      </c>
    </row>
    <row r="4306" spans="1:7">
      <c r="A4306" t="s">
        <v>10244</v>
      </c>
      <c r="B4306">
        <v>63</v>
      </c>
      <c r="C4306" t="s">
        <v>10245</v>
      </c>
      <c r="E4306" t="s">
        <v>12</v>
      </c>
      <c r="F4306" t="s">
        <v>10246</v>
      </c>
      <c r="G4306" s="1">
        <v>45007</v>
      </c>
    </row>
    <row r="4307" spans="1:7">
      <c r="A4307" t="s">
        <v>8568</v>
      </c>
      <c r="B4307">
        <v>72</v>
      </c>
      <c r="C4307" t="s">
        <v>10247</v>
      </c>
      <c r="D4307">
        <v>106050</v>
      </c>
      <c r="E4307" t="s">
        <v>27</v>
      </c>
      <c r="F4307">
        <f>1-463-905-1278</f>
        <v>-2645</v>
      </c>
      <c r="G4307" s="1">
        <v>45063</v>
      </c>
    </row>
    <row r="4308" spans="1:7">
      <c r="A4308" t="s">
        <v>4085</v>
      </c>
      <c r="B4308">
        <v>77</v>
      </c>
      <c r="C4308" t="s">
        <v>10248</v>
      </c>
      <c r="E4308" t="s">
        <v>36</v>
      </c>
      <c r="F4308" t="s">
        <v>10249</v>
      </c>
      <c r="G4308" s="1">
        <v>45219</v>
      </c>
    </row>
    <row r="4309" spans="1:7">
      <c r="A4309" t="s">
        <v>2884</v>
      </c>
      <c r="B4309">
        <v>72</v>
      </c>
      <c r="C4309" t="s">
        <v>2885</v>
      </c>
      <c r="D4309">
        <v>147797</v>
      </c>
      <c r="E4309" t="s">
        <v>12</v>
      </c>
      <c r="F4309">
        <f>1-626-257-7729</f>
        <v>-8611</v>
      </c>
      <c r="G4309" s="1">
        <v>44982</v>
      </c>
    </row>
    <row r="4310" spans="1:7">
      <c r="A4310" t="s">
        <v>10250</v>
      </c>
      <c r="B4310">
        <v>25</v>
      </c>
      <c r="D4310">
        <v>37452</v>
      </c>
      <c r="E4310" t="s">
        <v>12</v>
      </c>
      <c r="F4310" t="s">
        <v>10251</v>
      </c>
      <c r="G4310" s="1">
        <v>45072</v>
      </c>
    </row>
    <row r="4311" spans="1:7">
      <c r="A4311" t="s">
        <v>10252</v>
      </c>
      <c r="B4311">
        <v>180</v>
      </c>
      <c r="C4311" t="s">
        <v>10253</v>
      </c>
      <c r="D4311">
        <v>30595</v>
      </c>
      <c r="E4311" t="s">
        <v>27</v>
      </c>
      <c r="F4311" t="s">
        <v>10254</v>
      </c>
      <c r="G4311" s="1">
        <v>45037</v>
      </c>
    </row>
    <row r="4312" spans="1:7">
      <c r="A4312" t="s">
        <v>10255</v>
      </c>
      <c r="B4312">
        <v>59</v>
      </c>
      <c r="C4312" t="s">
        <v>10256</v>
      </c>
      <c r="D4312">
        <v>186829</v>
      </c>
      <c r="E4312" t="s">
        <v>27</v>
      </c>
      <c r="F4312" t="s">
        <v>10257</v>
      </c>
      <c r="G4312" s="1">
        <v>45093</v>
      </c>
    </row>
    <row r="4313" spans="1:7">
      <c r="A4313" t="s">
        <v>10258</v>
      </c>
      <c r="B4313">
        <v>65</v>
      </c>
      <c r="C4313" t="s">
        <v>10259</v>
      </c>
      <c r="D4313">
        <v>115886</v>
      </c>
      <c r="E4313" t="s">
        <v>27</v>
      </c>
      <c r="F4313" t="s">
        <v>10260</v>
      </c>
      <c r="G4313" s="1">
        <v>45202</v>
      </c>
    </row>
    <row r="4314" spans="1:7">
      <c r="A4314" t="s">
        <v>10261</v>
      </c>
      <c r="B4314">
        <v>28</v>
      </c>
      <c r="C4314" t="s">
        <v>10262</v>
      </c>
      <c r="D4314">
        <v>87986</v>
      </c>
      <c r="E4314" t="s">
        <v>27</v>
      </c>
      <c r="F4314">
        <f>1-555-170-9225</f>
        <v>-9949</v>
      </c>
      <c r="G4314" s="1">
        <v>45217</v>
      </c>
    </row>
    <row r="4315" spans="1:7">
      <c r="A4315" t="s">
        <v>10263</v>
      </c>
      <c r="B4315">
        <v>78</v>
      </c>
      <c r="D4315">
        <v>30028</v>
      </c>
      <c r="E4315" t="s">
        <v>9</v>
      </c>
      <c r="F4315" t="s">
        <v>10264</v>
      </c>
      <c r="G4315" s="1">
        <v>44949</v>
      </c>
    </row>
    <row r="4316" spans="1:7">
      <c r="A4316" t="s">
        <v>10265</v>
      </c>
      <c r="B4316">
        <v>45</v>
      </c>
      <c r="D4316">
        <v>73790</v>
      </c>
      <c r="E4316" t="s">
        <v>27</v>
      </c>
      <c r="F4316" t="s">
        <v>10266</v>
      </c>
      <c r="G4316" s="1">
        <v>44946</v>
      </c>
    </row>
    <row r="4317" spans="1:7">
      <c r="A4317" t="s">
        <v>10267</v>
      </c>
      <c r="B4317">
        <v>56</v>
      </c>
      <c r="C4317" t="s">
        <v>10268</v>
      </c>
      <c r="D4317">
        <v>133399</v>
      </c>
      <c r="E4317" t="s">
        <v>9</v>
      </c>
      <c r="F4317" t="s">
        <v>10269</v>
      </c>
      <c r="G4317" s="1">
        <v>45083</v>
      </c>
    </row>
    <row r="4318" spans="1:7">
      <c r="A4318" t="s">
        <v>10270</v>
      </c>
      <c r="B4318">
        <v>22</v>
      </c>
      <c r="C4318" t="s">
        <v>10271</v>
      </c>
      <c r="D4318">
        <v>184560</v>
      </c>
      <c r="E4318" t="s">
        <v>27</v>
      </c>
      <c r="F4318" t="s">
        <v>10272</v>
      </c>
      <c r="G4318" s="1">
        <v>45108</v>
      </c>
    </row>
    <row r="4319" spans="1:7">
      <c r="A4319" t="s">
        <v>10273</v>
      </c>
      <c r="B4319">
        <v>52</v>
      </c>
      <c r="D4319">
        <v>165506</v>
      </c>
      <c r="E4319" t="s">
        <v>27</v>
      </c>
      <c r="F4319">
        <v>3640917193</v>
      </c>
      <c r="G4319" s="1">
        <v>45139</v>
      </c>
    </row>
    <row r="4320" spans="1:7">
      <c r="A4320" t="s">
        <v>10274</v>
      </c>
      <c r="B4320">
        <v>79</v>
      </c>
      <c r="C4320" t="s">
        <v>594</v>
      </c>
      <c r="D4320">
        <v>179395</v>
      </c>
      <c r="E4320" t="s">
        <v>9</v>
      </c>
      <c r="F4320">
        <f>1-434-705-7272</f>
        <v>-8410</v>
      </c>
      <c r="G4320" s="1">
        <v>45144</v>
      </c>
    </row>
    <row r="4321" spans="1:7">
      <c r="A4321" t="s">
        <v>10275</v>
      </c>
      <c r="B4321">
        <v>66</v>
      </c>
      <c r="C4321" t="s">
        <v>10276</v>
      </c>
      <c r="D4321">
        <v>108532</v>
      </c>
      <c r="E4321" t="s">
        <v>36</v>
      </c>
      <c r="G4321" s="1">
        <v>45082</v>
      </c>
    </row>
    <row r="4322" spans="1:7">
      <c r="A4322" t="s">
        <v>10277</v>
      </c>
      <c r="B4322">
        <v>52</v>
      </c>
      <c r="C4322" t="s">
        <v>10278</v>
      </c>
      <c r="D4322">
        <v>53777</v>
      </c>
      <c r="E4322" t="s">
        <v>12</v>
      </c>
      <c r="F4322" t="s">
        <v>10279</v>
      </c>
      <c r="G4322" s="1">
        <v>44930</v>
      </c>
    </row>
    <row r="4323" spans="1:7">
      <c r="A4323" t="s">
        <v>10280</v>
      </c>
      <c r="B4323">
        <v>73</v>
      </c>
      <c r="D4323">
        <v>173687</v>
      </c>
      <c r="E4323" t="s">
        <v>12</v>
      </c>
      <c r="F4323" t="s">
        <v>10281</v>
      </c>
      <c r="G4323" s="1">
        <v>44947</v>
      </c>
    </row>
    <row r="4324" spans="1:7">
      <c r="A4324" t="s">
        <v>10282</v>
      </c>
      <c r="B4324">
        <v>30</v>
      </c>
      <c r="C4324" t="s">
        <v>10283</v>
      </c>
      <c r="D4324">
        <v>150198</v>
      </c>
      <c r="E4324" t="s">
        <v>36</v>
      </c>
      <c r="F4324" t="s">
        <v>10284</v>
      </c>
      <c r="G4324" s="1">
        <v>45284</v>
      </c>
    </row>
    <row r="4325" spans="1:7">
      <c r="A4325" t="s">
        <v>10285</v>
      </c>
      <c r="B4325">
        <v>75</v>
      </c>
      <c r="D4325">
        <v>179696</v>
      </c>
      <c r="E4325" t="s">
        <v>12</v>
      </c>
      <c r="F4325" t="s">
        <v>10286</v>
      </c>
      <c r="G4325" s="1">
        <v>45268</v>
      </c>
    </row>
    <row r="4326" spans="1:7">
      <c r="A4326" t="s">
        <v>10287</v>
      </c>
      <c r="B4326">
        <v>54</v>
      </c>
      <c r="C4326" t="s">
        <v>10288</v>
      </c>
      <c r="D4326">
        <v>74760</v>
      </c>
      <c r="E4326" t="s">
        <v>27</v>
      </c>
      <c r="F4326" t="s">
        <v>10289</v>
      </c>
      <c r="G4326" s="1">
        <v>45251</v>
      </c>
    </row>
    <row r="4327" spans="1:7">
      <c r="A4327" t="s">
        <v>10290</v>
      </c>
      <c r="B4327">
        <v>22</v>
      </c>
      <c r="C4327" t="s">
        <v>10291</v>
      </c>
      <c r="D4327">
        <v>198035</v>
      </c>
      <c r="E4327" t="s">
        <v>27</v>
      </c>
      <c r="F4327" t="s">
        <v>10292</v>
      </c>
      <c r="G4327" s="1">
        <v>45133</v>
      </c>
    </row>
    <row r="4328" spans="1:7">
      <c r="B4328">
        <v>72</v>
      </c>
      <c r="C4328" t="s">
        <v>10293</v>
      </c>
      <c r="D4328">
        <v>52601</v>
      </c>
      <c r="E4328" t="s">
        <v>12</v>
      </c>
      <c r="F4328" t="s">
        <v>10294</v>
      </c>
      <c r="G4328" s="1">
        <v>45275</v>
      </c>
    </row>
    <row r="4329" spans="1:7">
      <c r="A4329" t="s">
        <v>10295</v>
      </c>
      <c r="B4329">
        <v>67</v>
      </c>
      <c r="C4329" t="s">
        <v>10296</v>
      </c>
      <c r="D4329">
        <v>131503</v>
      </c>
      <c r="E4329" t="s">
        <v>9</v>
      </c>
      <c r="F4329">
        <v>6129647344</v>
      </c>
      <c r="G4329" s="1">
        <v>45200</v>
      </c>
    </row>
    <row r="4330" spans="1:7">
      <c r="A4330" t="s">
        <v>10297</v>
      </c>
      <c r="B4330">
        <v>54</v>
      </c>
      <c r="C4330" t="s">
        <v>10298</v>
      </c>
      <c r="D4330">
        <v>189090</v>
      </c>
      <c r="E4330" t="s">
        <v>36</v>
      </c>
      <c r="F4330" t="s">
        <v>10299</v>
      </c>
      <c r="G4330" s="1">
        <v>45189</v>
      </c>
    </row>
    <row r="4331" spans="1:7">
      <c r="A4331" t="s">
        <v>10300</v>
      </c>
      <c r="B4331">
        <v>27</v>
      </c>
      <c r="C4331" t="s">
        <v>10301</v>
      </c>
      <c r="D4331">
        <v>45960</v>
      </c>
      <c r="E4331" t="s">
        <v>36</v>
      </c>
      <c r="F4331">
        <f>1-652-120-1345</f>
        <v>-2116</v>
      </c>
      <c r="G4331" s="1">
        <v>45023</v>
      </c>
    </row>
    <row r="4332" spans="1:7">
      <c r="A4332" t="s">
        <v>10302</v>
      </c>
      <c r="B4332">
        <v>50</v>
      </c>
      <c r="C4332" t="s">
        <v>10303</v>
      </c>
      <c r="D4332">
        <v>179001</v>
      </c>
      <c r="E4332" t="s">
        <v>527</v>
      </c>
      <c r="G4332" s="1">
        <v>45193</v>
      </c>
    </row>
    <row r="4333" spans="1:7">
      <c r="A4333" t="s">
        <v>10304</v>
      </c>
      <c r="B4333">
        <v>79</v>
      </c>
      <c r="C4333" t="s">
        <v>10305</v>
      </c>
      <c r="D4333">
        <v>135585</v>
      </c>
      <c r="E4333" t="s">
        <v>9</v>
      </c>
      <c r="F4333" t="s">
        <v>10306</v>
      </c>
      <c r="G4333" s="1">
        <v>44946</v>
      </c>
    </row>
    <row r="4334" spans="1:7">
      <c r="A4334" t="s">
        <v>10307</v>
      </c>
      <c r="B4334">
        <v>75</v>
      </c>
      <c r="C4334" t="s">
        <v>10308</v>
      </c>
      <c r="D4334">
        <v>111463</v>
      </c>
      <c r="E4334" t="s">
        <v>27</v>
      </c>
      <c r="F4334" t="s">
        <v>10309</v>
      </c>
      <c r="G4334" s="1">
        <v>44993</v>
      </c>
    </row>
    <row r="4335" spans="1:7">
      <c r="A4335" t="s">
        <v>10310</v>
      </c>
      <c r="B4335">
        <v>50</v>
      </c>
      <c r="D4335">
        <v>111899</v>
      </c>
      <c r="E4335" t="s">
        <v>27</v>
      </c>
      <c r="F4335" t="s">
        <v>10311</v>
      </c>
      <c r="G4335" s="1">
        <v>45196</v>
      </c>
    </row>
    <row r="4336" spans="1:7">
      <c r="A4336" t="s">
        <v>10312</v>
      </c>
      <c r="B4336">
        <v>49</v>
      </c>
      <c r="C4336" t="s">
        <v>10313</v>
      </c>
      <c r="D4336">
        <v>187419</v>
      </c>
      <c r="E4336" t="s">
        <v>27</v>
      </c>
      <c r="F4336">
        <f>1-367-410-9422</f>
        <v>-10198</v>
      </c>
      <c r="G4336" s="1">
        <v>45095</v>
      </c>
    </row>
    <row r="4337" spans="1:7">
      <c r="A4337" t="s">
        <v>10314</v>
      </c>
      <c r="B4337">
        <v>46</v>
      </c>
      <c r="D4337">
        <v>169005</v>
      </c>
      <c r="E4337" t="s">
        <v>36</v>
      </c>
      <c r="F4337" t="s">
        <v>10315</v>
      </c>
      <c r="G4337" s="1">
        <v>44943</v>
      </c>
    </row>
    <row r="4338" spans="1:7">
      <c r="A4338" t="s">
        <v>10316</v>
      </c>
      <c r="B4338">
        <v>37</v>
      </c>
      <c r="C4338" t="s">
        <v>10317</v>
      </c>
      <c r="D4338">
        <v>49627</v>
      </c>
      <c r="E4338" t="s">
        <v>12</v>
      </c>
      <c r="F4338" t="s">
        <v>10318</v>
      </c>
      <c r="G4338" s="1">
        <v>44990</v>
      </c>
    </row>
    <row r="4339" spans="1:7">
      <c r="A4339" t="s">
        <v>10319</v>
      </c>
      <c r="B4339">
        <v>59</v>
      </c>
      <c r="C4339" t="s">
        <v>10320</v>
      </c>
      <c r="D4339">
        <v>64785</v>
      </c>
      <c r="E4339" t="s">
        <v>36</v>
      </c>
      <c r="F4339" t="s">
        <v>10321</v>
      </c>
      <c r="G4339" s="1">
        <v>45259</v>
      </c>
    </row>
    <row r="4340" spans="1:7">
      <c r="A4340" t="s">
        <v>10322</v>
      </c>
      <c r="B4340">
        <v>24</v>
      </c>
      <c r="C4340" t="s">
        <v>10323</v>
      </c>
      <c r="D4340">
        <v>116803</v>
      </c>
      <c r="E4340" t="s">
        <v>9</v>
      </c>
      <c r="F4340">
        <v>6527129795</v>
      </c>
      <c r="G4340" s="1">
        <v>45251</v>
      </c>
    </row>
    <row r="4341" spans="1:7">
      <c r="A4341" t="s">
        <v>10324</v>
      </c>
      <c r="B4341">
        <v>34</v>
      </c>
      <c r="C4341" t="s">
        <v>10325</v>
      </c>
      <c r="D4341">
        <v>134143</v>
      </c>
      <c r="E4341" t="s">
        <v>36</v>
      </c>
      <c r="F4341" t="s">
        <v>10326</v>
      </c>
      <c r="G4341" s="1">
        <v>45068</v>
      </c>
    </row>
    <row r="4342" spans="1:7">
      <c r="A4342" t="s">
        <v>10327</v>
      </c>
      <c r="B4342">
        <v>19</v>
      </c>
      <c r="C4342" t="s">
        <v>10328</v>
      </c>
      <c r="E4342" t="s">
        <v>12</v>
      </c>
      <c r="G4342" s="1">
        <v>45142</v>
      </c>
    </row>
    <row r="4343" spans="1:7">
      <c r="A4343" t="s">
        <v>10329</v>
      </c>
      <c r="B4343">
        <v>35</v>
      </c>
      <c r="C4343" t="s">
        <v>10330</v>
      </c>
      <c r="D4343">
        <v>112733</v>
      </c>
      <c r="E4343" t="s">
        <v>27</v>
      </c>
      <c r="F4343">
        <f>1-384-193-4113</f>
        <v>-4689</v>
      </c>
      <c r="G4343" s="1">
        <v>45278</v>
      </c>
    </row>
    <row r="4344" spans="1:7">
      <c r="A4344" t="s">
        <v>10331</v>
      </c>
      <c r="B4344">
        <v>30</v>
      </c>
      <c r="C4344" t="s">
        <v>10332</v>
      </c>
      <c r="D4344">
        <v>171650</v>
      </c>
      <c r="E4344" t="s">
        <v>12</v>
      </c>
      <c r="F4344" t="s">
        <v>10333</v>
      </c>
      <c r="G4344" t="s">
        <v>81</v>
      </c>
    </row>
    <row r="4345" spans="1:7">
      <c r="A4345" t="s">
        <v>10334</v>
      </c>
      <c r="B4345">
        <v>62</v>
      </c>
      <c r="C4345" t="s">
        <v>10335</v>
      </c>
      <c r="D4345">
        <v>-10000</v>
      </c>
      <c r="E4345" t="s">
        <v>36</v>
      </c>
      <c r="F4345">
        <v>2237090718</v>
      </c>
      <c r="G4345" s="1">
        <v>45118</v>
      </c>
    </row>
    <row r="4346" spans="1:7">
      <c r="A4346" t="s">
        <v>10336</v>
      </c>
      <c r="B4346">
        <v>49</v>
      </c>
      <c r="C4346" t="s">
        <v>10337</v>
      </c>
      <c r="E4346" t="s">
        <v>36</v>
      </c>
      <c r="F4346" t="s">
        <v>10338</v>
      </c>
      <c r="G4346" s="1">
        <v>44996</v>
      </c>
    </row>
    <row r="4347" spans="1:7">
      <c r="A4347" t="s">
        <v>10339</v>
      </c>
      <c r="B4347">
        <v>200</v>
      </c>
      <c r="C4347" t="s">
        <v>10340</v>
      </c>
      <c r="D4347">
        <v>181613</v>
      </c>
      <c r="E4347" t="s">
        <v>27</v>
      </c>
      <c r="G4347" s="1">
        <v>45136</v>
      </c>
    </row>
    <row r="4348" spans="1:7">
      <c r="A4348" t="s">
        <v>10341</v>
      </c>
      <c r="B4348">
        <v>31</v>
      </c>
      <c r="D4348">
        <v>148843</v>
      </c>
      <c r="E4348" t="s">
        <v>36</v>
      </c>
      <c r="F4348" t="s">
        <v>10342</v>
      </c>
      <c r="G4348" s="1">
        <v>45006</v>
      </c>
    </row>
    <row r="4349" spans="1:7">
      <c r="A4349" t="s">
        <v>10343</v>
      </c>
      <c r="B4349">
        <v>300</v>
      </c>
      <c r="C4349" t="s">
        <v>10344</v>
      </c>
      <c r="D4349">
        <v>103903</v>
      </c>
      <c r="E4349" t="s">
        <v>12</v>
      </c>
      <c r="F4349" t="s">
        <v>10345</v>
      </c>
      <c r="G4349" s="1">
        <v>45001</v>
      </c>
    </row>
    <row r="4350" spans="1:7">
      <c r="B4350">
        <v>75</v>
      </c>
      <c r="C4350" t="s">
        <v>10346</v>
      </c>
      <c r="D4350">
        <v>107597</v>
      </c>
      <c r="E4350" t="s">
        <v>294</v>
      </c>
      <c r="F4350">
        <v>1211744170</v>
      </c>
      <c r="G4350" s="1">
        <v>45181</v>
      </c>
    </row>
    <row r="4351" spans="1:7">
      <c r="A4351" t="s">
        <v>10347</v>
      </c>
      <c r="C4351" t="s">
        <v>10348</v>
      </c>
      <c r="E4351" t="s">
        <v>12</v>
      </c>
      <c r="F4351" t="s">
        <v>10349</v>
      </c>
      <c r="G4351" s="1">
        <v>45038</v>
      </c>
    </row>
    <row r="4352" spans="1:7">
      <c r="A4352" t="s">
        <v>10350</v>
      </c>
      <c r="B4352">
        <v>65</v>
      </c>
      <c r="C4352" t="s">
        <v>10351</v>
      </c>
      <c r="D4352">
        <v>-10000</v>
      </c>
      <c r="E4352" t="s">
        <v>12</v>
      </c>
      <c r="F4352">
        <f>1-975-105-7038</f>
        <v>-8117</v>
      </c>
      <c r="G4352" s="1">
        <v>45180</v>
      </c>
    </row>
    <row r="4353" spans="1:7">
      <c r="A4353" t="s">
        <v>10352</v>
      </c>
      <c r="B4353">
        <v>79</v>
      </c>
      <c r="C4353" t="s">
        <v>10353</v>
      </c>
      <c r="D4353">
        <v>165747</v>
      </c>
      <c r="E4353" t="s">
        <v>36</v>
      </c>
      <c r="G4353" s="1">
        <v>45068</v>
      </c>
    </row>
    <row r="4354" spans="1:7">
      <c r="A4354" t="s">
        <v>10354</v>
      </c>
      <c r="B4354">
        <v>31</v>
      </c>
      <c r="D4354">
        <v>152989</v>
      </c>
      <c r="E4354" t="s">
        <v>27</v>
      </c>
      <c r="F4354" t="s">
        <v>10355</v>
      </c>
      <c r="G4354" s="1">
        <v>44927</v>
      </c>
    </row>
    <row r="4355" spans="1:7">
      <c r="A4355" t="s">
        <v>10356</v>
      </c>
      <c r="B4355">
        <v>73</v>
      </c>
      <c r="C4355" t="s">
        <v>10357</v>
      </c>
      <c r="D4355">
        <v>64064</v>
      </c>
      <c r="E4355" t="s">
        <v>27</v>
      </c>
      <c r="F4355" t="s">
        <v>10358</v>
      </c>
      <c r="G4355" s="1">
        <v>44930</v>
      </c>
    </row>
    <row r="4356" spans="1:7">
      <c r="A4356" t="s">
        <v>10359</v>
      </c>
      <c r="B4356">
        <v>73</v>
      </c>
      <c r="C4356" t="s">
        <v>299</v>
      </c>
      <c r="D4356">
        <v>51438</v>
      </c>
      <c r="E4356" t="s">
        <v>27</v>
      </c>
      <c r="F4356">
        <f>1-460-585-1016</f>
        <v>-2060</v>
      </c>
      <c r="G4356" s="1">
        <v>45085</v>
      </c>
    </row>
    <row r="4357" spans="1:7">
      <c r="A4357" t="s">
        <v>10360</v>
      </c>
      <c r="B4357">
        <v>0</v>
      </c>
      <c r="C4357" t="s">
        <v>10361</v>
      </c>
      <c r="D4357">
        <v>140776</v>
      </c>
      <c r="E4357" t="s">
        <v>12</v>
      </c>
      <c r="G4357" s="1">
        <v>44993</v>
      </c>
    </row>
    <row r="4358" spans="1:7">
      <c r="A4358" t="s">
        <v>10362</v>
      </c>
      <c r="B4358">
        <v>50</v>
      </c>
      <c r="C4358" t="s">
        <v>10363</v>
      </c>
      <c r="D4358">
        <v>66468</v>
      </c>
      <c r="E4358" t="s">
        <v>27</v>
      </c>
      <c r="F4358" t="s">
        <v>10364</v>
      </c>
      <c r="G4358" s="1">
        <v>45202</v>
      </c>
    </row>
    <row r="4359" spans="1:7">
      <c r="A4359" t="s">
        <v>10365</v>
      </c>
      <c r="B4359">
        <v>76</v>
      </c>
      <c r="D4359">
        <v>154277</v>
      </c>
      <c r="E4359" t="s">
        <v>12</v>
      </c>
      <c r="F4359">
        <f>1-900-804-6623</f>
        <v>-8326</v>
      </c>
      <c r="G4359" s="1">
        <v>45242</v>
      </c>
    </row>
    <row r="4360" spans="1:7">
      <c r="A4360" t="s">
        <v>10366</v>
      </c>
      <c r="B4360">
        <v>54</v>
      </c>
      <c r="C4360" t="s">
        <v>10367</v>
      </c>
      <c r="D4360">
        <v>37352</v>
      </c>
      <c r="E4360" t="s">
        <v>12</v>
      </c>
      <c r="F4360">
        <v>8028543315</v>
      </c>
      <c r="G4360" s="1">
        <v>44970</v>
      </c>
    </row>
    <row r="4361" spans="1:7">
      <c r="B4361">
        <v>42</v>
      </c>
      <c r="C4361" t="s">
        <v>10368</v>
      </c>
      <c r="D4361">
        <v>61831</v>
      </c>
      <c r="E4361" t="s">
        <v>9</v>
      </c>
      <c r="F4361" t="s">
        <v>10369</v>
      </c>
      <c r="G4361" s="1">
        <v>45128</v>
      </c>
    </row>
    <row r="4362" spans="1:7">
      <c r="A4362" t="s">
        <v>10370</v>
      </c>
      <c r="B4362">
        <v>59</v>
      </c>
      <c r="C4362" t="s">
        <v>10371</v>
      </c>
      <c r="D4362">
        <v>178778</v>
      </c>
      <c r="E4362" t="s">
        <v>36</v>
      </c>
      <c r="F4362">
        <f>1-793-897-6702</f>
        <v>-8391</v>
      </c>
      <c r="G4362" s="1">
        <v>44941</v>
      </c>
    </row>
    <row r="4363" spans="1:7">
      <c r="A4363" t="s">
        <v>10372</v>
      </c>
      <c r="B4363">
        <v>60</v>
      </c>
      <c r="C4363" t="s">
        <v>10373</v>
      </c>
      <c r="D4363">
        <v>119326</v>
      </c>
      <c r="E4363" t="s">
        <v>27</v>
      </c>
      <c r="F4363">
        <v>5853262260</v>
      </c>
      <c r="G4363" s="1">
        <v>45077</v>
      </c>
    </row>
    <row r="4364" spans="1:7">
      <c r="A4364" t="s">
        <v>10374</v>
      </c>
      <c r="B4364">
        <v>42</v>
      </c>
      <c r="C4364" t="s">
        <v>10375</v>
      </c>
      <c r="D4364">
        <v>99603</v>
      </c>
      <c r="E4364" t="s">
        <v>12</v>
      </c>
      <c r="F4364" t="s">
        <v>10376</v>
      </c>
      <c r="G4364" s="1">
        <v>45237</v>
      </c>
    </row>
    <row r="4365" spans="1:7">
      <c r="A4365" t="s">
        <v>10377</v>
      </c>
      <c r="B4365">
        <v>78</v>
      </c>
      <c r="C4365" t="s">
        <v>10378</v>
      </c>
      <c r="D4365">
        <v>181388</v>
      </c>
      <c r="E4365" t="s">
        <v>12</v>
      </c>
      <c r="F4365" t="s">
        <v>10379</v>
      </c>
      <c r="G4365" s="1">
        <v>45014</v>
      </c>
    </row>
    <row r="4366" spans="1:7">
      <c r="A4366" t="s">
        <v>10380</v>
      </c>
      <c r="B4366">
        <v>64</v>
      </c>
      <c r="C4366" t="s">
        <v>10381</v>
      </c>
      <c r="D4366">
        <v>93248</v>
      </c>
      <c r="E4366" t="s">
        <v>27</v>
      </c>
      <c r="F4366" t="s">
        <v>10382</v>
      </c>
      <c r="G4366" s="1">
        <v>44938</v>
      </c>
    </row>
    <row r="4367" spans="1:7">
      <c r="A4367" t="s">
        <v>10383</v>
      </c>
      <c r="B4367">
        <v>32</v>
      </c>
      <c r="C4367" t="s">
        <v>10384</v>
      </c>
      <c r="D4367">
        <v>161250</v>
      </c>
      <c r="E4367" t="s">
        <v>36</v>
      </c>
      <c r="F4367">
        <v>9432070587</v>
      </c>
      <c r="G4367" s="1">
        <v>45273</v>
      </c>
    </row>
    <row r="4368" spans="1:7">
      <c r="A4368" t="s">
        <v>10385</v>
      </c>
      <c r="B4368">
        <v>38</v>
      </c>
      <c r="C4368" t="s">
        <v>594</v>
      </c>
      <c r="D4368">
        <v>184169</v>
      </c>
      <c r="E4368" t="s">
        <v>12</v>
      </c>
      <c r="F4368" t="s">
        <v>10386</v>
      </c>
      <c r="G4368" s="1">
        <v>45199</v>
      </c>
    </row>
    <row r="4369" spans="1:7">
      <c r="A4369" t="s">
        <v>10387</v>
      </c>
      <c r="B4369">
        <v>21</v>
      </c>
      <c r="C4369" t="s">
        <v>10388</v>
      </c>
      <c r="D4369">
        <v>33720</v>
      </c>
      <c r="E4369" t="s">
        <v>36</v>
      </c>
      <c r="F4369">
        <v>8975746608</v>
      </c>
      <c r="G4369" s="1">
        <v>45093</v>
      </c>
    </row>
    <row r="4370" spans="1:7">
      <c r="A4370" t="s">
        <v>920</v>
      </c>
      <c r="B4370">
        <v>67</v>
      </c>
      <c r="C4370" t="s">
        <v>10389</v>
      </c>
      <c r="D4370">
        <v>103568</v>
      </c>
      <c r="E4370" t="s">
        <v>36</v>
      </c>
      <c r="F4370" t="s">
        <v>10390</v>
      </c>
      <c r="G4370" s="1">
        <v>45088</v>
      </c>
    </row>
    <row r="4371" spans="1:7">
      <c r="A4371" t="s">
        <v>10391</v>
      </c>
      <c r="B4371">
        <v>58</v>
      </c>
      <c r="C4371" t="s">
        <v>389</v>
      </c>
      <c r="D4371">
        <v>109465</v>
      </c>
      <c r="E4371" t="s">
        <v>27</v>
      </c>
      <c r="F4371" t="s">
        <v>10392</v>
      </c>
      <c r="G4371" s="1">
        <v>45130</v>
      </c>
    </row>
    <row r="4372" spans="1:7">
      <c r="B4372">
        <v>40</v>
      </c>
      <c r="C4372" t="s">
        <v>10393</v>
      </c>
      <c r="D4372">
        <v>139934</v>
      </c>
      <c r="E4372" t="s">
        <v>27</v>
      </c>
      <c r="F4372" t="s">
        <v>10394</v>
      </c>
      <c r="G4372" s="1">
        <v>45024</v>
      </c>
    </row>
    <row r="4373" spans="1:7">
      <c r="A4373" t="s">
        <v>10395</v>
      </c>
      <c r="B4373">
        <v>61</v>
      </c>
      <c r="C4373" t="s">
        <v>10396</v>
      </c>
      <c r="D4373">
        <v>185159</v>
      </c>
      <c r="E4373" t="s">
        <v>12</v>
      </c>
      <c r="G4373" s="1">
        <v>45097</v>
      </c>
    </row>
    <row r="4374" spans="1:7">
      <c r="A4374" t="s">
        <v>10397</v>
      </c>
      <c r="B4374">
        <v>76</v>
      </c>
      <c r="C4374" t="s">
        <v>10398</v>
      </c>
      <c r="D4374">
        <v>44693</v>
      </c>
      <c r="E4374" t="s">
        <v>9</v>
      </c>
      <c r="F4374" t="s">
        <v>10399</v>
      </c>
      <c r="G4374" s="1">
        <v>45162</v>
      </c>
    </row>
    <row r="4375" spans="1:7">
      <c r="A4375" t="s">
        <v>10400</v>
      </c>
      <c r="B4375">
        <v>22</v>
      </c>
      <c r="C4375" t="s">
        <v>10401</v>
      </c>
      <c r="D4375">
        <v>113886</v>
      </c>
      <c r="E4375" t="s">
        <v>27</v>
      </c>
      <c r="F4375">
        <f>1-654-756-4319</f>
        <v>-5728</v>
      </c>
      <c r="G4375" s="1">
        <v>44929</v>
      </c>
    </row>
    <row r="4376" spans="1:7">
      <c r="A4376" t="s">
        <v>10402</v>
      </c>
      <c r="B4376">
        <v>45</v>
      </c>
      <c r="C4376" t="s">
        <v>10403</v>
      </c>
      <c r="D4376">
        <v>183541</v>
      </c>
      <c r="E4376" t="s">
        <v>27</v>
      </c>
      <c r="F4376" t="s">
        <v>10404</v>
      </c>
      <c r="G4376" s="1">
        <v>45088</v>
      </c>
    </row>
    <row r="4377" spans="1:7">
      <c r="A4377" t="s">
        <v>10405</v>
      </c>
      <c r="B4377">
        <v>58</v>
      </c>
      <c r="C4377" t="s">
        <v>10406</v>
      </c>
      <c r="E4377" t="s">
        <v>12</v>
      </c>
      <c r="F4377">
        <v>1784983542</v>
      </c>
      <c r="G4377" s="1">
        <v>45029</v>
      </c>
    </row>
    <row r="4378" spans="1:7">
      <c r="A4378" t="s">
        <v>10407</v>
      </c>
      <c r="B4378">
        <v>70</v>
      </c>
      <c r="C4378" t="s">
        <v>10408</v>
      </c>
      <c r="D4378">
        <v>107990</v>
      </c>
      <c r="E4378" t="s">
        <v>9</v>
      </c>
      <c r="F4378" t="s">
        <v>10409</v>
      </c>
      <c r="G4378" s="1">
        <v>45246</v>
      </c>
    </row>
    <row r="4379" spans="1:7">
      <c r="A4379" t="s">
        <v>10410</v>
      </c>
      <c r="C4379" t="s">
        <v>10411</v>
      </c>
      <c r="D4379">
        <v>167821</v>
      </c>
      <c r="E4379" t="s">
        <v>27</v>
      </c>
      <c r="F4379" t="s">
        <v>10412</v>
      </c>
      <c r="G4379" s="1">
        <v>45019</v>
      </c>
    </row>
    <row r="4380" spans="1:7">
      <c r="A4380" t="s">
        <v>10413</v>
      </c>
      <c r="B4380">
        <v>0</v>
      </c>
      <c r="C4380" t="s">
        <v>10414</v>
      </c>
      <c r="D4380">
        <v>119499</v>
      </c>
      <c r="E4380" t="s">
        <v>9</v>
      </c>
      <c r="F4380" t="s">
        <v>10415</v>
      </c>
      <c r="G4380" s="1">
        <v>44972</v>
      </c>
    </row>
    <row r="4381" spans="1:7">
      <c r="A4381" t="s">
        <v>10416</v>
      </c>
      <c r="B4381">
        <v>35</v>
      </c>
      <c r="C4381" t="s">
        <v>10417</v>
      </c>
      <c r="E4381" t="s">
        <v>9</v>
      </c>
      <c r="F4381">
        <v>8249636686</v>
      </c>
      <c r="G4381" s="1">
        <v>45154</v>
      </c>
    </row>
    <row r="4382" spans="1:7">
      <c r="A4382" t="s">
        <v>10418</v>
      </c>
      <c r="B4382">
        <v>27</v>
      </c>
      <c r="C4382" t="s">
        <v>10419</v>
      </c>
      <c r="D4382">
        <v>31073</v>
      </c>
      <c r="E4382" t="s">
        <v>36</v>
      </c>
      <c r="F4382" t="s">
        <v>10420</v>
      </c>
      <c r="G4382" s="1">
        <v>45234</v>
      </c>
    </row>
    <row r="4383" spans="1:7">
      <c r="A4383" t="s">
        <v>10421</v>
      </c>
      <c r="B4383">
        <v>40</v>
      </c>
      <c r="C4383" t="s">
        <v>10422</v>
      </c>
      <c r="D4383">
        <v>41669</v>
      </c>
      <c r="E4383" t="s">
        <v>12</v>
      </c>
      <c r="F4383">
        <v>8793362077</v>
      </c>
      <c r="G4383" s="1">
        <v>44932</v>
      </c>
    </row>
    <row r="4384" spans="1:7">
      <c r="A4384" t="s">
        <v>10423</v>
      </c>
      <c r="B4384">
        <v>-5</v>
      </c>
      <c r="C4384" t="s">
        <v>478</v>
      </c>
      <c r="E4384" t="s">
        <v>12</v>
      </c>
      <c r="F4384" t="s">
        <v>10424</v>
      </c>
      <c r="G4384" s="1">
        <v>45125</v>
      </c>
    </row>
    <row r="4385" spans="1:7">
      <c r="A4385" t="s">
        <v>10425</v>
      </c>
      <c r="B4385">
        <v>55</v>
      </c>
      <c r="C4385" t="s">
        <v>10426</v>
      </c>
      <c r="D4385">
        <v>120477</v>
      </c>
      <c r="E4385" t="s">
        <v>36</v>
      </c>
      <c r="F4385">
        <v>2495423827</v>
      </c>
      <c r="G4385" s="1">
        <v>45105</v>
      </c>
    </row>
    <row r="4386" spans="1:7">
      <c r="A4386" t="s">
        <v>7392</v>
      </c>
      <c r="B4386">
        <v>66</v>
      </c>
      <c r="C4386" t="s">
        <v>445</v>
      </c>
      <c r="D4386">
        <v>124634</v>
      </c>
      <c r="E4386" t="s">
        <v>9</v>
      </c>
      <c r="G4386" s="1">
        <v>45015</v>
      </c>
    </row>
    <row r="4387" spans="1:7">
      <c r="A4387" t="s">
        <v>10427</v>
      </c>
      <c r="B4387">
        <v>-5</v>
      </c>
      <c r="C4387" t="s">
        <v>10428</v>
      </c>
      <c r="D4387">
        <v>56572</v>
      </c>
      <c r="E4387" t="s">
        <v>36</v>
      </c>
      <c r="F4387">
        <f>1-975-913-6254</f>
        <v>-8141</v>
      </c>
      <c r="G4387" s="1">
        <v>45001</v>
      </c>
    </row>
    <row r="4388" spans="1:7">
      <c r="A4388" t="s">
        <v>10429</v>
      </c>
      <c r="B4388">
        <v>35</v>
      </c>
      <c r="C4388" t="s">
        <v>10430</v>
      </c>
      <c r="D4388">
        <v>157006</v>
      </c>
      <c r="E4388" t="s">
        <v>27</v>
      </c>
      <c r="F4388">
        <f>1-941-926-9021</f>
        <v>-10887</v>
      </c>
      <c r="G4388" s="1">
        <v>45182</v>
      </c>
    </row>
    <row r="4389" spans="1:7">
      <c r="A4389" t="s">
        <v>10431</v>
      </c>
      <c r="B4389">
        <v>31</v>
      </c>
      <c r="C4389" t="s">
        <v>10432</v>
      </c>
      <c r="D4389">
        <v>71302</v>
      </c>
      <c r="E4389" t="s">
        <v>36</v>
      </c>
      <c r="F4389">
        <f>1-493-382-7461</f>
        <v>-8335</v>
      </c>
      <c r="G4389" s="1">
        <v>45013</v>
      </c>
    </row>
    <row r="4390" spans="1:7">
      <c r="A4390" t="s">
        <v>10433</v>
      </c>
      <c r="B4390">
        <v>52</v>
      </c>
      <c r="D4390">
        <v>65450</v>
      </c>
      <c r="E4390" t="s">
        <v>27</v>
      </c>
      <c r="F4390">
        <f>1-933-659-7828</f>
        <v>-9419</v>
      </c>
      <c r="G4390" s="1">
        <v>44963</v>
      </c>
    </row>
    <row r="4391" spans="1:7">
      <c r="A4391" t="s">
        <v>10434</v>
      </c>
      <c r="C4391" t="s">
        <v>10435</v>
      </c>
      <c r="D4391">
        <v>-50000</v>
      </c>
      <c r="E4391" t="s">
        <v>27</v>
      </c>
      <c r="F4391" t="s">
        <v>10436</v>
      </c>
      <c r="G4391" s="1">
        <v>45275</v>
      </c>
    </row>
    <row r="4392" spans="1:7">
      <c r="A4392" t="s">
        <v>9525</v>
      </c>
      <c r="B4392">
        <v>77</v>
      </c>
      <c r="C4392" t="s">
        <v>10437</v>
      </c>
      <c r="D4392">
        <v>34926</v>
      </c>
      <c r="E4392" t="s">
        <v>49</v>
      </c>
      <c r="F4392">
        <f>1-405-203-2932</f>
        <v>-3539</v>
      </c>
      <c r="G4392" s="1">
        <v>44975</v>
      </c>
    </row>
    <row r="4393" spans="1:7">
      <c r="A4393" t="s">
        <v>2063</v>
      </c>
      <c r="B4393">
        <v>999</v>
      </c>
      <c r="C4393" t="s">
        <v>10438</v>
      </c>
      <c r="D4393">
        <v>81567</v>
      </c>
      <c r="E4393" t="s">
        <v>36</v>
      </c>
      <c r="F4393">
        <v>5920725544</v>
      </c>
      <c r="G4393" s="1">
        <v>45150</v>
      </c>
    </row>
    <row r="4394" spans="1:7">
      <c r="A4394" t="s">
        <v>10439</v>
      </c>
      <c r="B4394">
        <v>69</v>
      </c>
      <c r="C4394" t="s">
        <v>10440</v>
      </c>
      <c r="D4394">
        <v>130772</v>
      </c>
      <c r="E4394" t="s">
        <v>12</v>
      </c>
      <c r="F4394">
        <f>1-829-664-2867</f>
        <v>-4359</v>
      </c>
      <c r="G4394" s="1">
        <v>45051</v>
      </c>
    </row>
    <row r="4395" spans="1:7">
      <c r="A4395" t="s">
        <v>10441</v>
      </c>
      <c r="B4395">
        <v>200</v>
      </c>
      <c r="C4395" t="s">
        <v>10442</v>
      </c>
      <c r="D4395">
        <v>158557</v>
      </c>
      <c r="E4395" t="s">
        <v>9</v>
      </c>
      <c r="F4395" t="s">
        <v>10443</v>
      </c>
      <c r="G4395" s="1">
        <v>45137</v>
      </c>
    </row>
    <row r="4396" spans="1:7">
      <c r="A4396" t="s">
        <v>8259</v>
      </c>
      <c r="B4396">
        <v>31</v>
      </c>
      <c r="C4396" t="s">
        <v>299</v>
      </c>
      <c r="D4396">
        <v>0</v>
      </c>
      <c r="E4396" t="s">
        <v>12</v>
      </c>
      <c r="F4396" t="s">
        <v>10444</v>
      </c>
      <c r="G4396" s="1">
        <v>45167</v>
      </c>
    </row>
    <row r="4397" spans="1:7">
      <c r="A4397" t="s">
        <v>10445</v>
      </c>
      <c r="B4397">
        <v>69</v>
      </c>
      <c r="C4397" t="s">
        <v>10446</v>
      </c>
      <c r="D4397">
        <v>177735</v>
      </c>
      <c r="E4397" t="s">
        <v>9</v>
      </c>
      <c r="F4397">
        <v>8880426060</v>
      </c>
      <c r="G4397" t="s">
        <v>3963</v>
      </c>
    </row>
    <row r="4398" spans="1:7">
      <c r="A4398" t="s">
        <v>10447</v>
      </c>
      <c r="B4398">
        <v>21</v>
      </c>
      <c r="C4398" t="s">
        <v>10448</v>
      </c>
      <c r="E4398" t="s">
        <v>9</v>
      </c>
      <c r="F4398" t="s">
        <v>10449</v>
      </c>
      <c r="G4398" t="s">
        <v>87</v>
      </c>
    </row>
    <row r="4399" spans="1:7">
      <c r="A4399" t="s">
        <v>10450</v>
      </c>
      <c r="B4399">
        <v>34</v>
      </c>
      <c r="C4399" t="s">
        <v>10451</v>
      </c>
      <c r="D4399">
        <v>152863</v>
      </c>
      <c r="E4399" t="s">
        <v>9</v>
      </c>
      <c r="F4399" t="s">
        <v>10452</v>
      </c>
      <c r="G4399" s="1">
        <v>45176</v>
      </c>
    </row>
    <row r="4400" spans="1:7">
      <c r="A4400" t="s">
        <v>10453</v>
      </c>
      <c r="B4400">
        <v>34</v>
      </c>
      <c r="C4400" t="s">
        <v>10454</v>
      </c>
      <c r="D4400">
        <v>43261</v>
      </c>
      <c r="E4400" t="s">
        <v>27</v>
      </c>
      <c r="F4400">
        <f>1-634-293-8796</f>
        <v>-9722</v>
      </c>
      <c r="G4400" t="s">
        <v>180</v>
      </c>
    </row>
    <row r="4401" spans="1:7">
      <c r="A4401" t="s">
        <v>10455</v>
      </c>
      <c r="B4401">
        <v>76</v>
      </c>
      <c r="C4401" t="s">
        <v>518</v>
      </c>
      <c r="D4401">
        <v>188477</v>
      </c>
      <c r="E4401" t="s">
        <v>12</v>
      </c>
      <c r="F4401" t="s">
        <v>10456</v>
      </c>
      <c r="G4401" s="1">
        <v>45219</v>
      </c>
    </row>
    <row r="4402" spans="1:7">
      <c r="A4402" t="s">
        <v>2796</v>
      </c>
      <c r="B4402">
        <v>73</v>
      </c>
      <c r="C4402" t="s">
        <v>10457</v>
      </c>
      <c r="D4402">
        <v>139200</v>
      </c>
      <c r="E4402" t="s">
        <v>527</v>
      </c>
      <c r="F4402">
        <f>1-312-389-2412</f>
        <v>-3112</v>
      </c>
      <c r="G4402" s="1">
        <v>45245</v>
      </c>
    </row>
    <row r="4403" spans="1:7">
      <c r="A4403" t="s">
        <v>10458</v>
      </c>
      <c r="B4403">
        <v>-25</v>
      </c>
      <c r="C4403" t="s">
        <v>10459</v>
      </c>
      <c r="D4403">
        <v>161564</v>
      </c>
      <c r="E4403" t="s">
        <v>36</v>
      </c>
      <c r="F4403" t="s">
        <v>10460</v>
      </c>
      <c r="G4403" s="1">
        <v>45083</v>
      </c>
    </row>
    <row r="4404" spans="1:7">
      <c r="A4404" t="s">
        <v>10461</v>
      </c>
      <c r="B4404">
        <v>68</v>
      </c>
      <c r="C4404" t="s">
        <v>170</v>
      </c>
      <c r="D4404">
        <v>125676</v>
      </c>
      <c r="E4404" t="s">
        <v>36</v>
      </c>
      <c r="F4404" t="s">
        <v>10462</v>
      </c>
      <c r="G4404" s="1">
        <v>45212</v>
      </c>
    </row>
    <row r="4405" spans="1:7">
      <c r="A4405" t="s">
        <v>10463</v>
      </c>
      <c r="B4405">
        <v>38</v>
      </c>
      <c r="C4405" t="s">
        <v>10464</v>
      </c>
      <c r="D4405">
        <v>137509</v>
      </c>
      <c r="E4405" t="s">
        <v>36</v>
      </c>
      <c r="F4405" t="s">
        <v>10465</v>
      </c>
      <c r="G4405" s="1">
        <v>45198</v>
      </c>
    </row>
    <row r="4406" spans="1:7">
      <c r="A4406" t="s">
        <v>10466</v>
      </c>
      <c r="B4406">
        <v>32</v>
      </c>
      <c r="C4406" t="s">
        <v>10467</v>
      </c>
      <c r="D4406">
        <v>124108</v>
      </c>
      <c r="E4406" t="s">
        <v>36</v>
      </c>
      <c r="F4406" t="s">
        <v>10468</v>
      </c>
      <c r="G4406" s="1">
        <v>45252</v>
      </c>
    </row>
    <row r="4407" spans="1:7">
      <c r="A4407" t="s">
        <v>10469</v>
      </c>
      <c r="B4407">
        <v>59</v>
      </c>
      <c r="C4407" t="s">
        <v>10470</v>
      </c>
      <c r="D4407">
        <v>124283</v>
      </c>
      <c r="E4407" t="s">
        <v>12</v>
      </c>
      <c r="F4407">
        <f>1-694-456-7615</f>
        <v>-8764</v>
      </c>
      <c r="G4407" s="1">
        <v>44990</v>
      </c>
    </row>
    <row r="4408" spans="1:7">
      <c r="A4408" t="s">
        <v>10471</v>
      </c>
      <c r="B4408">
        <v>40</v>
      </c>
      <c r="C4408" t="s">
        <v>10472</v>
      </c>
      <c r="D4408">
        <v>146214</v>
      </c>
      <c r="E4408" t="s">
        <v>9</v>
      </c>
      <c r="F4408">
        <f>1-907-733-8244</f>
        <v>-9883</v>
      </c>
      <c r="G4408" s="1">
        <v>44939</v>
      </c>
    </row>
    <row r="4409" spans="1:7">
      <c r="A4409" t="s">
        <v>10473</v>
      </c>
      <c r="B4409">
        <v>21</v>
      </c>
      <c r="C4409" t="s">
        <v>10474</v>
      </c>
      <c r="E4409" t="s">
        <v>36</v>
      </c>
      <c r="F4409">
        <v>8567924811</v>
      </c>
      <c r="G4409" s="1">
        <v>45051</v>
      </c>
    </row>
    <row r="4410" spans="1:7">
      <c r="A4410" t="s">
        <v>10475</v>
      </c>
      <c r="B4410">
        <v>61</v>
      </c>
      <c r="C4410" t="s">
        <v>10476</v>
      </c>
      <c r="D4410">
        <v>39726</v>
      </c>
      <c r="F4410" t="s">
        <v>10477</v>
      </c>
      <c r="G4410" s="1">
        <v>45045</v>
      </c>
    </row>
    <row r="4411" spans="1:7">
      <c r="A4411" t="s">
        <v>10478</v>
      </c>
      <c r="B4411">
        <v>79</v>
      </c>
      <c r="C4411" t="s">
        <v>17</v>
      </c>
      <c r="D4411">
        <v>142196</v>
      </c>
      <c r="E4411" t="s">
        <v>27</v>
      </c>
      <c r="F4411" t="s">
        <v>10479</v>
      </c>
      <c r="G4411" s="1">
        <v>45105</v>
      </c>
    </row>
    <row r="4412" spans="1:7">
      <c r="A4412" t="s">
        <v>10480</v>
      </c>
      <c r="B4412">
        <v>73</v>
      </c>
      <c r="C4412" t="s">
        <v>10481</v>
      </c>
      <c r="D4412">
        <v>83634</v>
      </c>
      <c r="E4412" t="s">
        <v>12</v>
      </c>
      <c r="F4412" t="s">
        <v>10482</v>
      </c>
      <c r="G4412" t="s">
        <v>1459</v>
      </c>
    </row>
    <row r="4413" spans="1:7">
      <c r="A4413" t="s">
        <v>10483</v>
      </c>
      <c r="B4413">
        <v>37</v>
      </c>
      <c r="C4413" t="s">
        <v>10484</v>
      </c>
      <c r="E4413" t="s">
        <v>36</v>
      </c>
      <c r="F4413" t="s">
        <v>10485</v>
      </c>
      <c r="G4413" s="1">
        <v>44961</v>
      </c>
    </row>
    <row r="4414" spans="1:7">
      <c r="B4414">
        <v>47</v>
      </c>
      <c r="C4414" t="s">
        <v>10486</v>
      </c>
      <c r="D4414">
        <v>34992</v>
      </c>
      <c r="E4414" t="s">
        <v>36</v>
      </c>
      <c r="F4414">
        <f>1-828-949-5227</f>
        <v>-7003</v>
      </c>
      <c r="G4414" s="1">
        <v>45204</v>
      </c>
    </row>
    <row r="4415" spans="1:7">
      <c r="A4415" t="s">
        <v>10487</v>
      </c>
      <c r="B4415">
        <v>47</v>
      </c>
      <c r="C4415" t="s">
        <v>10488</v>
      </c>
      <c r="D4415">
        <v>87530</v>
      </c>
      <c r="E4415" t="s">
        <v>27</v>
      </c>
      <c r="F4415">
        <f>1-571-222-3069</f>
        <v>-3861</v>
      </c>
      <c r="G4415" s="1">
        <v>45259</v>
      </c>
    </row>
    <row r="4416" spans="1:7">
      <c r="A4416" t="s">
        <v>10489</v>
      </c>
      <c r="B4416">
        <v>59</v>
      </c>
      <c r="C4416" t="s">
        <v>10490</v>
      </c>
      <c r="D4416">
        <v>172429</v>
      </c>
      <c r="E4416" t="s">
        <v>27</v>
      </c>
      <c r="F4416" t="s">
        <v>10491</v>
      </c>
      <c r="G4416" s="1">
        <v>44952</v>
      </c>
    </row>
    <row r="4417" spans="1:7">
      <c r="A4417" t="s">
        <v>10492</v>
      </c>
      <c r="B4417">
        <v>-999</v>
      </c>
      <c r="C4417" t="s">
        <v>531</v>
      </c>
      <c r="D4417">
        <v>-1</v>
      </c>
      <c r="E4417" t="s">
        <v>532</v>
      </c>
      <c r="G4417" t="s">
        <v>493</v>
      </c>
    </row>
    <row r="4418" spans="1:7">
      <c r="A4418" t="s">
        <v>10493</v>
      </c>
      <c r="B4418">
        <v>250</v>
      </c>
      <c r="C4418" t="s">
        <v>10494</v>
      </c>
      <c r="D4418">
        <v>37415</v>
      </c>
      <c r="E4418" t="s">
        <v>12</v>
      </c>
      <c r="F4418">
        <v>3584676841</v>
      </c>
      <c r="G4418" s="1">
        <v>45145</v>
      </c>
    </row>
    <row r="4419" spans="1:7">
      <c r="A4419" t="s">
        <v>6774</v>
      </c>
      <c r="B4419">
        <v>71</v>
      </c>
      <c r="C4419" t="s">
        <v>10495</v>
      </c>
      <c r="D4419">
        <v>174941</v>
      </c>
      <c r="E4419" t="s">
        <v>358</v>
      </c>
      <c r="F4419" t="s">
        <v>10496</v>
      </c>
      <c r="G4419" s="1">
        <v>45202</v>
      </c>
    </row>
    <row r="4420" spans="1:7">
      <c r="A4420" t="s">
        <v>10497</v>
      </c>
      <c r="B4420">
        <v>56</v>
      </c>
      <c r="C4420" t="s">
        <v>10498</v>
      </c>
      <c r="E4420" t="s">
        <v>27</v>
      </c>
      <c r="F4420" t="s">
        <v>10499</v>
      </c>
      <c r="G4420" s="1">
        <v>45118</v>
      </c>
    </row>
    <row r="4421" spans="1:7">
      <c r="A4421" t="s">
        <v>10500</v>
      </c>
      <c r="B4421">
        <v>73</v>
      </c>
      <c r="C4421" t="s">
        <v>10501</v>
      </c>
      <c r="D4421">
        <v>191205</v>
      </c>
      <c r="E4421" t="s">
        <v>9</v>
      </c>
      <c r="F4421">
        <v>2821400851</v>
      </c>
      <c r="G4421" s="1">
        <v>44928</v>
      </c>
    </row>
    <row r="4422" spans="1:7">
      <c r="A4422" t="s">
        <v>10502</v>
      </c>
      <c r="B4422">
        <v>78</v>
      </c>
      <c r="C4422" t="s">
        <v>10503</v>
      </c>
      <c r="D4422">
        <v>88829</v>
      </c>
      <c r="E4422" t="s">
        <v>12</v>
      </c>
      <c r="F4422" t="s">
        <v>10504</v>
      </c>
      <c r="G4422" s="1">
        <v>45090</v>
      </c>
    </row>
    <row r="4423" spans="1:7">
      <c r="A4423" t="s">
        <v>10505</v>
      </c>
      <c r="B4423">
        <v>53</v>
      </c>
      <c r="C4423" t="s">
        <v>10506</v>
      </c>
      <c r="D4423">
        <v>82066</v>
      </c>
      <c r="E4423" t="s">
        <v>12</v>
      </c>
      <c r="F4423">
        <f>1-829-837-5395</f>
        <v>-7060</v>
      </c>
      <c r="G4423" s="1">
        <v>45098</v>
      </c>
    </row>
    <row r="4424" spans="1:7">
      <c r="A4424" t="s">
        <v>10507</v>
      </c>
      <c r="B4424">
        <v>24</v>
      </c>
      <c r="C4424" t="s">
        <v>10508</v>
      </c>
      <c r="D4424">
        <v>143689</v>
      </c>
      <c r="E4424" t="s">
        <v>12</v>
      </c>
      <c r="F4424" t="s">
        <v>10509</v>
      </c>
      <c r="G4424" s="1">
        <v>44990</v>
      </c>
    </row>
    <row r="4425" spans="1:7">
      <c r="A4425" t="s">
        <v>2457</v>
      </c>
      <c r="B4425">
        <v>28</v>
      </c>
      <c r="C4425" t="s">
        <v>2458</v>
      </c>
      <c r="D4425">
        <v>153199</v>
      </c>
      <c r="E4425" t="s">
        <v>90</v>
      </c>
      <c r="F4425" t="s">
        <v>2459</v>
      </c>
      <c r="G4425" s="1">
        <v>45278</v>
      </c>
    </row>
    <row r="4426" spans="1:7">
      <c r="A4426" t="s">
        <v>10510</v>
      </c>
      <c r="B4426">
        <v>45</v>
      </c>
      <c r="D4426">
        <v>0</v>
      </c>
      <c r="E4426" t="s">
        <v>27</v>
      </c>
      <c r="F4426">
        <v>7925383538</v>
      </c>
      <c r="G4426" s="1">
        <v>45206</v>
      </c>
    </row>
    <row r="4427" spans="1:7">
      <c r="A4427" t="s">
        <v>10511</v>
      </c>
      <c r="B4427">
        <v>54</v>
      </c>
      <c r="C4427" t="s">
        <v>10512</v>
      </c>
      <c r="D4427">
        <v>47576</v>
      </c>
      <c r="E4427" t="s">
        <v>9</v>
      </c>
      <c r="F4427" t="s">
        <v>10513</v>
      </c>
      <c r="G4427" s="1">
        <v>45161</v>
      </c>
    </row>
    <row r="4428" spans="1:7">
      <c r="A4428" t="s">
        <v>10514</v>
      </c>
      <c r="B4428">
        <v>19</v>
      </c>
      <c r="C4428" t="s">
        <v>10515</v>
      </c>
      <c r="D4428">
        <v>150506</v>
      </c>
      <c r="E4428" t="s">
        <v>36</v>
      </c>
      <c r="F4428">
        <f>1-131-527-2086</f>
        <v>-2743</v>
      </c>
      <c r="G4428" s="1">
        <v>45123</v>
      </c>
    </row>
    <row r="4429" spans="1:7">
      <c r="A4429" t="s">
        <v>10516</v>
      </c>
      <c r="B4429">
        <v>39</v>
      </c>
      <c r="C4429" t="s">
        <v>10517</v>
      </c>
      <c r="D4429">
        <v>177044</v>
      </c>
      <c r="E4429" t="s">
        <v>12</v>
      </c>
      <c r="F4429" t="s">
        <v>10518</v>
      </c>
      <c r="G4429" s="1">
        <v>44980</v>
      </c>
    </row>
    <row r="4430" spans="1:7">
      <c r="A4430" t="s">
        <v>10519</v>
      </c>
      <c r="B4430">
        <v>45</v>
      </c>
      <c r="C4430" t="s">
        <v>10520</v>
      </c>
      <c r="D4430">
        <v>33435</v>
      </c>
      <c r="E4430" t="s">
        <v>12</v>
      </c>
      <c r="F4430" t="s">
        <v>10521</v>
      </c>
      <c r="G4430" s="1">
        <v>45022</v>
      </c>
    </row>
    <row r="4431" spans="1:7">
      <c r="A4431" t="s">
        <v>6490</v>
      </c>
      <c r="B4431">
        <v>70</v>
      </c>
      <c r="C4431" t="s">
        <v>10522</v>
      </c>
      <c r="D4431">
        <v>87620</v>
      </c>
      <c r="E4431" t="s">
        <v>12</v>
      </c>
      <c r="F4431" t="s">
        <v>10523</v>
      </c>
      <c r="G4431" s="1">
        <v>45217</v>
      </c>
    </row>
    <row r="4432" spans="1:7">
      <c r="A4432" t="s">
        <v>10524</v>
      </c>
      <c r="B4432">
        <v>71</v>
      </c>
      <c r="C4432" t="s">
        <v>10525</v>
      </c>
      <c r="D4432">
        <v>-10000</v>
      </c>
      <c r="E4432" t="s">
        <v>12</v>
      </c>
      <c r="F4432" t="s">
        <v>10526</v>
      </c>
      <c r="G4432" s="1">
        <v>45000</v>
      </c>
    </row>
    <row r="4433" spans="1:7">
      <c r="A4433" t="s">
        <v>10527</v>
      </c>
      <c r="B4433">
        <v>75</v>
      </c>
      <c r="C4433" t="s">
        <v>10528</v>
      </c>
      <c r="D4433">
        <v>192993</v>
      </c>
      <c r="E4433" t="s">
        <v>9</v>
      </c>
      <c r="F4433" t="s">
        <v>10529</v>
      </c>
      <c r="G4433" s="1">
        <v>45208</v>
      </c>
    </row>
    <row r="4434" spans="1:7">
      <c r="A4434" t="s">
        <v>10530</v>
      </c>
      <c r="B4434">
        <v>33</v>
      </c>
      <c r="C4434" t="s">
        <v>61</v>
      </c>
      <c r="D4434">
        <v>63065</v>
      </c>
      <c r="E4434" t="s">
        <v>27</v>
      </c>
      <c r="F4434" t="s">
        <v>10531</v>
      </c>
      <c r="G4434" s="1">
        <v>44960</v>
      </c>
    </row>
    <row r="4435" spans="1:7">
      <c r="A4435" t="s">
        <v>4473</v>
      </c>
      <c r="B4435">
        <v>27</v>
      </c>
      <c r="C4435" t="s">
        <v>10532</v>
      </c>
      <c r="D4435">
        <v>42748</v>
      </c>
      <c r="E4435" t="s">
        <v>9</v>
      </c>
      <c r="G4435" t="s">
        <v>3963</v>
      </c>
    </row>
    <row r="4436" spans="1:7">
      <c r="A4436" t="s">
        <v>10533</v>
      </c>
      <c r="B4436">
        <v>68</v>
      </c>
      <c r="C4436" t="s">
        <v>10534</v>
      </c>
      <c r="D4436">
        <v>84110</v>
      </c>
      <c r="E4436" t="s">
        <v>12</v>
      </c>
      <c r="F4436" t="s">
        <v>10535</v>
      </c>
      <c r="G4436" s="1">
        <v>45032</v>
      </c>
    </row>
    <row r="4437" spans="1:7">
      <c r="A4437" t="s">
        <v>10536</v>
      </c>
      <c r="B4437">
        <v>35</v>
      </c>
      <c r="C4437" t="s">
        <v>10537</v>
      </c>
      <c r="D4437">
        <v>-10000</v>
      </c>
      <c r="E4437" t="s">
        <v>36</v>
      </c>
      <c r="F4437" t="s">
        <v>10538</v>
      </c>
      <c r="G4437" s="1">
        <v>45280</v>
      </c>
    </row>
    <row r="4438" spans="1:7">
      <c r="A4438" t="s">
        <v>10539</v>
      </c>
      <c r="B4438">
        <v>26</v>
      </c>
      <c r="D4438">
        <v>113639</v>
      </c>
      <c r="E4438" t="s">
        <v>12</v>
      </c>
      <c r="F4438" t="s">
        <v>10540</v>
      </c>
      <c r="G4438" s="1">
        <v>45286</v>
      </c>
    </row>
    <row r="4439" spans="1:7">
      <c r="A4439" t="s">
        <v>10541</v>
      </c>
      <c r="B4439">
        <v>21</v>
      </c>
      <c r="C4439" t="s">
        <v>10542</v>
      </c>
      <c r="D4439">
        <v>146045</v>
      </c>
      <c r="E4439" t="s">
        <v>27</v>
      </c>
      <c r="F4439" t="s">
        <v>10543</v>
      </c>
      <c r="G4439" s="1">
        <v>45260</v>
      </c>
    </row>
    <row r="4440" spans="1:7">
      <c r="A4440" t="s">
        <v>10544</v>
      </c>
      <c r="B4440">
        <v>58</v>
      </c>
      <c r="C4440" t="s">
        <v>10545</v>
      </c>
      <c r="D4440">
        <v>73949</v>
      </c>
      <c r="E4440" t="s">
        <v>27</v>
      </c>
      <c r="F4440">
        <v>1157215100</v>
      </c>
      <c r="G4440" s="1">
        <v>45138</v>
      </c>
    </row>
    <row r="4441" spans="1:7">
      <c r="A4441" t="s">
        <v>10546</v>
      </c>
      <c r="B4441">
        <v>73</v>
      </c>
      <c r="C4441" t="s">
        <v>10547</v>
      </c>
      <c r="D4441">
        <v>40976</v>
      </c>
      <c r="E4441" t="s">
        <v>9</v>
      </c>
      <c r="G4441" s="1">
        <v>45244</v>
      </c>
    </row>
    <row r="4442" spans="1:7">
      <c r="A4442" t="s">
        <v>10548</v>
      </c>
      <c r="B4442">
        <v>51</v>
      </c>
      <c r="C4442" t="s">
        <v>10549</v>
      </c>
      <c r="D4442">
        <v>102572</v>
      </c>
      <c r="E4442" t="s">
        <v>12</v>
      </c>
      <c r="F4442">
        <f>1-259-243-8697</f>
        <v>-9198</v>
      </c>
      <c r="G4442" s="1">
        <v>45168</v>
      </c>
    </row>
    <row r="4443" spans="1:7">
      <c r="A4443" t="s">
        <v>10550</v>
      </c>
      <c r="B4443">
        <v>53</v>
      </c>
      <c r="C4443" t="s">
        <v>10551</v>
      </c>
      <c r="D4443">
        <v>169490</v>
      </c>
      <c r="E4443" t="s">
        <v>12</v>
      </c>
      <c r="F4443" t="s">
        <v>10552</v>
      </c>
      <c r="G4443" s="1">
        <v>44996</v>
      </c>
    </row>
    <row r="4444" spans="1:7">
      <c r="A4444" t="s">
        <v>10553</v>
      </c>
      <c r="B4444">
        <v>50</v>
      </c>
      <c r="D4444">
        <v>154336</v>
      </c>
      <c r="E4444" t="s">
        <v>358</v>
      </c>
      <c r="F4444" t="s">
        <v>10554</v>
      </c>
      <c r="G4444" s="1">
        <v>45234</v>
      </c>
    </row>
    <row r="4445" spans="1:7">
      <c r="A4445" t="s">
        <v>10555</v>
      </c>
      <c r="B4445">
        <v>40</v>
      </c>
      <c r="C4445" t="s">
        <v>10556</v>
      </c>
      <c r="D4445">
        <v>189379</v>
      </c>
      <c r="E4445" t="s">
        <v>36</v>
      </c>
      <c r="F4445">
        <f>1-658-175-1324</f>
        <v>-2156</v>
      </c>
      <c r="G4445" t="s">
        <v>493</v>
      </c>
    </row>
    <row r="4446" spans="1:7">
      <c r="A4446" t="s">
        <v>10557</v>
      </c>
      <c r="B4446">
        <v>32</v>
      </c>
      <c r="C4446" t="s">
        <v>10558</v>
      </c>
      <c r="D4446">
        <v>151950</v>
      </c>
      <c r="E4446" t="s">
        <v>527</v>
      </c>
      <c r="F4446" t="s">
        <v>10559</v>
      </c>
      <c r="G4446" s="1">
        <v>44998</v>
      </c>
    </row>
    <row r="4447" spans="1:7">
      <c r="A4447" t="s">
        <v>10560</v>
      </c>
      <c r="B4447">
        <v>52</v>
      </c>
      <c r="C4447" t="s">
        <v>10561</v>
      </c>
      <c r="D4447">
        <v>57388</v>
      </c>
      <c r="E4447" t="s">
        <v>12</v>
      </c>
      <c r="F4447" t="s">
        <v>10562</v>
      </c>
      <c r="G4447" s="1">
        <v>45166</v>
      </c>
    </row>
    <row r="4448" spans="1:7">
      <c r="A4448" t="s">
        <v>10563</v>
      </c>
      <c r="B4448">
        <v>44</v>
      </c>
      <c r="C4448" t="s">
        <v>10564</v>
      </c>
      <c r="D4448">
        <v>154984</v>
      </c>
      <c r="E4448" t="s">
        <v>27</v>
      </c>
      <c r="F4448" t="s">
        <v>10565</v>
      </c>
      <c r="G4448" s="1">
        <v>45119</v>
      </c>
    </row>
    <row r="4449" spans="1:7">
      <c r="A4449" t="s">
        <v>10566</v>
      </c>
      <c r="B4449">
        <v>54</v>
      </c>
      <c r="C4449" t="s">
        <v>10567</v>
      </c>
      <c r="D4449">
        <v>195912</v>
      </c>
      <c r="E4449" t="s">
        <v>9</v>
      </c>
      <c r="F4449">
        <v>2750473645</v>
      </c>
      <c r="G4449" s="1">
        <v>45085</v>
      </c>
    </row>
    <row r="4450" spans="1:7">
      <c r="A4450" t="s">
        <v>10568</v>
      </c>
      <c r="B4450">
        <v>49</v>
      </c>
      <c r="C4450" t="s">
        <v>10569</v>
      </c>
      <c r="D4450">
        <v>49288</v>
      </c>
      <c r="E4450" t="s">
        <v>27</v>
      </c>
      <c r="G4450" s="1">
        <v>45162</v>
      </c>
    </row>
    <row r="4451" spans="1:7">
      <c r="A4451" t="s">
        <v>10570</v>
      </c>
      <c r="B4451">
        <v>27</v>
      </c>
      <c r="C4451" t="s">
        <v>10571</v>
      </c>
      <c r="E4451" t="s">
        <v>9</v>
      </c>
      <c r="G4451" s="1">
        <v>44999</v>
      </c>
    </row>
    <row r="4452" spans="1:7">
      <c r="A4452" t="s">
        <v>10572</v>
      </c>
      <c r="B4452">
        <v>41</v>
      </c>
      <c r="D4452">
        <v>112263</v>
      </c>
      <c r="E4452" t="s">
        <v>9</v>
      </c>
      <c r="F4452" t="s">
        <v>10573</v>
      </c>
      <c r="G4452" s="1">
        <v>45091</v>
      </c>
    </row>
    <row r="4453" spans="1:7">
      <c r="A4453" t="s">
        <v>8935</v>
      </c>
      <c r="B4453">
        <v>77</v>
      </c>
      <c r="C4453" t="s">
        <v>10574</v>
      </c>
      <c r="D4453">
        <v>39256</v>
      </c>
      <c r="E4453" t="s">
        <v>36</v>
      </c>
      <c r="F4453" t="s">
        <v>10575</v>
      </c>
      <c r="G4453" s="1">
        <v>45221</v>
      </c>
    </row>
    <row r="4454" spans="1:7">
      <c r="A4454" t="s">
        <v>10576</v>
      </c>
      <c r="B4454">
        <v>22</v>
      </c>
      <c r="D4454">
        <v>101927</v>
      </c>
      <c r="E4454" t="s">
        <v>27</v>
      </c>
      <c r="F4454" t="s">
        <v>10577</v>
      </c>
      <c r="G4454" s="1">
        <v>45247</v>
      </c>
    </row>
    <row r="4455" spans="1:7">
      <c r="A4455" t="s">
        <v>10578</v>
      </c>
      <c r="B4455">
        <v>33</v>
      </c>
      <c r="C4455" t="s">
        <v>10579</v>
      </c>
      <c r="D4455">
        <v>56312</v>
      </c>
      <c r="E4455" t="s">
        <v>36</v>
      </c>
      <c r="G4455" s="1">
        <v>45028</v>
      </c>
    </row>
    <row r="4456" spans="1:7">
      <c r="A4456" t="s">
        <v>7382</v>
      </c>
      <c r="B4456">
        <v>23</v>
      </c>
      <c r="C4456" t="s">
        <v>10580</v>
      </c>
      <c r="D4456">
        <v>158126</v>
      </c>
      <c r="E4456" t="s">
        <v>12</v>
      </c>
      <c r="F4456">
        <v>4080891187</v>
      </c>
      <c r="G4456" s="1">
        <v>45170</v>
      </c>
    </row>
    <row r="4457" spans="1:7">
      <c r="A4457" t="s">
        <v>10581</v>
      </c>
      <c r="B4457">
        <v>54</v>
      </c>
      <c r="C4457" t="s">
        <v>10582</v>
      </c>
      <c r="D4457">
        <v>125102</v>
      </c>
      <c r="E4457" t="s">
        <v>36</v>
      </c>
      <c r="F4457" t="s">
        <v>10583</v>
      </c>
      <c r="G4457" s="1">
        <v>45051</v>
      </c>
    </row>
    <row r="4458" spans="1:7">
      <c r="A4458" t="s">
        <v>10584</v>
      </c>
      <c r="B4458">
        <v>58</v>
      </c>
      <c r="C4458" t="s">
        <v>10585</v>
      </c>
      <c r="D4458">
        <v>175631</v>
      </c>
      <c r="E4458" t="s">
        <v>9</v>
      </c>
      <c r="F4458" t="s">
        <v>10586</v>
      </c>
      <c r="G4458" s="1">
        <v>45112</v>
      </c>
    </row>
    <row r="4459" spans="1:7">
      <c r="A4459" t="s">
        <v>10587</v>
      </c>
      <c r="B4459">
        <v>19</v>
      </c>
      <c r="C4459" t="s">
        <v>10588</v>
      </c>
      <c r="D4459">
        <v>-50000</v>
      </c>
      <c r="E4459" t="s">
        <v>36</v>
      </c>
      <c r="F4459">
        <v>7238476297</v>
      </c>
      <c r="G4459" s="1">
        <v>45005</v>
      </c>
    </row>
    <row r="4460" spans="1:7">
      <c r="B4460">
        <v>41</v>
      </c>
      <c r="C4460" t="s">
        <v>10589</v>
      </c>
      <c r="D4460">
        <v>80901</v>
      </c>
      <c r="E4460" t="s">
        <v>12</v>
      </c>
      <c r="F4460" t="s">
        <v>10590</v>
      </c>
      <c r="G4460" s="1">
        <v>44948</v>
      </c>
    </row>
    <row r="4461" spans="1:7">
      <c r="A4461" t="s">
        <v>10591</v>
      </c>
      <c r="B4461">
        <v>39</v>
      </c>
      <c r="C4461" t="s">
        <v>10592</v>
      </c>
      <c r="D4461">
        <v>102307</v>
      </c>
      <c r="E4461" t="s">
        <v>27</v>
      </c>
      <c r="F4461" t="s">
        <v>10593</v>
      </c>
      <c r="G4461" s="1">
        <v>45276</v>
      </c>
    </row>
    <row r="4462" spans="1:7">
      <c r="A4462" t="s">
        <v>10594</v>
      </c>
      <c r="C4462" t="s">
        <v>389</v>
      </c>
      <c r="D4462">
        <v>-1000</v>
      </c>
      <c r="E4462" t="s">
        <v>12</v>
      </c>
      <c r="F4462">
        <v>6349866419</v>
      </c>
      <c r="G4462" s="1">
        <v>44958</v>
      </c>
    </row>
    <row r="4463" spans="1:7">
      <c r="A4463" t="s">
        <v>10595</v>
      </c>
      <c r="B4463">
        <v>29</v>
      </c>
      <c r="C4463" t="s">
        <v>10596</v>
      </c>
      <c r="E4463" t="s">
        <v>9</v>
      </c>
      <c r="F4463" t="s">
        <v>10597</v>
      </c>
      <c r="G4463" s="1">
        <v>45278</v>
      </c>
    </row>
    <row r="4464" spans="1:7">
      <c r="A4464" t="s">
        <v>10598</v>
      </c>
      <c r="B4464">
        <v>-10</v>
      </c>
      <c r="C4464" t="s">
        <v>518</v>
      </c>
      <c r="D4464">
        <v>108012</v>
      </c>
      <c r="E4464" t="s">
        <v>36</v>
      </c>
      <c r="F4464">
        <f>1-779-152-9136</f>
        <v>-10066</v>
      </c>
      <c r="G4464" s="1">
        <v>45253</v>
      </c>
    </row>
    <row r="4465" spans="1:7">
      <c r="A4465" t="s">
        <v>10599</v>
      </c>
      <c r="B4465">
        <v>39</v>
      </c>
      <c r="C4465" t="s">
        <v>10600</v>
      </c>
      <c r="D4465">
        <v>184813</v>
      </c>
      <c r="E4465" t="s">
        <v>12</v>
      </c>
      <c r="F4465" t="s">
        <v>10601</v>
      </c>
      <c r="G4465" s="1">
        <v>45102</v>
      </c>
    </row>
    <row r="4466" spans="1:7">
      <c r="A4466" t="s">
        <v>10602</v>
      </c>
      <c r="B4466">
        <v>75</v>
      </c>
      <c r="C4466" t="s">
        <v>10603</v>
      </c>
      <c r="D4466">
        <v>95938</v>
      </c>
      <c r="E4466" t="s">
        <v>36</v>
      </c>
      <c r="F4466" t="s">
        <v>10604</v>
      </c>
      <c r="G4466" s="1">
        <v>45198</v>
      </c>
    </row>
    <row r="4467" spans="1:7">
      <c r="A4467" t="s">
        <v>10605</v>
      </c>
      <c r="B4467">
        <v>-999</v>
      </c>
      <c r="C4467" t="s">
        <v>531</v>
      </c>
      <c r="D4467">
        <v>-1</v>
      </c>
      <c r="E4467" t="s">
        <v>532</v>
      </c>
      <c r="G4467" t="s">
        <v>493</v>
      </c>
    </row>
    <row r="4468" spans="1:7">
      <c r="A4468" t="s">
        <v>10606</v>
      </c>
      <c r="B4468">
        <v>72</v>
      </c>
      <c r="C4468" t="s">
        <v>10607</v>
      </c>
      <c r="D4468">
        <v>45111</v>
      </c>
      <c r="E4468" t="s">
        <v>9</v>
      </c>
      <c r="F4468" t="s">
        <v>10608</v>
      </c>
      <c r="G4468" s="1">
        <v>44983</v>
      </c>
    </row>
    <row r="4469" spans="1:7">
      <c r="A4469" t="s">
        <v>10609</v>
      </c>
      <c r="B4469">
        <v>77</v>
      </c>
      <c r="C4469" t="s">
        <v>10610</v>
      </c>
      <c r="D4469">
        <v>35544</v>
      </c>
      <c r="E4469" t="s">
        <v>18</v>
      </c>
      <c r="F4469" t="s">
        <v>10611</v>
      </c>
      <c r="G4469" s="1">
        <v>45222</v>
      </c>
    </row>
    <row r="4470" spans="1:7">
      <c r="A4470" t="s">
        <v>10612</v>
      </c>
      <c r="B4470">
        <v>78</v>
      </c>
      <c r="C4470" t="s">
        <v>10613</v>
      </c>
      <c r="D4470">
        <v>192478</v>
      </c>
      <c r="E4470" t="s">
        <v>36</v>
      </c>
      <c r="F4470" t="s">
        <v>10614</v>
      </c>
      <c r="G4470" s="1">
        <v>44987</v>
      </c>
    </row>
    <row r="4471" spans="1:7">
      <c r="A4471" t="s">
        <v>10615</v>
      </c>
      <c r="B4471">
        <v>62</v>
      </c>
      <c r="C4471" t="s">
        <v>10616</v>
      </c>
      <c r="D4471">
        <v>100934</v>
      </c>
      <c r="E4471" t="s">
        <v>27</v>
      </c>
      <c r="F4471" t="s">
        <v>10617</v>
      </c>
      <c r="G4471" t="s">
        <v>180</v>
      </c>
    </row>
    <row r="4472" spans="1:7">
      <c r="A4472" t="s">
        <v>10618</v>
      </c>
      <c r="B4472">
        <v>45</v>
      </c>
      <c r="C4472" t="s">
        <v>10619</v>
      </c>
      <c r="D4472">
        <v>37265</v>
      </c>
      <c r="E4472" t="s">
        <v>9</v>
      </c>
      <c r="F4472">
        <v>9769596935</v>
      </c>
      <c r="G4472" s="1">
        <v>44999</v>
      </c>
    </row>
    <row r="4473" spans="1:7">
      <c r="A4473" t="s">
        <v>10620</v>
      </c>
      <c r="B4473">
        <v>68</v>
      </c>
      <c r="C4473" t="s">
        <v>115</v>
      </c>
      <c r="E4473" t="s">
        <v>9</v>
      </c>
      <c r="F4473" t="s">
        <v>10621</v>
      </c>
      <c r="G4473" s="1">
        <v>45031</v>
      </c>
    </row>
    <row r="4474" spans="1:7">
      <c r="A4474" t="s">
        <v>10622</v>
      </c>
      <c r="B4474">
        <v>79</v>
      </c>
      <c r="C4474" t="s">
        <v>10623</v>
      </c>
      <c r="D4474">
        <v>65851</v>
      </c>
      <c r="E4474" t="s">
        <v>18</v>
      </c>
      <c r="F4474" t="s">
        <v>10624</v>
      </c>
      <c r="G4474" s="1">
        <v>44930</v>
      </c>
    </row>
    <row r="4475" spans="1:7">
      <c r="A4475" t="s">
        <v>10625</v>
      </c>
      <c r="B4475">
        <v>69</v>
      </c>
      <c r="C4475" t="s">
        <v>10626</v>
      </c>
      <c r="D4475">
        <v>82975</v>
      </c>
      <c r="E4475" t="s">
        <v>12</v>
      </c>
      <c r="F4475" t="s">
        <v>10627</v>
      </c>
      <c r="G4475" s="1">
        <v>45052</v>
      </c>
    </row>
    <row r="4476" spans="1:7">
      <c r="A4476" t="s">
        <v>10628</v>
      </c>
      <c r="B4476">
        <v>-5</v>
      </c>
      <c r="C4476" t="s">
        <v>10629</v>
      </c>
      <c r="D4476">
        <v>61881</v>
      </c>
      <c r="E4476" t="s">
        <v>12</v>
      </c>
      <c r="G4476" s="1">
        <v>44939</v>
      </c>
    </row>
    <row r="4477" spans="1:7">
      <c r="A4477" t="s">
        <v>10630</v>
      </c>
      <c r="B4477">
        <v>48</v>
      </c>
      <c r="C4477" t="s">
        <v>10631</v>
      </c>
      <c r="D4477">
        <v>53185</v>
      </c>
      <c r="E4477" t="s">
        <v>27</v>
      </c>
      <c r="F4477" t="s">
        <v>10632</v>
      </c>
      <c r="G4477" s="1">
        <v>45167</v>
      </c>
    </row>
    <row r="4478" spans="1:7">
      <c r="A4478" t="s">
        <v>10633</v>
      </c>
      <c r="B4478">
        <v>60</v>
      </c>
      <c r="C4478" t="s">
        <v>10634</v>
      </c>
      <c r="D4478">
        <v>143053</v>
      </c>
      <c r="E4478" t="s">
        <v>12</v>
      </c>
      <c r="F4478" t="s">
        <v>10635</v>
      </c>
      <c r="G4478" s="1">
        <v>45254</v>
      </c>
    </row>
    <row r="4479" spans="1:7">
      <c r="A4479" t="s">
        <v>10636</v>
      </c>
      <c r="B4479">
        <v>26</v>
      </c>
      <c r="C4479" t="s">
        <v>594</v>
      </c>
      <c r="D4479">
        <v>129976</v>
      </c>
      <c r="E4479" t="s">
        <v>9</v>
      </c>
      <c r="F4479">
        <v>4188138565</v>
      </c>
      <c r="G4479" s="1">
        <v>45011</v>
      </c>
    </row>
    <row r="4480" spans="1:7">
      <c r="A4480" t="s">
        <v>10637</v>
      </c>
      <c r="B4480">
        <v>42</v>
      </c>
      <c r="C4480" t="s">
        <v>10638</v>
      </c>
      <c r="E4480" t="s">
        <v>12</v>
      </c>
      <c r="F4480" t="s">
        <v>10639</v>
      </c>
      <c r="G4480" s="1">
        <v>44976</v>
      </c>
    </row>
    <row r="4481" spans="1:7">
      <c r="A4481" t="s">
        <v>10640</v>
      </c>
      <c r="B4481">
        <v>24</v>
      </c>
      <c r="C4481" t="s">
        <v>10641</v>
      </c>
      <c r="D4481">
        <v>193165</v>
      </c>
      <c r="E4481" t="s">
        <v>27</v>
      </c>
      <c r="F4481">
        <f>1-600-165-9501</f>
        <v>-10265</v>
      </c>
      <c r="G4481" s="1">
        <v>45148</v>
      </c>
    </row>
    <row r="4482" spans="1:7">
      <c r="A4482" t="s">
        <v>10642</v>
      </c>
      <c r="B4482">
        <v>59</v>
      </c>
      <c r="C4482" t="s">
        <v>10643</v>
      </c>
      <c r="D4482">
        <v>115091</v>
      </c>
      <c r="E4482" t="s">
        <v>9</v>
      </c>
      <c r="F4482" t="s">
        <v>10644</v>
      </c>
      <c r="G4482" s="1">
        <v>45142</v>
      </c>
    </row>
    <row r="4483" spans="1:7">
      <c r="A4483" t="s">
        <v>10645</v>
      </c>
      <c r="B4483">
        <v>59</v>
      </c>
      <c r="D4483">
        <v>170061</v>
      </c>
      <c r="E4483" t="s">
        <v>9</v>
      </c>
      <c r="F4483" t="s">
        <v>10646</v>
      </c>
      <c r="G4483" s="1">
        <v>45272</v>
      </c>
    </row>
    <row r="4484" spans="1:7">
      <c r="A4484" t="s">
        <v>10647</v>
      </c>
      <c r="B4484">
        <v>61</v>
      </c>
      <c r="C4484" t="s">
        <v>10648</v>
      </c>
      <c r="D4484">
        <v>166645</v>
      </c>
      <c r="E4484" t="s">
        <v>27</v>
      </c>
      <c r="F4484" t="s">
        <v>10649</v>
      </c>
      <c r="G4484" s="1">
        <v>45054</v>
      </c>
    </row>
    <row r="4485" spans="1:7">
      <c r="A4485" t="s">
        <v>10650</v>
      </c>
      <c r="B4485">
        <v>79</v>
      </c>
      <c r="C4485" t="s">
        <v>10651</v>
      </c>
      <c r="D4485">
        <v>168925</v>
      </c>
      <c r="E4485" t="s">
        <v>12</v>
      </c>
      <c r="F4485">
        <v>9769785826</v>
      </c>
      <c r="G4485" s="1">
        <v>45281</v>
      </c>
    </row>
    <row r="4486" spans="1:7">
      <c r="A4486" t="s">
        <v>10652</v>
      </c>
      <c r="B4486">
        <v>49</v>
      </c>
      <c r="C4486" t="s">
        <v>10653</v>
      </c>
      <c r="E4486" t="s">
        <v>27</v>
      </c>
      <c r="F4486" t="s">
        <v>10654</v>
      </c>
      <c r="G4486" s="1">
        <v>45203</v>
      </c>
    </row>
    <row r="4487" spans="1:7">
      <c r="A4487" t="s">
        <v>10655</v>
      </c>
      <c r="B4487">
        <v>67</v>
      </c>
      <c r="C4487" t="s">
        <v>10656</v>
      </c>
      <c r="D4487">
        <v>179180</v>
      </c>
      <c r="E4487" t="s">
        <v>9</v>
      </c>
      <c r="F4487" t="s">
        <v>10657</v>
      </c>
      <c r="G4487" s="1">
        <v>45240</v>
      </c>
    </row>
    <row r="4488" spans="1:7">
      <c r="A4488" t="s">
        <v>10658</v>
      </c>
      <c r="B4488">
        <v>74</v>
      </c>
      <c r="C4488" t="s">
        <v>10659</v>
      </c>
      <c r="D4488">
        <v>95048</v>
      </c>
      <c r="E4488" t="s">
        <v>9</v>
      </c>
      <c r="F4488">
        <v>8793873887</v>
      </c>
      <c r="G4488" s="1">
        <v>45000</v>
      </c>
    </row>
    <row r="4489" spans="1:7">
      <c r="A4489" t="s">
        <v>9585</v>
      </c>
      <c r="B4489">
        <v>36</v>
      </c>
      <c r="D4489">
        <v>82874</v>
      </c>
      <c r="E4489" t="s">
        <v>90</v>
      </c>
      <c r="F4489" t="s">
        <v>10660</v>
      </c>
      <c r="G4489" s="1">
        <v>44955</v>
      </c>
    </row>
    <row r="4490" spans="1:7">
      <c r="A4490" t="s">
        <v>10661</v>
      </c>
      <c r="B4490">
        <v>52</v>
      </c>
      <c r="D4490">
        <v>88382</v>
      </c>
      <c r="E4490" t="s">
        <v>9</v>
      </c>
      <c r="F4490" t="s">
        <v>10662</v>
      </c>
      <c r="G4490" s="1">
        <v>45112</v>
      </c>
    </row>
    <row r="4491" spans="1:7">
      <c r="A4491" t="s">
        <v>10663</v>
      </c>
      <c r="B4491">
        <v>73</v>
      </c>
      <c r="C4491" t="s">
        <v>10664</v>
      </c>
      <c r="D4491">
        <v>144161</v>
      </c>
      <c r="E4491" t="s">
        <v>12</v>
      </c>
      <c r="F4491" t="s">
        <v>10665</v>
      </c>
      <c r="G4491" s="1">
        <v>44939</v>
      </c>
    </row>
    <row r="4492" spans="1:7">
      <c r="A4492" t="s">
        <v>5558</v>
      </c>
      <c r="B4492">
        <v>51</v>
      </c>
      <c r="C4492" t="s">
        <v>10666</v>
      </c>
      <c r="D4492">
        <v>137658</v>
      </c>
      <c r="E4492" t="s">
        <v>12</v>
      </c>
      <c r="F4492" t="s">
        <v>10667</v>
      </c>
      <c r="G4492" s="1">
        <v>45009</v>
      </c>
    </row>
    <row r="4493" spans="1:7">
      <c r="A4493" t="s">
        <v>10668</v>
      </c>
      <c r="B4493">
        <v>76</v>
      </c>
      <c r="C4493" t="s">
        <v>10669</v>
      </c>
      <c r="D4493">
        <v>156598</v>
      </c>
      <c r="E4493" t="s">
        <v>12</v>
      </c>
      <c r="F4493" t="s">
        <v>10670</v>
      </c>
      <c r="G4493" s="1">
        <v>44979</v>
      </c>
    </row>
    <row r="4494" spans="1:7">
      <c r="A4494" t="s">
        <v>10671</v>
      </c>
      <c r="B4494">
        <v>-5</v>
      </c>
      <c r="C4494" t="s">
        <v>10672</v>
      </c>
      <c r="D4494">
        <v>145267</v>
      </c>
      <c r="E4494" t="s">
        <v>27</v>
      </c>
      <c r="F4494" t="s">
        <v>10673</v>
      </c>
      <c r="G4494" s="1">
        <v>44973</v>
      </c>
    </row>
    <row r="4495" spans="1:7">
      <c r="A4495" t="s">
        <v>10674</v>
      </c>
      <c r="C4495" t="s">
        <v>10675</v>
      </c>
      <c r="D4495">
        <v>87705</v>
      </c>
      <c r="E4495" t="s">
        <v>12</v>
      </c>
      <c r="F4495" t="s">
        <v>10676</v>
      </c>
      <c r="G4495" s="1">
        <v>45084</v>
      </c>
    </row>
    <row r="4496" spans="1:7">
      <c r="A4496" t="s">
        <v>10677</v>
      </c>
      <c r="B4496">
        <v>35</v>
      </c>
      <c r="C4496" t="s">
        <v>10678</v>
      </c>
      <c r="D4496">
        <v>45123</v>
      </c>
      <c r="E4496" t="s">
        <v>27</v>
      </c>
      <c r="F4496" t="s">
        <v>10679</v>
      </c>
      <c r="G4496" s="1">
        <v>45284</v>
      </c>
    </row>
    <row r="4497" spans="1:7">
      <c r="A4497" t="s">
        <v>10680</v>
      </c>
      <c r="B4497">
        <v>68</v>
      </c>
      <c r="C4497" t="s">
        <v>10681</v>
      </c>
      <c r="D4497">
        <v>0</v>
      </c>
      <c r="E4497" t="s">
        <v>27</v>
      </c>
      <c r="G4497" s="1">
        <v>45204</v>
      </c>
    </row>
    <row r="4498" spans="1:7">
      <c r="A4498" t="s">
        <v>10682</v>
      </c>
      <c r="B4498">
        <v>64</v>
      </c>
      <c r="C4498" t="s">
        <v>10683</v>
      </c>
      <c r="D4498">
        <v>116489</v>
      </c>
      <c r="E4498" t="s">
        <v>527</v>
      </c>
      <c r="F4498">
        <v>5682785101</v>
      </c>
      <c r="G4498" t="s">
        <v>81</v>
      </c>
    </row>
    <row r="4499" spans="1:7">
      <c r="A4499" t="s">
        <v>10684</v>
      </c>
      <c r="B4499">
        <v>500</v>
      </c>
      <c r="C4499" t="s">
        <v>10685</v>
      </c>
      <c r="D4499">
        <v>141048</v>
      </c>
      <c r="E4499" t="s">
        <v>9</v>
      </c>
      <c r="F4499">
        <f>1-689-811-8126</f>
        <v>-9625</v>
      </c>
      <c r="G4499" t="s">
        <v>301</v>
      </c>
    </row>
    <row r="4500" spans="1:7">
      <c r="A4500" t="s">
        <v>10686</v>
      </c>
      <c r="B4500">
        <v>32</v>
      </c>
      <c r="C4500" t="s">
        <v>10687</v>
      </c>
      <c r="D4500">
        <v>54700</v>
      </c>
      <c r="E4500" t="s">
        <v>27</v>
      </c>
      <c r="F4500" t="s">
        <v>10688</v>
      </c>
      <c r="G4500" s="1">
        <v>44962</v>
      </c>
    </row>
    <row r="4501" spans="1:7">
      <c r="A4501" t="s">
        <v>10689</v>
      </c>
      <c r="B4501">
        <v>59</v>
      </c>
      <c r="C4501" t="s">
        <v>10690</v>
      </c>
      <c r="E4501" t="s">
        <v>36</v>
      </c>
      <c r="G4501" s="1">
        <v>45114</v>
      </c>
    </row>
    <row r="4502" spans="1:7">
      <c r="A4502" t="s">
        <v>968</v>
      </c>
      <c r="B4502">
        <v>40</v>
      </c>
      <c r="C4502" t="s">
        <v>10691</v>
      </c>
      <c r="D4502">
        <v>76015</v>
      </c>
      <c r="E4502" t="s">
        <v>90</v>
      </c>
      <c r="F4502" t="s">
        <v>10692</v>
      </c>
      <c r="G4502" s="1">
        <v>45123</v>
      </c>
    </row>
    <row r="4503" spans="1:7">
      <c r="A4503" t="s">
        <v>10693</v>
      </c>
      <c r="B4503">
        <v>34</v>
      </c>
      <c r="C4503" t="s">
        <v>10694</v>
      </c>
      <c r="D4503">
        <v>103805</v>
      </c>
      <c r="E4503" t="s">
        <v>9</v>
      </c>
      <c r="F4503" t="s">
        <v>10695</v>
      </c>
      <c r="G4503" s="1">
        <v>44968</v>
      </c>
    </row>
    <row r="4504" spans="1:7">
      <c r="A4504" t="s">
        <v>10696</v>
      </c>
      <c r="B4504">
        <v>-5</v>
      </c>
      <c r="D4504">
        <v>52927</v>
      </c>
      <c r="E4504" t="s">
        <v>9</v>
      </c>
      <c r="F4504" t="s">
        <v>10697</v>
      </c>
      <c r="G4504" s="1">
        <v>45183</v>
      </c>
    </row>
    <row r="4505" spans="1:7">
      <c r="A4505" t="s">
        <v>10698</v>
      </c>
      <c r="B4505">
        <v>38</v>
      </c>
      <c r="C4505" t="s">
        <v>10699</v>
      </c>
      <c r="D4505">
        <v>46999</v>
      </c>
      <c r="E4505" t="s">
        <v>49</v>
      </c>
      <c r="F4505">
        <v>8972064951</v>
      </c>
      <c r="G4505" s="1">
        <v>45064</v>
      </c>
    </row>
    <row r="4506" spans="1:7">
      <c r="A4506" t="s">
        <v>10700</v>
      </c>
      <c r="B4506">
        <v>25</v>
      </c>
      <c r="C4506" t="s">
        <v>10701</v>
      </c>
      <c r="D4506">
        <v>33262</v>
      </c>
      <c r="E4506" t="s">
        <v>12</v>
      </c>
      <c r="F4506" t="s">
        <v>10702</v>
      </c>
      <c r="G4506" s="1">
        <v>44966</v>
      </c>
    </row>
    <row r="4507" spans="1:7">
      <c r="A4507" t="s">
        <v>10703</v>
      </c>
      <c r="B4507">
        <v>50</v>
      </c>
      <c r="C4507" t="s">
        <v>10704</v>
      </c>
      <c r="D4507">
        <v>170565</v>
      </c>
      <c r="E4507" t="s">
        <v>12</v>
      </c>
      <c r="F4507" t="s">
        <v>10705</v>
      </c>
      <c r="G4507" t="s">
        <v>1459</v>
      </c>
    </row>
    <row r="4508" spans="1:7">
      <c r="A4508" t="s">
        <v>10706</v>
      </c>
      <c r="B4508">
        <v>26</v>
      </c>
      <c r="C4508" t="s">
        <v>10707</v>
      </c>
      <c r="D4508">
        <v>71328</v>
      </c>
      <c r="E4508" t="s">
        <v>9</v>
      </c>
      <c r="F4508" t="s">
        <v>10708</v>
      </c>
      <c r="G4508" s="1">
        <v>44982</v>
      </c>
    </row>
    <row r="4509" spans="1:7">
      <c r="A4509" t="s">
        <v>267</v>
      </c>
      <c r="B4509">
        <v>27</v>
      </c>
      <c r="D4509">
        <v>82999</v>
      </c>
      <c r="E4509" t="s">
        <v>27</v>
      </c>
      <c r="F4509" t="s">
        <v>10709</v>
      </c>
      <c r="G4509" s="1">
        <v>45105</v>
      </c>
    </row>
    <row r="4510" spans="1:7">
      <c r="A4510" t="s">
        <v>10710</v>
      </c>
      <c r="B4510">
        <v>150</v>
      </c>
      <c r="D4510">
        <v>64998</v>
      </c>
      <c r="E4510" t="s">
        <v>9</v>
      </c>
      <c r="G4510" s="1">
        <v>45081</v>
      </c>
    </row>
    <row r="4511" spans="1:7">
      <c r="A4511" t="s">
        <v>10711</v>
      </c>
      <c r="B4511">
        <v>28</v>
      </c>
      <c r="C4511" t="s">
        <v>10712</v>
      </c>
      <c r="D4511">
        <v>41953</v>
      </c>
      <c r="E4511" t="s">
        <v>12</v>
      </c>
      <c r="F4511" t="s">
        <v>10713</v>
      </c>
      <c r="G4511" s="1">
        <v>45206</v>
      </c>
    </row>
    <row r="4512" spans="1:7">
      <c r="A4512" t="s">
        <v>10714</v>
      </c>
      <c r="B4512">
        <v>43</v>
      </c>
      <c r="C4512" t="s">
        <v>10715</v>
      </c>
      <c r="D4512">
        <v>46428</v>
      </c>
      <c r="E4512" t="s">
        <v>12</v>
      </c>
      <c r="F4512">
        <v>4830287810</v>
      </c>
      <c r="G4512" s="1">
        <v>45134</v>
      </c>
    </row>
    <row r="4513" spans="1:7">
      <c r="A4513" t="s">
        <v>10716</v>
      </c>
      <c r="B4513">
        <v>28</v>
      </c>
      <c r="C4513" t="s">
        <v>10717</v>
      </c>
      <c r="D4513">
        <v>79649</v>
      </c>
      <c r="E4513" t="s">
        <v>9</v>
      </c>
      <c r="F4513">
        <v>2211370833</v>
      </c>
      <c r="G4513" s="1">
        <v>45281</v>
      </c>
    </row>
    <row r="4514" spans="1:7">
      <c r="A4514" t="s">
        <v>10718</v>
      </c>
      <c r="B4514">
        <v>130</v>
      </c>
      <c r="C4514" t="s">
        <v>10719</v>
      </c>
      <c r="E4514" t="s">
        <v>27</v>
      </c>
      <c r="F4514">
        <f>1-841-333-9519</f>
        <v>-10692</v>
      </c>
      <c r="G4514" s="1">
        <v>44927</v>
      </c>
    </row>
    <row r="4515" spans="1:7">
      <c r="A4515" t="s">
        <v>10720</v>
      </c>
      <c r="B4515">
        <v>51</v>
      </c>
      <c r="C4515" t="s">
        <v>10721</v>
      </c>
      <c r="D4515">
        <v>125386</v>
      </c>
      <c r="E4515" t="s">
        <v>12</v>
      </c>
      <c r="F4515">
        <f>1-647-966-9810</f>
        <v>-11422</v>
      </c>
      <c r="G4515" s="1">
        <v>45209</v>
      </c>
    </row>
    <row r="4516" spans="1:7">
      <c r="A4516" t="s">
        <v>10722</v>
      </c>
      <c r="B4516">
        <v>69</v>
      </c>
      <c r="C4516" t="s">
        <v>10723</v>
      </c>
      <c r="D4516">
        <v>192696</v>
      </c>
      <c r="E4516" t="s">
        <v>27</v>
      </c>
      <c r="F4516" t="s">
        <v>10724</v>
      </c>
      <c r="G4516" s="1">
        <v>45180</v>
      </c>
    </row>
    <row r="4517" spans="1:7">
      <c r="A4517" t="s">
        <v>10725</v>
      </c>
      <c r="B4517">
        <v>65</v>
      </c>
      <c r="C4517" t="s">
        <v>10726</v>
      </c>
      <c r="D4517">
        <v>-10000</v>
      </c>
      <c r="E4517" t="s">
        <v>12</v>
      </c>
      <c r="F4517" t="s">
        <v>10727</v>
      </c>
      <c r="G4517" s="1">
        <v>45041</v>
      </c>
    </row>
    <row r="4518" spans="1:7">
      <c r="A4518" t="s">
        <v>10728</v>
      </c>
      <c r="B4518">
        <v>40</v>
      </c>
      <c r="C4518" t="s">
        <v>10729</v>
      </c>
      <c r="D4518">
        <v>195386</v>
      </c>
      <c r="E4518" t="s">
        <v>9</v>
      </c>
      <c r="F4518">
        <f>1-811-284-1087</f>
        <v>-2181</v>
      </c>
      <c r="G4518" s="1">
        <v>45100</v>
      </c>
    </row>
    <row r="4519" spans="1:7">
      <c r="A4519" t="s">
        <v>10730</v>
      </c>
      <c r="B4519">
        <v>54</v>
      </c>
      <c r="C4519" t="s">
        <v>10731</v>
      </c>
      <c r="D4519">
        <v>32716</v>
      </c>
      <c r="E4519" t="s">
        <v>9</v>
      </c>
      <c r="F4519" t="s">
        <v>10732</v>
      </c>
      <c r="G4519" s="1">
        <v>45117</v>
      </c>
    </row>
    <row r="4520" spans="1:7">
      <c r="A4520" t="s">
        <v>10733</v>
      </c>
      <c r="B4520">
        <v>73</v>
      </c>
      <c r="C4520" t="s">
        <v>10734</v>
      </c>
      <c r="E4520" t="s">
        <v>12</v>
      </c>
      <c r="F4520" t="s">
        <v>10735</v>
      </c>
      <c r="G4520" s="1">
        <v>45094</v>
      </c>
    </row>
    <row r="4521" spans="1:7">
      <c r="A4521" t="s">
        <v>10736</v>
      </c>
      <c r="B4521">
        <v>18</v>
      </c>
      <c r="C4521" t="s">
        <v>10737</v>
      </c>
      <c r="D4521">
        <v>119132</v>
      </c>
      <c r="E4521" t="s">
        <v>36</v>
      </c>
      <c r="F4521" t="s">
        <v>10738</v>
      </c>
      <c r="G4521" s="1">
        <v>45287</v>
      </c>
    </row>
    <row r="4522" spans="1:7">
      <c r="A4522" t="s">
        <v>10739</v>
      </c>
      <c r="B4522">
        <v>22</v>
      </c>
      <c r="C4522" t="s">
        <v>10740</v>
      </c>
      <c r="D4522">
        <v>72946</v>
      </c>
      <c r="E4522" t="s">
        <v>36</v>
      </c>
      <c r="F4522" t="s">
        <v>10741</v>
      </c>
      <c r="G4522" s="1">
        <v>45217</v>
      </c>
    </row>
    <row r="4523" spans="1:7">
      <c r="A4523" t="s">
        <v>10742</v>
      </c>
      <c r="B4523">
        <v>62</v>
      </c>
      <c r="C4523" t="s">
        <v>10743</v>
      </c>
      <c r="D4523">
        <v>45577</v>
      </c>
      <c r="E4523" t="s">
        <v>9</v>
      </c>
      <c r="F4523" t="s">
        <v>10744</v>
      </c>
      <c r="G4523" s="1">
        <v>45022</v>
      </c>
    </row>
    <row r="4524" spans="1:7">
      <c r="A4524" t="s">
        <v>10745</v>
      </c>
      <c r="B4524">
        <v>68</v>
      </c>
      <c r="C4524" t="s">
        <v>10746</v>
      </c>
      <c r="D4524">
        <v>55938</v>
      </c>
      <c r="E4524" t="s">
        <v>12</v>
      </c>
      <c r="F4524">
        <f>1-391-241-2064</f>
        <v>-2695</v>
      </c>
      <c r="G4524" s="1">
        <v>45246</v>
      </c>
    </row>
    <row r="4525" spans="1:7">
      <c r="A4525" t="s">
        <v>2346</v>
      </c>
      <c r="B4525">
        <v>37</v>
      </c>
      <c r="C4525" t="s">
        <v>10747</v>
      </c>
      <c r="D4525">
        <v>114518</v>
      </c>
      <c r="E4525" t="s">
        <v>36</v>
      </c>
      <c r="F4525">
        <f>1-854-971-1560</f>
        <v>-3384</v>
      </c>
      <c r="G4525" s="1">
        <v>45126</v>
      </c>
    </row>
    <row r="4526" spans="1:7">
      <c r="A4526" t="s">
        <v>10748</v>
      </c>
      <c r="B4526">
        <v>25</v>
      </c>
      <c r="C4526" t="s">
        <v>10749</v>
      </c>
      <c r="D4526">
        <v>157619</v>
      </c>
      <c r="E4526" t="s">
        <v>12</v>
      </c>
      <c r="F4526" t="s">
        <v>10750</v>
      </c>
      <c r="G4526" s="1">
        <v>45016</v>
      </c>
    </row>
    <row r="4527" spans="1:7">
      <c r="A4527" t="s">
        <v>10751</v>
      </c>
      <c r="B4527">
        <v>-25</v>
      </c>
      <c r="C4527" t="s">
        <v>10752</v>
      </c>
      <c r="D4527">
        <v>198993</v>
      </c>
      <c r="E4527" t="s">
        <v>27</v>
      </c>
      <c r="F4527">
        <f>1-431-202-7534</f>
        <v>-8166</v>
      </c>
      <c r="G4527" s="1">
        <v>45093</v>
      </c>
    </row>
    <row r="4528" spans="1:7">
      <c r="A4528" t="s">
        <v>7134</v>
      </c>
      <c r="B4528">
        <v>67</v>
      </c>
      <c r="D4528">
        <v>53248</v>
      </c>
      <c r="E4528" t="s">
        <v>12</v>
      </c>
      <c r="F4528" t="s">
        <v>10753</v>
      </c>
      <c r="G4528" s="1">
        <v>45035</v>
      </c>
    </row>
    <row r="4529" spans="1:7">
      <c r="A4529" t="s">
        <v>10754</v>
      </c>
      <c r="B4529">
        <v>22</v>
      </c>
      <c r="C4529" t="s">
        <v>518</v>
      </c>
      <c r="D4529">
        <v>171013</v>
      </c>
      <c r="E4529" t="s">
        <v>36</v>
      </c>
      <c r="F4529" t="s">
        <v>10755</v>
      </c>
      <c r="G4529" s="1">
        <v>44960</v>
      </c>
    </row>
    <row r="4530" spans="1:7">
      <c r="A4530" t="s">
        <v>10756</v>
      </c>
      <c r="B4530">
        <v>25</v>
      </c>
      <c r="C4530" t="s">
        <v>10757</v>
      </c>
      <c r="D4530">
        <v>167799</v>
      </c>
      <c r="E4530" t="s">
        <v>27</v>
      </c>
      <c r="F4530" t="s">
        <v>10758</v>
      </c>
      <c r="G4530" s="1">
        <v>45024</v>
      </c>
    </row>
    <row r="4531" spans="1:7">
      <c r="A4531" t="s">
        <v>10759</v>
      </c>
      <c r="B4531">
        <v>61</v>
      </c>
      <c r="C4531" t="s">
        <v>10760</v>
      </c>
      <c r="D4531">
        <v>153549</v>
      </c>
      <c r="E4531" t="s">
        <v>27</v>
      </c>
      <c r="F4531">
        <f>1-603-107-6724</f>
        <v>-7433</v>
      </c>
      <c r="G4531" s="1">
        <v>45259</v>
      </c>
    </row>
    <row r="4532" spans="1:7">
      <c r="A4532" t="s">
        <v>10761</v>
      </c>
      <c r="B4532">
        <v>26</v>
      </c>
      <c r="C4532" t="s">
        <v>10762</v>
      </c>
      <c r="D4532">
        <v>70475</v>
      </c>
      <c r="E4532" t="s">
        <v>36</v>
      </c>
      <c r="F4532" t="s">
        <v>10763</v>
      </c>
      <c r="G4532" s="1">
        <v>44973</v>
      </c>
    </row>
    <row r="4533" spans="1:7">
      <c r="A4533" t="s">
        <v>10764</v>
      </c>
      <c r="B4533">
        <v>18</v>
      </c>
      <c r="C4533" t="s">
        <v>10765</v>
      </c>
      <c r="D4533">
        <v>177175</v>
      </c>
      <c r="E4533" t="s">
        <v>9</v>
      </c>
      <c r="F4533" t="s">
        <v>10766</v>
      </c>
      <c r="G4533" s="1">
        <v>44971</v>
      </c>
    </row>
    <row r="4534" spans="1:7">
      <c r="A4534" t="s">
        <v>10767</v>
      </c>
      <c r="B4534">
        <v>49</v>
      </c>
      <c r="C4534" t="s">
        <v>10768</v>
      </c>
      <c r="D4534">
        <v>120436</v>
      </c>
      <c r="E4534" t="s">
        <v>27</v>
      </c>
      <c r="F4534">
        <v>9121545413</v>
      </c>
      <c r="G4534" s="1">
        <v>45229</v>
      </c>
    </row>
    <row r="4535" spans="1:7">
      <c r="A4535" t="s">
        <v>10769</v>
      </c>
      <c r="B4535">
        <v>29</v>
      </c>
      <c r="C4535" t="s">
        <v>10770</v>
      </c>
      <c r="D4535">
        <v>195159</v>
      </c>
      <c r="E4535" t="s">
        <v>27</v>
      </c>
      <c r="F4535" t="s">
        <v>10771</v>
      </c>
      <c r="G4535" s="1">
        <v>44968</v>
      </c>
    </row>
    <row r="4536" spans="1:7">
      <c r="A4536" t="s">
        <v>10772</v>
      </c>
      <c r="B4536">
        <v>79</v>
      </c>
      <c r="C4536" t="s">
        <v>10773</v>
      </c>
      <c r="E4536" t="s">
        <v>27</v>
      </c>
      <c r="F4536">
        <f>1-153-686-3882</f>
        <v>-4720</v>
      </c>
      <c r="G4536" s="1">
        <v>45053</v>
      </c>
    </row>
    <row r="4537" spans="1:7">
      <c r="A4537" t="s">
        <v>10774</v>
      </c>
      <c r="B4537">
        <v>40</v>
      </c>
      <c r="C4537" t="s">
        <v>10775</v>
      </c>
      <c r="D4537">
        <v>79570</v>
      </c>
      <c r="E4537" t="s">
        <v>9</v>
      </c>
      <c r="F4537">
        <f>1-422-825-3001</f>
        <v>-4247</v>
      </c>
      <c r="G4537" s="1">
        <v>45189</v>
      </c>
    </row>
    <row r="4538" spans="1:7">
      <c r="A4538" t="s">
        <v>10776</v>
      </c>
      <c r="B4538">
        <v>33</v>
      </c>
      <c r="C4538" t="s">
        <v>10777</v>
      </c>
      <c r="D4538">
        <v>79178</v>
      </c>
      <c r="E4538" t="s">
        <v>12</v>
      </c>
      <c r="F4538">
        <f>1-249-902-5468</f>
        <v>-6618</v>
      </c>
      <c r="G4538" s="1">
        <v>44974</v>
      </c>
    </row>
    <row r="4539" spans="1:7">
      <c r="A4539" t="s">
        <v>10778</v>
      </c>
      <c r="B4539">
        <v>57</v>
      </c>
      <c r="C4539" t="s">
        <v>518</v>
      </c>
      <c r="D4539">
        <v>119367</v>
      </c>
      <c r="E4539" t="s">
        <v>27</v>
      </c>
      <c r="F4539" t="s">
        <v>10779</v>
      </c>
      <c r="G4539" s="1">
        <v>45154</v>
      </c>
    </row>
    <row r="4540" spans="1:7">
      <c r="A4540" t="s">
        <v>10780</v>
      </c>
      <c r="B4540">
        <v>55</v>
      </c>
      <c r="C4540" t="s">
        <v>10781</v>
      </c>
      <c r="D4540">
        <v>62355</v>
      </c>
      <c r="E4540" t="s">
        <v>12</v>
      </c>
      <c r="F4540">
        <v>9233928059</v>
      </c>
      <c r="G4540" s="1">
        <v>45158</v>
      </c>
    </row>
    <row r="4541" spans="1:7">
      <c r="A4541" t="s">
        <v>10782</v>
      </c>
      <c r="B4541">
        <v>25</v>
      </c>
      <c r="C4541" t="s">
        <v>10783</v>
      </c>
      <c r="E4541" t="s">
        <v>12</v>
      </c>
      <c r="F4541" t="s">
        <v>10784</v>
      </c>
      <c r="G4541" s="1">
        <v>44927</v>
      </c>
    </row>
    <row r="4542" spans="1:7">
      <c r="B4542">
        <v>75</v>
      </c>
      <c r="C4542" t="s">
        <v>10785</v>
      </c>
      <c r="D4542">
        <v>189762</v>
      </c>
      <c r="E4542" t="s">
        <v>27</v>
      </c>
      <c r="F4542">
        <f>1-784-690-9847</f>
        <v>-11320</v>
      </c>
      <c r="G4542" s="1">
        <v>45125</v>
      </c>
    </row>
    <row r="4543" spans="1:7">
      <c r="A4543" t="s">
        <v>10786</v>
      </c>
      <c r="B4543">
        <v>69</v>
      </c>
      <c r="C4543" t="s">
        <v>10787</v>
      </c>
      <c r="D4543">
        <v>109335</v>
      </c>
      <c r="E4543" t="s">
        <v>527</v>
      </c>
      <c r="F4543" t="s">
        <v>10788</v>
      </c>
      <c r="G4543" s="1">
        <v>44941</v>
      </c>
    </row>
    <row r="4544" spans="1:7">
      <c r="A4544" t="s">
        <v>10789</v>
      </c>
      <c r="B4544">
        <v>34</v>
      </c>
      <c r="C4544" t="s">
        <v>10790</v>
      </c>
      <c r="D4544">
        <v>96897</v>
      </c>
      <c r="E4544" t="s">
        <v>36</v>
      </c>
      <c r="F4544">
        <v>8081357418</v>
      </c>
      <c r="G4544" s="1">
        <v>45223</v>
      </c>
    </row>
    <row r="4545" spans="1:7">
      <c r="A4545" t="s">
        <v>10791</v>
      </c>
      <c r="B4545">
        <v>75</v>
      </c>
      <c r="C4545" t="s">
        <v>10792</v>
      </c>
      <c r="E4545" t="s">
        <v>9</v>
      </c>
      <c r="F4545">
        <v>7372634805</v>
      </c>
      <c r="G4545" s="1">
        <v>45241</v>
      </c>
    </row>
    <row r="4546" spans="1:7">
      <c r="A4546" t="s">
        <v>10793</v>
      </c>
      <c r="B4546">
        <v>56</v>
      </c>
      <c r="C4546" t="s">
        <v>10794</v>
      </c>
      <c r="D4546">
        <v>32881</v>
      </c>
      <c r="E4546" t="s">
        <v>36</v>
      </c>
      <c r="F4546" t="s">
        <v>10795</v>
      </c>
      <c r="G4546" s="1">
        <v>45137</v>
      </c>
    </row>
    <row r="4547" spans="1:7">
      <c r="A4547" t="s">
        <v>10796</v>
      </c>
      <c r="B4547">
        <v>26</v>
      </c>
      <c r="C4547" t="s">
        <v>10797</v>
      </c>
      <c r="D4547">
        <v>77599</v>
      </c>
      <c r="E4547" t="s">
        <v>36</v>
      </c>
      <c r="F4547" t="s">
        <v>10798</v>
      </c>
      <c r="G4547" s="1">
        <v>45282</v>
      </c>
    </row>
    <row r="4548" spans="1:7">
      <c r="A4548" t="s">
        <v>10799</v>
      </c>
      <c r="B4548">
        <v>47</v>
      </c>
      <c r="C4548" t="s">
        <v>10800</v>
      </c>
      <c r="D4548">
        <v>71846</v>
      </c>
      <c r="E4548" t="s">
        <v>9</v>
      </c>
      <c r="F4548" t="s">
        <v>10801</v>
      </c>
      <c r="G4548" t="s">
        <v>87</v>
      </c>
    </row>
    <row r="4549" spans="1:7">
      <c r="A4549" t="s">
        <v>10802</v>
      </c>
      <c r="B4549">
        <v>37</v>
      </c>
      <c r="C4549" t="s">
        <v>10803</v>
      </c>
      <c r="D4549">
        <v>45523</v>
      </c>
      <c r="E4549" t="s">
        <v>36</v>
      </c>
      <c r="F4549" t="s">
        <v>10804</v>
      </c>
      <c r="G4549" s="1">
        <v>45180</v>
      </c>
    </row>
    <row r="4550" spans="1:7">
      <c r="A4550" t="s">
        <v>10805</v>
      </c>
      <c r="B4550">
        <v>65</v>
      </c>
      <c r="C4550" t="s">
        <v>61</v>
      </c>
      <c r="E4550" t="s">
        <v>9</v>
      </c>
      <c r="F4550" t="s">
        <v>10806</v>
      </c>
      <c r="G4550" s="1">
        <v>45067</v>
      </c>
    </row>
    <row r="4551" spans="1:7">
      <c r="A4551" t="s">
        <v>10807</v>
      </c>
      <c r="B4551">
        <v>0</v>
      </c>
      <c r="C4551" t="s">
        <v>10808</v>
      </c>
      <c r="D4551">
        <v>43265</v>
      </c>
      <c r="E4551" t="s">
        <v>9</v>
      </c>
      <c r="F4551">
        <f>1-140-758-7910</f>
        <v>-8807</v>
      </c>
      <c r="G4551" s="1">
        <v>45143</v>
      </c>
    </row>
    <row r="4552" spans="1:7">
      <c r="A4552" t="s">
        <v>10809</v>
      </c>
      <c r="B4552">
        <v>-50</v>
      </c>
      <c r="C4552" t="s">
        <v>10810</v>
      </c>
      <c r="D4552">
        <v>122876</v>
      </c>
      <c r="E4552" t="s">
        <v>527</v>
      </c>
      <c r="F4552" t="s">
        <v>10811</v>
      </c>
      <c r="G4552" s="1">
        <v>45021</v>
      </c>
    </row>
    <row r="4553" spans="1:7">
      <c r="A4553" t="s">
        <v>10812</v>
      </c>
      <c r="B4553">
        <v>57</v>
      </c>
      <c r="D4553">
        <v>192297</v>
      </c>
      <c r="E4553" t="s">
        <v>9</v>
      </c>
      <c r="F4553" t="s">
        <v>10813</v>
      </c>
      <c r="G4553" s="1">
        <v>45255</v>
      </c>
    </row>
    <row r="4554" spans="1:7">
      <c r="A4554" t="s">
        <v>10814</v>
      </c>
      <c r="B4554">
        <v>72</v>
      </c>
      <c r="C4554" t="s">
        <v>10815</v>
      </c>
      <c r="D4554">
        <v>134092</v>
      </c>
      <c r="E4554" t="s">
        <v>12</v>
      </c>
      <c r="F4554" t="s">
        <v>10816</v>
      </c>
      <c r="G4554" s="1">
        <v>45114</v>
      </c>
    </row>
    <row r="4555" spans="1:7">
      <c r="A4555" t="s">
        <v>10817</v>
      </c>
      <c r="B4555">
        <v>50</v>
      </c>
      <c r="C4555" t="s">
        <v>10818</v>
      </c>
      <c r="D4555">
        <v>98359</v>
      </c>
      <c r="E4555" t="s">
        <v>12</v>
      </c>
      <c r="G4555" s="1">
        <v>45060</v>
      </c>
    </row>
    <row r="4556" spans="1:7">
      <c r="A4556" t="s">
        <v>10819</v>
      </c>
      <c r="B4556">
        <v>42</v>
      </c>
      <c r="C4556" t="s">
        <v>10820</v>
      </c>
      <c r="D4556">
        <v>150654</v>
      </c>
      <c r="E4556" t="s">
        <v>9</v>
      </c>
      <c r="F4556" t="s">
        <v>10821</v>
      </c>
      <c r="G4556" s="1">
        <v>45176</v>
      </c>
    </row>
    <row r="4557" spans="1:7">
      <c r="A4557" t="s">
        <v>10822</v>
      </c>
      <c r="B4557">
        <v>46</v>
      </c>
      <c r="D4557">
        <v>187550</v>
      </c>
      <c r="E4557" t="s">
        <v>36</v>
      </c>
      <c r="F4557" t="s">
        <v>10823</v>
      </c>
      <c r="G4557" s="1">
        <v>45212</v>
      </c>
    </row>
    <row r="4558" spans="1:7">
      <c r="A4558" t="s">
        <v>10824</v>
      </c>
      <c r="B4558">
        <v>39</v>
      </c>
      <c r="C4558" t="s">
        <v>10825</v>
      </c>
      <c r="D4558">
        <v>0</v>
      </c>
      <c r="E4558" t="s">
        <v>9</v>
      </c>
      <c r="F4558" t="s">
        <v>10826</v>
      </c>
      <c r="G4558" s="1">
        <v>45053</v>
      </c>
    </row>
    <row r="4559" spans="1:7">
      <c r="A4559" t="s">
        <v>10827</v>
      </c>
      <c r="B4559">
        <v>59</v>
      </c>
      <c r="C4559" t="s">
        <v>10828</v>
      </c>
      <c r="D4559">
        <v>57675</v>
      </c>
      <c r="E4559" t="s">
        <v>9</v>
      </c>
      <c r="F4559" t="s">
        <v>10829</v>
      </c>
      <c r="G4559" s="1">
        <v>45009</v>
      </c>
    </row>
    <row r="4560" spans="1:7">
      <c r="A4560" t="s">
        <v>6927</v>
      </c>
      <c r="B4560">
        <v>43</v>
      </c>
      <c r="C4560" t="s">
        <v>10830</v>
      </c>
      <c r="D4560">
        <v>103495</v>
      </c>
      <c r="E4560" t="s">
        <v>27</v>
      </c>
      <c r="F4560" t="s">
        <v>10831</v>
      </c>
      <c r="G4560" s="1">
        <v>44976</v>
      </c>
    </row>
    <row r="4561" spans="1:7">
      <c r="A4561" t="s">
        <v>10832</v>
      </c>
      <c r="B4561">
        <v>44</v>
      </c>
      <c r="C4561" t="s">
        <v>10833</v>
      </c>
      <c r="D4561">
        <v>191616</v>
      </c>
      <c r="E4561" t="s">
        <v>27</v>
      </c>
      <c r="F4561" t="s">
        <v>10834</v>
      </c>
      <c r="G4561" s="1">
        <v>44979</v>
      </c>
    </row>
    <row r="4562" spans="1:7">
      <c r="A4562" t="s">
        <v>10835</v>
      </c>
      <c r="B4562">
        <v>70</v>
      </c>
      <c r="C4562" t="s">
        <v>10836</v>
      </c>
      <c r="D4562">
        <v>39190</v>
      </c>
      <c r="E4562" t="s">
        <v>27</v>
      </c>
      <c r="F4562" t="s">
        <v>10837</v>
      </c>
      <c r="G4562" s="1">
        <v>45120</v>
      </c>
    </row>
    <row r="4563" spans="1:7">
      <c r="A4563" t="s">
        <v>10838</v>
      </c>
      <c r="B4563">
        <v>35</v>
      </c>
      <c r="C4563" t="s">
        <v>10839</v>
      </c>
      <c r="E4563" t="s">
        <v>9</v>
      </c>
      <c r="F4563" t="s">
        <v>10840</v>
      </c>
      <c r="G4563" s="1">
        <v>45062</v>
      </c>
    </row>
    <row r="4564" spans="1:7">
      <c r="A4564" t="s">
        <v>10841</v>
      </c>
      <c r="C4564" t="s">
        <v>10842</v>
      </c>
      <c r="E4564" t="s">
        <v>27</v>
      </c>
      <c r="F4564" t="s">
        <v>10843</v>
      </c>
      <c r="G4564" s="1">
        <v>45258</v>
      </c>
    </row>
    <row r="4565" spans="1:7">
      <c r="A4565" t="s">
        <v>10844</v>
      </c>
      <c r="B4565">
        <v>37</v>
      </c>
      <c r="C4565" t="s">
        <v>10845</v>
      </c>
      <c r="D4565">
        <v>-10000</v>
      </c>
      <c r="E4565" t="s">
        <v>9</v>
      </c>
      <c r="F4565" t="s">
        <v>10846</v>
      </c>
      <c r="G4565" s="1">
        <v>45041</v>
      </c>
    </row>
    <row r="4566" spans="1:7">
      <c r="A4566" t="s">
        <v>10847</v>
      </c>
      <c r="B4566">
        <v>30</v>
      </c>
      <c r="C4566" t="s">
        <v>10848</v>
      </c>
      <c r="D4566">
        <v>-20000</v>
      </c>
      <c r="E4566" t="s">
        <v>12</v>
      </c>
      <c r="F4566" t="s">
        <v>10849</v>
      </c>
      <c r="G4566" s="1">
        <v>44957</v>
      </c>
    </row>
    <row r="4567" spans="1:7">
      <c r="A4567" t="s">
        <v>2314</v>
      </c>
      <c r="B4567">
        <v>77</v>
      </c>
      <c r="C4567" t="s">
        <v>10850</v>
      </c>
      <c r="D4567">
        <v>130963</v>
      </c>
      <c r="E4567" t="s">
        <v>27</v>
      </c>
      <c r="F4567">
        <v>4139528900</v>
      </c>
      <c r="G4567" t="s">
        <v>493</v>
      </c>
    </row>
    <row r="4568" spans="1:7">
      <c r="A4568" t="s">
        <v>10851</v>
      </c>
      <c r="B4568">
        <v>33</v>
      </c>
      <c r="C4568" t="s">
        <v>61</v>
      </c>
      <c r="D4568">
        <v>56655</v>
      </c>
      <c r="E4568" t="s">
        <v>9</v>
      </c>
      <c r="F4568" t="s">
        <v>10852</v>
      </c>
      <c r="G4568" s="1">
        <v>45288</v>
      </c>
    </row>
    <row r="4569" spans="1:7">
      <c r="A4569" t="s">
        <v>10853</v>
      </c>
      <c r="B4569">
        <v>63</v>
      </c>
      <c r="C4569" t="s">
        <v>169</v>
      </c>
      <c r="D4569">
        <v>166694</v>
      </c>
      <c r="E4569" t="s">
        <v>36</v>
      </c>
      <c r="F4569" t="s">
        <v>10854</v>
      </c>
      <c r="G4569" s="1">
        <v>45227</v>
      </c>
    </row>
    <row r="4570" spans="1:7">
      <c r="A4570" t="s">
        <v>1170</v>
      </c>
      <c r="B4570">
        <v>76</v>
      </c>
      <c r="C4570" t="s">
        <v>299</v>
      </c>
      <c r="D4570">
        <v>67335</v>
      </c>
      <c r="E4570" t="s">
        <v>9</v>
      </c>
      <c r="F4570">
        <v>3727525740</v>
      </c>
      <c r="G4570" s="1">
        <v>45200</v>
      </c>
    </row>
    <row r="4571" spans="1:7">
      <c r="A4571" t="s">
        <v>10855</v>
      </c>
      <c r="D4571">
        <v>146506</v>
      </c>
      <c r="E4571" t="s">
        <v>27</v>
      </c>
      <c r="F4571" t="s">
        <v>10856</v>
      </c>
      <c r="G4571" s="1">
        <v>45070</v>
      </c>
    </row>
    <row r="4572" spans="1:7">
      <c r="A4572" t="s">
        <v>10857</v>
      </c>
      <c r="B4572">
        <v>47</v>
      </c>
      <c r="C4572" t="s">
        <v>10858</v>
      </c>
      <c r="D4572">
        <v>40345</v>
      </c>
      <c r="E4572" t="s">
        <v>12</v>
      </c>
      <c r="F4572" t="s">
        <v>10859</v>
      </c>
      <c r="G4572" s="1">
        <v>45226</v>
      </c>
    </row>
    <row r="4573" spans="1:7">
      <c r="A4573" t="s">
        <v>10860</v>
      </c>
      <c r="B4573">
        <v>68</v>
      </c>
      <c r="C4573" t="s">
        <v>10861</v>
      </c>
      <c r="D4573">
        <v>107129</v>
      </c>
      <c r="E4573" t="s">
        <v>12</v>
      </c>
      <c r="F4573" t="s">
        <v>10862</v>
      </c>
      <c r="G4573" s="1">
        <v>45062</v>
      </c>
    </row>
    <row r="4574" spans="1:7">
      <c r="A4574" t="s">
        <v>10863</v>
      </c>
      <c r="B4574">
        <v>24</v>
      </c>
      <c r="C4574" t="s">
        <v>10864</v>
      </c>
      <c r="D4574">
        <v>40103</v>
      </c>
      <c r="E4574" t="s">
        <v>9</v>
      </c>
      <c r="F4574" t="s">
        <v>10865</v>
      </c>
      <c r="G4574" s="1">
        <v>45116</v>
      </c>
    </row>
    <row r="4575" spans="1:7">
      <c r="A4575" t="s">
        <v>10866</v>
      </c>
      <c r="C4575" t="s">
        <v>10867</v>
      </c>
      <c r="D4575">
        <v>64148</v>
      </c>
      <c r="E4575" t="s">
        <v>27</v>
      </c>
      <c r="F4575" t="s">
        <v>10868</v>
      </c>
      <c r="G4575" s="1">
        <v>45039</v>
      </c>
    </row>
    <row r="4576" spans="1:7">
      <c r="A4576" t="s">
        <v>2355</v>
      </c>
      <c r="B4576">
        <v>69</v>
      </c>
      <c r="C4576" t="s">
        <v>10869</v>
      </c>
      <c r="D4576">
        <v>146220</v>
      </c>
      <c r="E4576" t="s">
        <v>27</v>
      </c>
      <c r="F4576" t="s">
        <v>10870</v>
      </c>
      <c r="G4576" s="1">
        <v>44946</v>
      </c>
    </row>
    <row r="4577" spans="1:7">
      <c r="A4577" t="s">
        <v>10871</v>
      </c>
      <c r="B4577">
        <v>57</v>
      </c>
      <c r="C4577" t="s">
        <v>10872</v>
      </c>
      <c r="D4577">
        <v>36589</v>
      </c>
      <c r="E4577" t="s">
        <v>27</v>
      </c>
      <c r="F4577" t="s">
        <v>10873</v>
      </c>
      <c r="G4577" s="1">
        <v>45154</v>
      </c>
    </row>
    <row r="4578" spans="1:7">
      <c r="A4578" t="s">
        <v>10874</v>
      </c>
      <c r="B4578">
        <v>35</v>
      </c>
      <c r="C4578" t="s">
        <v>299</v>
      </c>
      <c r="D4578">
        <v>57518</v>
      </c>
      <c r="E4578" t="s">
        <v>36</v>
      </c>
      <c r="F4578" t="s">
        <v>10875</v>
      </c>
      <c r="G4578" s="1">
        <v>45008</v>
      </c>
    </row>
    <row r="4579" spans="1:7">
      <c r="A4579" t="s">
        <v>10876</v>
      </c>
      <c r="B4579">
        <v>37</v>
      </c>
      <c r="C4579" t="s">
        <v>10877</v>
      </c>
      <c r="D4579">
        <v>178472</v>
      </c>
      <c r="E4579" t="s">
        <v>12</v>
      </c>
      <c r="F4579" t="s">
        <v>10878</v>
      </c>
      <c r="G4579" s="1">
        <v>45140</v>
      </c>
    </row>
    <row r="4580" spans="1:7">
      <c r="A4580" t="s">
        <v>10879</v>
      </c>
      <c r="B4580">
        <v>34</v>
      </c>
      <c r="C4580" t="s">
        <v>10880</v>
      </c>
      <c r="D4580">
        <v>191805</v>
      </c>
      <c r="E4580" t="s">
        <v>9</v>
      </c>
      <c r="F4580">
        <f>1-615-618-8182</f>
        <v>-9414</v>
      </c>
      <c r="G4580" s="1">
        <v>45083</v>
      </c>
    </row>
    <row r="4581" spans="1:7">
      <c r="A4581" t="s">
        <v>10881</v>
      </c>
      <c r="B4581">
        <v>57</v>
      </c>
      <c r="C4581" t="s">
        <v>10882</v>
      </c>
      <c r="D4581">
        <v>165189</v>
      </c>
      <c r="E4581" t="s">
        <v>27</v>
      </c>
      <c r="F4581">
        <v>5858839243</v>
      </c>
      <c r="G4581" s="1">
        <v>45146</v>
      </c>
    </row>
    <row r="4582" spans="1:7">
      <c r="A4582" t="s">
        <v>10883</v>
      </c>
      <c r="B4582">
        <v>38</v>
      </c>
      <c r="C4582" t="s">
        <v>10884</v>
      </c>
      <c r="E4582" t="s">
        <v>12</v>
      </c>
      <c r="G4582" s="1">
        <v>45136</v>
      </c>
    </row>
    <row r="4583" spans="1:7">
      <c r="A4583" t="s">
        <v>4839</v>
      </c>
      <c r="B4583">
        <v>31</v>
      </c>
      <c r="C4583" t="s">
        <v>10885</v>
      </c>
      <c r="D4583">
        <v>120453</v>
      </c>
      <c r="E4583" t="s">
        <v>36</v>
      </c>
      <c r="F4583">
        <f>1-333-517-2848</f>
        <v>-3697</v>
      </c>
      <c r="G4583" s="1">
        <v>45085</v>
      </c>
    </row>
    <row r="4584" spans="1:7">
      <c r="A4584" t="s">
        <v>10886</v>
      </c>
      <c r="B4584">
        <v>30</v>
      </c>
      <c r="C4584" t="s">
        <v>10887</v>
      </c>
      <c r="E4584" t="s">
        <v>27</v>
      </c>
      <c r="F4584">
        <v>7861471668</v>
      </c>
      <c r="G4584" s="1">
        <v>45059</v>
      </c>
    </row>
    <row r="4585" spans="1:7">
      <c r="A4585" t="s">
        <v>10888</v>
      </c>
      <c r="B4585">
        <v>34</v>
      </c>
      <c r="C4585" t="s">
        <v>10889</v>
      </c>
      <c r="D4585">
        <v>100021</v>
      </c>
      <c r="E4585" t="s">
        <v>9</v>
      </c>
      <c r="F4585" t="s">
        <v>10890</v>
      </c>
      <c r="G4585" s="1">
        <v>44976</v>
      </c>
    </row>
    <row r="4586" spans="1:7">
      <c r="A4586" t="s">
        <v>10891</v>
      </c>
      <c r="B4586">
        <v>73</v>
      </c>
      <c r="C4586" t="s">
        <v>10892</v>
      </c>
      <c r="D4586">
        <v>159070</v>
      </c>
      <c r="E4586" t="s">
        <v>27</v>
      </c>
      <c r="F4586" t="s">
        <v>10893</v>
      </c>
      <c r="G4586" s="1">
        <v>45270</v>
      </c>
    </row>
    <row r="4587" spans="1:7">
      <c r="A4587" t="s">
        <v>10894</v>
      </c>
      <c r="B4587">
        <v>68</v>
      </c>
      <c r="C4587" t="s">
        <v>169</v>
      </c>
      <c r="D4587">
        <v>192434</v>
      </c>
      <c r="E4587" t="s">
        <v>27</v>
      </c>
      <c r="F4587">
        <f>1-490-680-6117</f>
        <v>-7286</v>
      </c>
      <c r="G4587" s="1">
        <v>45091</v>
      </c>
    </row>
    <row r="4588" spans="1:7">
      <c r="A4588" t="s">
        <v>3621</v>
      </c>
      <c r="C4588" t="s">
        <v>10895</v>
      </c>
      <c r="D4588">
        <v>0</v>
      </c>
      <c r="E4588" t="s">
        <v>9</v>
      </c>
      <c r="F4588" t="s">
        <v>10896</v>
      </c>
      <c r="G4588" s="1">
        <v>45216</v>
      </c>
    </row>
    <row r="4589" spans="1:7">
      <c r="A4589" t="s">
        <v>10897</v>
      </c>
      <c r="B4589">
        <v>63</v>
      </c>
      <c r="C4589" t="s">
        <v>10898</v>
      </c>
      <c r="D4589">
        <v>133903</v>
      </c>
      <c r="E4589" t="s">
        <v>27</v>
      </c>
      <c r="F4589" t="s">
        <v>10899</v>
      </c>
      <c r="G4589" s="1">
        <v>45011</v>
      </c>
    </row>
    <row r="4590" spans="1:7">
      <c r="A4590" t="s">
        <v>10900</v>
      </c>
      <c r="B4590">
        <v>66</v>
      </c>
      <c r="C4590" t="s">
        <v>10901</v>
      </c>
      <c r="D4590">
        <v>37493</v>
      </c>
      <c r="E4590" t="s">
        <v>9</v>
      </c>
      <c r="F4590">
        <f>1-350-491-1282</f>
        <v>-2122</v>
      </c>
      <c r="G4590" s="1">
        <v>45275</v>
      </c>
    </row>
    <row r="4591" spans="1:7">
      <c r="B4591">
        <v>66</v>
      </c>
      <c r="C4591" t="s">
        <v>10902</v>
      </c>
      <c r="E4591" t="s">
        <v>49</v>
      </c>
      <c r="F4591" t="s">
        <v>10903</v>
      </c>
      <c r="G4591" s="1">
        <v>45146</v>
      </c>
    </row>
    <row r="4592" spans="1:7">
      <c r="A4592" t="s">
        <v>10904</v>
      </c>
      <c r="B4592">
        <v>20</v>
      </c>
      <c r="C4592" t="s">
        <v>10905</v>
      </c>
      <c r="D4592">
        <v>132780</v>
      </c>
      <c r="E4592" t="s">
        <v>27</v>
      </c>
      <c r="F4592">
        <f>1-550-220-5576</f>
        <v>-6345</v>
      </c>
      <c r="G4592" s="1">
        <v>45133</v>
      </c>
    </row>
    <row r="4593" spans="1:7">
      <c r="A4593" t="s">
        <v>10906</v>
      </c>
      <c r="B4593">
        <v>60</v>
      </c>
      <c r="C4593" t="s">
        <v>10907</v>
      </c>
      <c r="D4593">
        <v>137044</v>
      </c>
      <c r="E4593" t="s">
        <v>36</v>
      </c>
      <c r="G4593" s="1">
        <v>44930</v>
      </c>
    </row>
    <row r="4594" spans="1:7">
      <c r="A4594" t="s">
        <v>9098</v>
      </c>
      <c r="B4594">
        <v>78</v>
      </c>
      <c r="C4594" t="s">
        <v>10908</v>
      </c>
      <c r="D4594">
        <v>81660</v>
      </c>
      <c r="E4594" t="s">
        <v>9</v>
      </c>
      <c r="F4594" t="s">
        <v>10909</v>
      </c>
      <c r="G4594" s="1">
        <v>45093</v>
      </c>
    </row>
    <row r="4595" spans="1:7">
      <c r="A4595" t="s">
        <v>10910</v>
      </c>
      <c r="B4595">
        <v>63</v>
      </c>
      <c r="C4595" t="s">
        <v>10911</v>
      </c>
      <c r="D4595">
        <v>50655</v>
      </c>
      <c r="E4595" t="s">
        <v>27</v>
      </c>
      <c r="F4595">
        <v>7991219212</v>
      </c>
      <c r="G4595" s="1">
        <v>45028</v>
      </c>
    </row>
    <row r="4596" spans="1:7">
      <c r="A4596" t="s">
        <v>10912</v>
      </c>
      <c r="B4596">
        <v>28</v>
      </c>
      <c r="C4596" t="s">
        <v>10913</v>
      </c>
      <c r="D4596">
        <v>176069</v>
      </c>
      <c r="E4596" t="s">
        <v>27</v>
      </c>
      <c r="G4596" s="1">
        <v>45070</v>
      </c>
    </row>
    <row r="4597" spans="1:7">
      <c r="A4597" t="s">
        <v>10914</v>
      </c>
      <c r="B4597">
        <v>32</v>
      </c>
      <c r="C4597" t="s">
        <v>10915</v>
      </c>
      <c r="D4597">
        <v>129764</v>
      </c>
      <c r="E4597" t="s">
        <v>27</v>
      </c>
      <c r="G4597" s="1">
        <v>45260</v>
      </c>
    </row>
    <row r="4598" spans="1:7">
      <c r="A4598" t="s">
        <v>10916</v>
      </c>
      <c r="B4598">
        <v>47</v>
      </c>
      <c r="C4598" t="s">
        <v>10917</v>
      </c>
      <c r="D4598">
        <v>42391</v>
      </c>
      <c r="E4598" t="s">
        <v>27</v>
      </c>
      <c r="F4598" t="s">
        <v>10918</v>
      </c>
      <c r="G4598" s="1">
        <v>44927</v>
      </c>
    </row>
    <row r="4599" spans="1:7">
      <c r="A4599" t="s">
        <v>10919</v>
      </c>
      <c r="B4599">
        <v>44</v>
      </c>
      <c r="C4599" t="s">
        <v>10920</v>
      </c>
      <c r="D4599">
        <v>95584</v>
      </c>
      <c r="E4599" t="s">
        <v>12</v>
      </c>
      <c r="F4599">
        <f>1-731-492-7321</f>
        <v>-8543</v>
      </c>
      <c r="G4599" s="1">
        <v>45280</v>
      </c>
    </row>
    <row r="4600" spans="1:7">
      <c r="A4600" t="s">
        <v>10921</v>
      </c>
      <c r="B4600">
        <v>57</v>
      </c>
      <c r="C4600" t="s">
        <v>10922</v>
      </c>
      <c r="D4600">
        <v>178790</v>
      </c>
      <c r="E4600" t="s">
        <v>36</v>
      </c>
      <c r="F4600" t="s">
        <v>10923</v>
      </c>
      <c r="G4600" s="1">
        <v>45067</v>
      </c>
    </row>
    <row r="4601" spans="1:7">
      <c r="A4601" t="s">
        <v>10924</v>
      </c>
      <c r="B4601">
        <v>26</v>
      </c>
      <c r="C4601" t="s">
        <v>115</v>
      </c>
      <c r="D4601">
        <v>-1000</v>
      </c>
      <c r="E4601" t="s">
        <v>36</v>
      </c>
      <c r="G4601" s="1">
        <v>45011</v>
      </c>
    </row>
    <row r="4602" spans="1:7">
      <c r="A4602" t="s">
        <v>10925</v>
      </c>
      <c r="B4602">
        <v>57</v>
      </c>
      <c r="C4602" t="s">
        <v>10926</v>
      </c>
      <c r="D4602">
        <v>198600</v>
      </c>
      <c r="E4602" t="s">
        <v>9</v>
      </c>
      <c r="F4602" t="s">
        <v>10927</v>
      </c>
      <c r="G4602" s="1">
        <v>45078</v>
      </c>
    </row>
    <row r="4603" spans="1:7">
      <c r="A4603" t="s">
        <v>10928</v>
      </c>
      <c r="B4603">
        <v>71</v>
      </c>
      <c r="C4603" t="s">
        <v>10929</v>
      </c>
      <c r="D4603">
        <v>48395</v>
      </c>
      <c r="E4603" t="s">
        <v>12</v>
      </c>
      <c r="F4603" t="s">
        <v>10930</v>
      </c>
      <c r="G4603" s="1">
        <v>44997</v>
      </c>
    </row>
    <row r="4604" spans="1:7">
      <c r="A4604" t="s">
        <v>10931</v>
      </c>
      <c r="B4604">
        <v>34</v>
      </c>
      <c r="C4604" t="s">
        <v>10932</v>
      </c>
      <c r="D4604">
        <v>181990</v>
      </c>
      <c r="E4604" t="s">
        <v>9</v>
      </c>
      <c r="F4604">
        <v>8495636795</v>
      </c>
      <c r="G4604" s="1">
        <v>45038</v>
      </c>
    </row>
    <row r="4605" spans="1:7">
      <c r="A4605" t="s">
        <v>10933</v>
      </c>
      <c r="B4605">
        <v>54</v>
      </c>
      <c r="C4605" t="s">
        <v>10934</v>
      </c>
      <c r="E4605" t="s">
        <v>27</v>
      </c>
      <c r="F4605">
        <f>1-157-726-5575</f>
        <v>-6457</v>
      </c>
      <c r="G4605" t="s">
        <v>81</v>
      </c>
    </row>
    <row r="4606" spans="1:7">
      <c r="A4606" t="s">
        <v>10935</v>
      </c>
      <c r="B4606">
        <v>-25</v>
      </c>
      <c r="C4606" t="s">
        <v>10936</v>
      </c>
      <c r="D4606">
        <v>113029</v>
      </c>
      <c r="E4606" t="s">
        <v>36</v>
      </c>
      <c r="F4606" t="s">
        <v>10937</v>
      </c>
      <c r="G4606" s="1">
        <v>45079</v>
      </c>
    </row>
    <row r="4607" spans="1:7">
      <c r="A4607" t="s">
        <v>10938</v>
      </c>
      <c r="B4607">
        <v>72</v>
      </c>
      <c r="C4607" t="s">
        <v>445</v>
      </c>
      <c r="D4607">
        <v>49229</v>
      </c>
      <c r="E4607" t="s">
        <v>36</v>
      </c>
      <c r="F4607" t="s">
        <v>10939</v>
      </c>
      <c r="G4607" s="1">
        <v>45022</v>
      </c>
    </row>
    <row r="4608" spans="1:7">
      <c r="A4608" t="s">
        <v>10940</v>
      </c>
      <c r="B4608">
        <v>65</v>
      </c>
      <c r="C4608" t="s">
        <v>445</v>
      </c>
      <c r="D4608">
        <v>99166</v>
      </c>
      <c r="E4608" t="s">
        <v>9</v>
      </c>
      <c r="F4608" t="s">
        <v>10941</v>
      </c>
      <c r="G4608" s="1">
        <v>45192</v>
      </c>
    </row>
    <row r="4609" spans="1:7">
      <c r="A4609" t="s">
        <v>10942</v>
      </c>
      <c r="B4609">
        <v>67</v>
      </c>
      <c r="C4609" t="s">
        <v>10943</v>
      </c>
      <c r="D4609">
        <v>65294</v>
      </c>
      <c r="E4609" t="s">
        <v>9</v>
      </c>
      <c r="F4609">
        <v>4588976489</v>
      </c>
      <c r="G4609" s="1">
        <v>45240</v>
      </c>
    </row>
    <row r="4610" spans="1:7">
      <c r="A4610" t="s">
        <v>8769</v>
      </c>
      <c r="B4610">
        <v>77</v>
      </c>
      <c r="C4610" t="s">
        <v>10944</v>
      </c>
      <c r="D4610">
        <v>153130</v>
      </c>
      <c r="E4610" t="s">
        <v>36</v>
      </c>
      <c r="F4610">
        <v>2614528899</v>
      </c>
      <c r="G4610" s="1">
        <v>45115</v>
      </c>
    </row>
    <row r="4611" spans="1:7">
      <c r="A4611" t="s">
        <v>10945</v>
      </c>
      <c r="B4611">
        <v>41</v>
      </c>
      <c r="D4611">
        <v>0</v>
      </c>
      <c r="E4611" t="s">
        <v>27</v>
      </c>
      <c r="F4611" t="s">
        <v>10946</v>
      </c>
      <c r="G4611" s="1">
        <v>45119</v>
      </c>
    </row>
    <row r="4612" spans="1:7">
      <c r="A4612" t="s">
        <v>10947</v>
      </c>
      <c r="B4612">
        <v>37</v>
      </c>
      <c r="C4612" t="s">
        <v>10948</v>
      </c>
      <c r="D4612">
        <v>160722</v>
      </c>
      <c r="E4612" t="s">
        <v>12</v>
      </c>
      <c r="F4612" t="s">
        <v>10949</v>
      </c>
      <c r="G4612" s="1">
        <v>44983</v>
      </c>
    </row>
    <row r="4613" spans="1:7">
      <c r="A4613" t="s">
        <v>10950</v>
      </c>
      <c r="B4613">
        <v>26</v>
      </c>
      <c r="C4613" t="s">
        <v>10951</v>
      </c>
      <c r="D4613">
        <v>124000</v>
      </c>
      <c r="E4613" t="s">
        <v>36</v>
      </c>
      <c r="F4613" t="s">
        <v>10952</v>
      </c>
      <c r="G4613" s="1">
        <v>45108</v>
      </c>
    </row>
    <row r="4614" spans="1:7">
      <c r="A4614" t="s">
        <v>10953</v>
      </c>
      <c r="C4614" t="s">
        <v>594</v>
      </c>
      <c r="D4614">
        <v>199834</v>
      </c>
      <c r="E4614" t="s">
        <v>9</v>
      </c>
      <c r="F4614" t="s">
        <v>10954</v>
      </c>
      <c r="G4614" s="1">
        <v>44978</v>
      </c>
    </row>
    <row r="4615" spans="1:7">
      <c r="A4615" t="s">
        <v>10955</v>
      </c>
      <c r="B4615">
        <v>51</v>
      </c>
      <c r="C4615" t="s">
        <v>10956</v>
      </c>
      <c r="D4615">
        <v>155604</v>
      </c>
      <c r="E4615" t="s">
        <v>9</v>
      </c>
      <c r="F4615" t="s">
        <v>10957</v>
      </c>
      <c r="G4615" s="1">
        <v>45094</v>
      </c>
    </row>
    <row r="4616" spans="1:7">
      <c r="A4616" t="s">
        <v>871</v>
      </c>
      <c r="B4616">
        <v>53</v>
      </c>
      <c r="C4616" t="s">
        <v>872</v>
      </c>
      <c r="E4616" t="s">
        <v>873</v>
      </c>
      <c r="F4616" t="s">
        <v>874</v>
      </c>
      <c r="G4616" s="1">
        <v>44985</v>
      </c>
    </row>
    <row r="4617" spans="1:7">
      <c r="A4617" t="s">
        <v>10958</v>
      </c>
      <c r="B4617">
        <v>65</v>
      </c>
      <c r="C4617" t="s">
        <v>10959</v>
      </c>
      <c r="D4617">
        <v>79522</v>
      </c>
      <c r="E4617" t="s">
        <v>9</v>
      </c>
      <c r="F4617">
        <v>6619209856</v>
      </c>
      <c r="G4617" s="1">
        <v>45196</v>
      </c>
    </row>
    <row r="4618" spans="1:7">
      <c r="A4618" t="s">
        <v>10960</v>
      </c>
      <c r="B4618">
        <v>66</v>
      </c>
      <c r="C4618" t="s">
        <v>10961</v>
      </c>
      <c r="D4618">
        <v>104807</v>
      </c>
      <c r="E4618" t="s">
        <v>12</v>
      </c>
      <c r="F4618" t="s">
        <v>10962</v>
      </c>
      <c r="G4618" t="s">
        <v>3963</v>
      </c>
    </row>
    <row r="4619" spans="1:7">
      <c r="A4619" t="s">
        <v>10963</v>
      </c>
      <c r="B4619">
        <v>39</v>
      </c>
      <c r="C4619" t="s">
        <v>518</v>
      </c>
      <c r="D4619">
        <v>35368</v>
      </c>
      <c r="E4619" t="s">
        <v>27</v>
      </c>
      <c r="F4619" t="s">
        <v>10964</v>
      </c>
      <c r="G4619" s="1">
        <v>45154</v>
      </c>
    </row>
    <row r="4620" spans="1:7">
      <c r="A4620" t="s">
        <v>10965</v>
      </c>
      <c r="B4620">
        <v>50</v>
      </c>
      <c r="C4620" t="s">
        <v>10966</v>
      </c>
      <c r="D4620">
        <v>44678</v>
      </c>
      <c r="E4620" t="s">
        <v>9</v>
      </c>
      <c r="F4620" t="s">
        <v>10967</v>
      </c>
      <c r="G4620" s="1">
        <v>45008</v>
      </c>
    </row>
    <row r="4621" spans="1:7">
      <c r="A4621" t="s">
        <v>10968</v>
      </c>
      <c r="B4621">
        <v>27</v>
      </c>
      <c r="C4621" t="s">
        <v>10969</v>
      </c>
      <c r="D4621">
        <v>35495</v>
      </c>
      <c r="E4621" t="s">
        <v>36</v>
      </c>
      <c r="F4621" t="s">
        <v>10970</v>
      </c>
      <c r="G4621" s="1">
        <v>45164</v>
      </c>
    </row>
    <row r="4622" spans="1:7">
      <c r="A4622" t="s">
        <v>10971</v>
      </c>
      <c r="B4622">
        <v>23</v>
      </c>
      <c r="C4622" t="s">
        <v>445</v>
      </c>
      <c r="D4622">
        <v>93753</v>
      </c>
      <c r="E4622" t="s">
        <v>27</v>
      </c>
      <c r="F4622" t="s">
        <v>10972</v>
      </c>
      <c r="G4622" s="1">
        <v>44939</v>
      </c>
    </row>
    <row r="4623" spans="1:7">
      <c r="A4623" t="s">
        <v>10973</v>
      </c>
      <c r="B4623">
        <v>35</v>
      </c>
      <c r="C4623" t="s">
        <v>10974</v>
      </c>
      <c r="D4623">
        <v>128185</v>
      </c>
      <c r="E4623" t="s">
        <v>27</v>
      </c>
      <c r="F4623" t="s">
        <v>10975</v>
      </c>
      <c r="G4623" s="1">
        <v>45199</v>
      </c>
    </row>
    <row r="4624" spans="1:7">
      <c r="A4624" t="s">
        <v>10976</v>
      </c>
      <c r="B4624">
        <v>21</v>
      </c>
      <c r="C4624" t="s">
        <v>10977</v>
      </c>
      <c r="D4624">
        <v>135058</v>
      </c>
      <c r="E4624" t="s">
        <v>36</v>
      </c>
      <c r="F4624">
        <v>9060028594</v>
      </c>
      <c r="G4624" s="1">
        <v>45226</v>
      </c>
    </row>
    <row r="4625" spans="1:7">
      <c r="A4625" t="s">
        <v>10978</v>
      </c>
      <c r="B4625">
        <v>25</v>
      </c>
      <c r="C4625" t="s">
        <v>10979</v>
      </c>
      <c r="D4625">
        <v>126516</v>
      </c>
      <c r="E4625" t="s">
        <v>9</v>
      </c>
      <c r="F4625" t="s">
        <v>10980</v>
      </c>
      <c r="G4625" s="1">
        <v>45161</v>
      </c>
    </row>
    <row r="4626" spans="1:7">
      <c r="A4626" t="s">
        <v>10981</v>
      </c>
      <c r="B4626">
        <v>52</v>
      </c>
      <c r="D4626">
        <v>131735</v>
      </c>
      <c r="E4626" t="s">
        <v>27</v>
      </c>
      <c r="F4626">
        <f>1-799-486-9314</f>
        <v>-10598</v>
      </c>
      <c r="G4626" s="1">
        <v>45030</v>
      </c>
    </row>
    <row r="4627" spans="1:7">
      <c r="A4627" t="s">
        <v>10982</v>
      </c>
      <c r="B4627">
        <v>66</v>
      </c>
      <c r="C4627" t="s">
        <v>10983</v>
      </c>
      <c r="D4627">
        <v>44719</v>
      </c>
      <c r="E4627" t="s">
        <v>9</v>
      </c>
      <c r="F4627">
        <v>2412483267</v>
      </c>
      <c r="G4627" s="1">
        <v>44979</v>
      </c>
    </row>
    <row r="4628" spans="1:7">
      <c r="A4628" t="s">
        <v>10984</v>
      </c>
      <c r="B4628">
        <v>45</v>
      </c>
      <c r="C4628" t="s">
        <v>10985</v>
      </c>
      <c r="D4628">
        <v>-20000</v>
      </c>
      <c r="E4628" t="s">
        <v>36</v>
      </c>
      <c r="F4628" t="s">
        <v>10986</v>
      </c>
      <c r="G4628" s="1">
        <v>45178</v>
      </c>
    </row>
    <row r="4629" spans="1:7">
      <c r="A4629" t="s">
        <v>10987</v>
      </c>
      <c r="B4629">
        <v>0</v>
      </c>
      <c r="C4629" t="s">
        <v>10988</v>
      </c>
      <c r="D4629">
        <v>167161</v>
      </c>
      <c r="E4629" t="s">
        <v>36</v>
      </c>
      <c r="F4629" t="s">
        <v>10989</v>
      </c>
      <c r="G4629" s="1">
        <v>44943</v>
      </c>
    </row>
    <row r="4630" spans="1:7">
      <c r="A4630" t="s">
        <v>10990</v>
      </c>
      <c r="B4630">
        <v>69</v>
      </c>
      <c r="C4630" t="s">
        <v>10991</v>
      </c>
      <c r="D4630">
        <v>140114</v>
      </c>
      <c r="E4630" t="s">
        <v>27</v>
      </c>
      <c r="F4630" t="s">
        <v>10992</v>
      </c>
      <c r="G4630" s="1">
        <v>45168</v>
      </c>
    </row>
    <row r="4631" spans="1:7">
      <c r="A4631" t="s">
        <v>10993</v>
      </c>
      <c r="B4631">
        <v>66</v>
      </c>
      <c r="C4631" t="s">
        <v>10994</v>
      </c>
      <c r="D4631">
        <v>166681</v>
      </c>
      <c r="E4631" t="s">
        <v>9</v>
      </c>
      <c r="G4631" t="s">
        <v>1459</v>
      </c>
    </row>
    <row r="4632" spans="1:7">
      <c r="A4632" t="s">
        <v>10995</v>
      </c>
      <c r="B4632">
        <v>54</v>
      </c>
      <c r="C4632" t="s">
        <v>10996</v>
      </c>
      <c r="D4632">
        <v>183706</v>
      </c>
      <c r="E4632" t="s">
        <v>36</v>
      </c>
      <c r="F4632" t="s">
        <v>10997</v>
      </c>
      <c r="G4632" s="1">
        <v>45098</v>
      </c>
    </row>
    <row r="4633" spans="1:7">
      <c r="A4633" t="s">
        <v>10998</v>
      </c>
      <c r="B4633">
        <v>52</v>
      </c>
      <c r="C4633" t="s">
        <v>10999</v>
      </c>
      <c r="D4633">
        <v>87724</v>
      </c>
      <c r="E4633" t="s">
        <v>27</v>
      </c>
      <c r="F4633" t="s">
        <v>11000</v>
      </c>
      <c r="G4633" s="1">
        <v>44936</v>
      </c>
    </row>
    <row r="4634" spans="1:7">
      <c r="A4634" t="s">
        <v>11001</v>
      </c>
      <c r="B4634">
        <v>77</v>
      </c>
      <c r="C4634" t="s">
        <v>11002</v>
      </c>
      <c r="D4634">
        <v>41549</v>
      </c>
      <c r="E4634" t="s">
        <v>12</v>
      </c>
      <c r="F4634" t="s">
        <v>11003</v>
      </c>
      <c r="G4634" s="1">
        <v>45223</v>
      </c>
    </row>
    <row r="4635" spans="1:7">
      <c r="A4635" t="s">
        <v>11004</v>
      </c>
      <c r="C4635" t="s">
        <v>11005</v>
      </c>
      <c r="D4635">
        <v>76950</v>
      </c>
      <c r="E4635" t="s">
        <v>36</v>
      </c>
      <c r="F4635">
        <f>1-788-842-6486</f>
        <v>-8115</v>
      </c>
      <c r="G4635" s="1">
        <v>45046</v>
      </c>
    </row>
    <row r="4636" spans="1:7">
      <c r="A4636" t="s">
        <v>11006</v>
      </c>
      <c r="B4636">
        <v>23</v>
      </c>
      <c r="C4636" t="s">
        <v>11007</v>
      </c>
      <c r="D4636">
        <v>93884</v>
      </c>
      <c r="E4636" t="s">
        <v>27</v>
      </c>
      <c r="G4636" s="1">
        <v>45216</v>
      </c>
    </row>
    <row r="4637" spans="1:7">
      <c r="A4637" t="s">
        <v>11008</v>
      </c>
      <c r="B4637">
        <v>56</v>
      </c>
      <c r="C4637" t="s">
        <v>11009</v>
      </c>
      <c r="D4637">
        <v>97334</v>
      </c>
      <c r="E4637" t="s">
        <v>36</v>
      </c>
      <c r="F4637">
        <f>1-306-316-3421</f>
        <v>-4042</v>
      </c>
      <c r="G4637" s="1">
        <v>45121</v>
      </c>
    </row>
    <row r="4638" spans="1:7">
      <c r="A4638" t="s">
        <v>11010</v>
      </c>
      <c r="B4638">
        <v>72</v>
      </c>
      <c r="C4638" t="s">
        <v>11011</v>
      </c>
      <c r="E4638" t="s">
        <v>9</v>
      </c>
      <c r="F4638" t="s">
        <v>11012</v>
      </c>
      <c r="G4638" s="1">
        <v>45104</v>
      </c>
    </row>
    <row r="4639" spans="1:7">
      <c r="A4639" t="s">
        <v>11013</v>
      </c>
      <c r="B4639">
        <v>36</v>
      </c>
      <c r="C4639" t="s">
        <v>11014</v>
      </c>
      <c r="D4639">
        <v>0</v>
      </c>
      <c r="E4639" t="s">
        <v>36</v>
      </c>
      <c r="F4639" t="s">
        <v>11015</v>
      </c>
      <c r="G4639" s="1">
        <v>45291</v>
      </c>
    </row>
    <row r="4640" spans="1:7">
      <c r="A4640" t="s">
        <v>3566</v>
      </c>
      <c r="B4640">
        <v>27</v>
      </c>
      <c r="C4640" t="s">
        <v>11016</v>
      </c>
      <c r="D4640">
        <v>80113</v>
      </c>
      <c r="E4640" t="s">
        <v>9</v>
      </c>
      <c r="F4640">
        <v>6223262065</v>
      </c>
      <c r="G4640" s="1">
        <v>44973</v>
      </c>
    </row>
    <row r="4641" spans="1:7">
      <c r="A4641" t="s">
        <v>11017</v>
      </c>
      <c r="B4641">
        <v>23</v>
      </c>
      <c r="C4641" t="s">
        <v>11018</v>
      </c>
      <c r="D4641">
        <v>116296</v>
      </c>
      <c r="E4641" t="s">
        <v>27</v>
      </c>
      <c r="F4641" t="s">
        <v>11019</v>
      </c>
      <c r="G4641" s="1">
        <v>44951</v>
      </c>
    </row>
    <row r="4642" spans="1:7">
      <c r="A4642" t="s">
        <v>11020</v>
      </c>
      <c r="B4642">
        <v>25</v>
      </c>
      <c r="C4642" t="s">
        <v>169</v>
      </c>
      <c r="D4642">
        <v>117173</v>
      </c>
      <c r="E4642" t="s">
        <v>9</v>
      </c>
      <c r="F4642" t="s">
        <v>11021</v>
      </c>
      <c r="G4642" s="1">
        <v>44992</v>
      </c>
    </row>
    <row r="4643" spans="1:7">
      <c r="A4643" t="s">
        <v>11022</v>
      </c>
      <c r="D4643">
        <v>59793</v>
      </c>
      <c r="E4643" t="s">
        <v>36</v>
      </c>
      <c r="F4643" t="s">
        <v>11023</v>
      </c>
      <c r="G4643" s="1">
        <v>45061</v>
      </c>
    </row>
    <row r="4644" spans="1:7">
      <c r="A4644" t="s">
        <v>11024</v>
      </c>
      <c r="B4644">
        <v>72</v>
      </c>
      <c r="C4644" t="s">
        <v>11025</v>
      </c>
      <c r="E4644" t="s">
        <v>36</v>
      </c>
      <c r="F4644" t="s">
        <v>11026</v>
      </c>
      <c r="G4644" s="1">
        <v>44973</v>
      </c>
    </row>
    <row r="4645" spans="1:7">
      <c r="B4645">
        <v>44</v>
      </c>
      <c r="C4645" t="s">
        <v>11027</v>
      </c>
      <c r="D4645">
        <v>73919</v>
      </c>
      <c r="E4645" t="s">
        <v>12</v>
      </c>
      <c r="F4645" t="s">
        <v>11028</v>
      </c>
      <c r="G4645" s="1">
        <v>45005</v>
      </c>
    </row>
    <row r="4646" spans="1:7">
      <c r="A4646" t="s">
        <v>11029</v>
      </c>
      <c r="B4646">
        <v>26</v>
      </c>
      <c r="C4646" t="s">
        <v>11030</v>
      </c>
      <c r="D4646">
        <v>35147</v>
      </c>
      <c r="E4646" t="s">
        <v>12</v>
      </c>
      <c r="G4646" s="1">
        <v>44986</v>
      </c>
    </row>
    <row r="4647" spans="1:7">
      <c r="A4647" t="s">
        <v>11031</v>
      </c>
      <c r="B4647">
        <v>-25</v>
      </c>
      <c r="C4647" t="s">
        <v>11032</v>
      </c>
      <c r="D4647">
        <v>136749</v>
      </c>
      <c r="E4647" t="s">
        <v>36</v>
      </c>
      <c r="F4647" t="s">
        <v>11033</v>
      </c>
      <c r="G4647" s="1">
        <v>45044</v>
      </c>
    </row>
    <row r="4648" spans="1:7">
      <c r="A4648" t="s">
        <v>11034</v>
      </c>
      <c r="B4648">
        <v>32</v>
      </c>
      <c r="C4648" t="s">
        <v>11035</v>
      </c>
      <c r="E4648" t="s">
        <v>27</v>
      </c>
      <c r="F4648">
        <v>9758687253</v>
      </c>
      <c r="G4648" s="1">
        <v>45240</v>
      </c>
    </row>
    <row r="4649" spans="1:7">
      <c r="A4649" t="s">
        <v>11036</v>
      </c>
      <c r="B4649">
        <v>59</v>
      </c>
      <c r="C4649" t="s">
        <v>594</v>
      </c>
      <c r="D4649">
        <v>86523</v>
      </c>
      <c r="E4649" t="s">
        <v>9</v>
      </c>
      <c r="F4649">
        <v>8696719645</v>
      </c>
      <c r="G4649" s="1">
        <v>45102</v>
      </c>
    </row>
    <row r="4650" spans="1:7">
      <c r="A4650" t="s">
        <v>11037</v>
      </c>
      <c r="B4650">
        <v>32</v>
      </c>
      <c r="D4650">
        <v>136464</v>
      </c>
      <c r="E4650" t="s">
        <v>36</v>
      </c>
      <c r="F4650" t="s">
        <v>11038</v>
      </c>
      <c r="G4650" s="1">
        <v>44976</v>
      </c>
    </row>
    <row r="4651" spans="1:7">
      <c r="A4651" t="s">
        <v>11039</v>
      </c>
      <c r="B4651">
        <v>58</v>
      </c>
      <c r="D4651">
        <v>139765</v>
      </c>
      <c r="E4651" t="s">
        <v>36</v>
      </c>
      <c r="G4651" s="1">
        <v>45145</v>
      </c>
    </row>
    <row r="4652" spans="1:7">
      <c r="A4652" t="s">
        <v>11040</v>
      </c>
      <c r="B4652">
        <v>71</v>
      </c>
      <c r="D4652">
        <v>64675</v>
      </c>
      <c r="E4652" t="s">
        <v>12</v>
      </c>
      <c r="F4652" t="s">
        <v>11041</v>
      </c>
      <c r="G4652" s="1">
        <v>45071</v>
      </c>
    </row>
    <row r="4653" spans="1:7">
      <c r="A4653" t="s">
        <v>11042</v>
      </c>
      <c r="B4653">
        <v>-10</v>
      </c>
      <c r="C4653" t="s">
        <v>11043</v>
      </c>
      <c r="D4653">
        <v>67228</v>
      </c>
      <c r="E4653" t="s">
        <v>9</v>
      </c>
      <c r="F4653">
        <v>6897612430</v>
      </c>
      <c r="G4653" s="1">
        <v>45064</v>
      </c>
    </row>
    <row r="4654" spans="1:7">
      <c r="A4654" t="s">
        <v>11044</v>
      </c>
      <c r="C4654" t="s">
        <v>11045</v>
      </c>
      <c r="D4654">
        <v>106173</v>
      </c>
      <c r="E4654" t="s">
        <v>36</v>
      </c>
      <c r="F4654" t="s">
        <v>11046</v>
      </c>
      <c r="G4654" s="1">
        <v>45050</v>
      </c>
    </row>
    <row r="4655" spans="1:7">
      <c r="A4655" t="s">
        <v>11047</v>
      </c>
      <c r="B4655">
        <v>52</v>
      </c>
      <c r="C4655" t="s">
        <v>11048</v>
      </c>
      <c r="D4655">
        <v>51839</v>
      </c>
      <c r="E4655" t="s">
        <v>27</v>
      </c>
      <c r="F4655" t="s">
        <v>11049</v>
      </c>
      <c r="G4655" s="1">
        <v>44949</v>
      </c>
    </row>
    <row r="4656" spans="1:7">
      <c r="A4656" t="s">
        <v>11050</v>
      </c>
      <c r="C4656" t="s">
        <v>11051</v>
      </c>
      <c r="D4656">
        <v>45216</v>
      </c>
      <c r="E4656" t="s">
        <v>18</v>
      </c>
      <c r="F4656" t="s">
        <v>11052</v>
      </c>
      <c r="G4656" s="1">
        <v>45006</v>
      </c>
    </row>
    <row r="4657" spans="1:7">
      <c r="A4657" t="s">
        <v>11053</v>
      </c>
      <c r="B4657">
        <v>67</v>
      </c>
      <c r="C4657" t="s">
        <v>11054</v>
      </c>
      <c r="D4657">
        <v>105602</v>
      </c>
      <c r="E4657" t="s">
        <v>9</v>
      </c>
      <c r="F4657">
        <v>8410598437</v>
      </c>
      <c r="G4657" s="1">
        <v>45286</v>
      </c>
    </row>
    <row r="4658" spans="1:7">
      <c r="A4658" t="s">
        <v>11055</v>
      </c>
      <c r="B4658">
        <v>23</v>
      </c>
      <c r="C4658" t="s">
        <v>11056</v>
      </c>
      <c r="D4658">
        <v>69405</v>
      </c>
      <c r="E4658" t="s">
        <v>12</v>
      </c>
      <c r="F4658" t="s">
        <v>11057</v>
      </c>
      <c r="G4658" s="1">
        <v>45022</v>
      </c>
    </row>
    <row r="4659" spans="1:7">
      <c r="A4659" t="s">
        <v>11058</v>
      </c>
      <c r="B4659">
        <v>62</v>
      </c>
      <c r="C4659" t="s">
        <v>11059</v>
      </c>
      <c r="D4659">
        <v>77591</v>
      </c>
      <c r="E4659" t="s">
        <v>36</v>
      </c>
      <c r="F4659">
        <f>1-593-807-2311</f>
        <v>-3710</v>
      </c>
      <c r="G4659" s="1">
        <v>44927</v>
      </c>
    </row>
    <row r="4660" spans="1:7">
      <c r="A4660" t="s">
        <v>4498</v>
      </c>
      <c r="B4660">
        <v>78</v>
      </c>
      <c r="C4660" t="s">
        <v>11060</v>
      </c>
      <c r="D4660">
        <v>116664</v>
      </c>
      <c r="E4660" t="s">
        <v>27</v>
      </c>
      <c r="F4660">
        <f>1-672-631-7468</f>
        <v>-8770</v>
      </c>
      <c r="G4660" t="s">
        <v>87</v>
      </c>
    </row>
    <row r="4661" spans="1:7">
      <c r="A4661" t="s">
        <v>11061</v>
      </c>
      <c r="B4661">
        <v>23</v>
      </c>
      <c r="C4661" t="s">
        <v>11062</v>
      </c>
      <c r="D4661">
        <v>108608</v>
      </c>
      <c r="E4661" t="s">
        <v>27</v>
      </c>
      <c r="F4661" t="s">
        <v>11063</v>
      </c>
      <c r="G4661" s="1">
        <v>45228</v>
      </c>
    </row>
    <row r="4662" spans="1:7">
      <c r="A4662" t="s">
        <v>11064</v>
      </c>
      <c r="B4662">
        <v>42</v>
      </c>
      <c r="C4662" t="s">
        <v>11065</v>
      </c>
      <c r="D4662">
        <v>188998</v>
      </c>
      <c r="E4662" t="s">
        <v>36</v>
      </c>
      <c r="F4662">
        <f>1-810-198-2908</f>
        <v>-3915</v>
      </c>
      <c r="G4662" s="1">
        <v>45247</v>
      </c>
    </row>
    <row r="4663" spans="1:7">
      <c r="A4663" t="s">
        <v>11066</v>
      </c>
      <c r="B4663">
        <v>75</v>
      </c>
      <c r="C4663" t="s">
        <v>11067</v>
      </c>
      <c r="D4663">
        <v>123782</v>
      </c>
      <c r="E4663" t="s">
        <v>12</v>
      </c>
      <c r="F4663" t="s">
        <v>11068</v>
      </c>
      <c r="G4663" s="1">
        <v>45033</v>
      </c>
    </row>
    <row r="4664" spans="1:7">
      <c r="A4664" t="s">
        <v>1127</v>
      </c>
      <c r="B4664">
        <v>130</v>
      </c>
      <c r="C4664" t="s">
        <v>11069</v>
      </c>
      <c r="D4664">
        <v>104083</v>
      </c>
      <c r="E4664" t="s">
        <v>9</v>
      </c>
      <c r="F4664">
        <f>1-724-190-5017</f>
        <v>-5930</v>
      </c>
      <c r="G4664" s="1">
        <v>45106</v>
      </c>
    </row>
    <row r="4665" spans="1:7">
      <c r="A4665" t="s">
        <v>11070</v>
      </c>
      <c r="B4665">
        <v>62</v>
      </c>
      <c r="C4665" t="s">
        <v>594</v>
      </c>
      <c r="E4665" t="s">
        <v>12</v>
      </c>
      <c r="F4665">
        <v>3623960525</v>
      </c>
      <c r="G4665" t="s">
        <v>422</v>
      </c>
    </row>
    <row r="4666" spans="1:7">
      <c r="A4666" t="s">
        <v>11071</v>
      </c>
      <c r="B4666">
        <v>56</v>
      </c>
      <c r="C4666" t="s">
        <v>17</v>
      </c>
      <c r="D4666">
        <v>173609</v>
      </c>
      <c r="E4666" t="s">
        <v>36</v>
      </c>
      <c r="F4666" t="s">
        <v>11072</v>
      </c>
      <c r="G4666" s="1">
        <v>45274</v>
      </c>
    </row>
    <row r="4667" spans="1:7">
      <c r="A4667" t="s">
        <v>11073</v>
      </c>
      <c r="B4667">
        <v>46</v>
      </c>
      <c r="C4667" t="s">
        <v>11074</v>
      </c>
      <c r="D4667">
        <v>42360</v>
      </c>
      <c r="E4667" t="s">
        <v>873</v>
      </c>
      <c r="F4667" t="s">
        <v>11075</v>
      </c>
      <c r="G4667" s="1">
        <v>45057</v>
      </c>
    </row>
    <row r="4668" spans="1:7">
      <c r="B4668">
        <v>71</v>
      </c>
      <c r="C4668" t="s">
        <v>11076</v>
      </c>
      <c r="D4668">
        <v>95747</v>
      </c>
      <c r="E4668" t="s">
        <v>27</v>
      </c>
      <c r="F4668" t="s">
        <v>11077</v>
      </c>
      <c r="G4668" s="1">
        <v>45236</v>
      </c>
    </row>
    <row r="4669" spans="1:7">
      <c r="A4669" t="s">
        <v>11078</v>
      </c>
      <c r="B4669">
        <v>52</v>
      </c>
      <c r="C4669" t="s">
        <v>11079</v>
      </c>
      <c r="D4669">
        <v>97560</v>
      </c>
      <c r="E4669" t="s">
        <v>36</v>
      </c>
      <c r="F4669">
        <v>8436354844</v>
      </c>
      <c r="G4669" s="1">
        <v>44929</v>
      </c>
    </row>
    <row r="4670" spans="1:7">
      <c r="A4670" t="s">
        <v>11080</v>
      </c>
      <c r="B4670">
        <v>79</v>
      </c>
      <c r="C4670" t="s">
        <v>11081</v>
      </c>
      <c r="D4670">
        <v>192488</v>
      </c>
      <c r="E4670" t="s">
        <v>9</v>
      </c>
      <c r="F4670">
        <f>1-485-492-9958</f>
        <v>-10934</v>
      </c>
      <c r="G4670" s="1">
        <v>44933</v>
      </c>
    </row>
    <row r="4671" spans="1:7">
      <c r="A4671" t="s">
        <v>3885</v>
      </c>
      <c r="B4671">
        <v>72</v>
      </c>
      <c r="C4671" t="s">
        <v>11082</v>
      </c>
      <c r="D4671">
        <v>64693</v>
      </c>
      <c r="E4671" t="s">
        <v>9</v>
      </c>
      <c r="F4671" t="s">
        <v>11083</v>
      </c>
      <c r="G4671" s="1">
        <v>44988</v>
      </c>
    </row>
    <row r="4672" spans="1:7">
      <c r="A4672" t="s">
        <v>11084</v>
      </c>
      <c r="B4672">
        <v>20</v>
      </c>
      <c r="C4672" t="s">
        <v>11085</v>
      </c>
      <c r="D4672">
        <v>123500</v>
      </c>
      <c r="E4672" t="s">
        <v>9</v>
      </c>
      <c r="F4672" t="s">
        <v>11086</v>
      </c>
      <c r="G4672" s="1">
        <v>45004</v>
      </c>
    </row>
    <row r="4673" spans="1:7">
      <c r="A4673" t="s">
        <v>11087</v>
      </c>
      <c r="B4673">
        <v>60</v>
      </c>
      <c r="C4673" t="s">
        <v>11088</v>
      </c>
      <c r="D4673">
        <v>150263</v>
      </c>
      <c r="E4673" t="s">
        <v>27</v>
      </c>
      <c r="F4673" t="s">
        <v>11089</v>
      </c>
      <c r="G4673" s="1">
        <v>45026</v>
      </c>
    </row>
    <row r="4674" spans="1:7">
      <c r="A4674" t="s">
        <v>11090</v>
      </c>
      <c r="B4674">
        <v>61</v>
      </c>
      <c r="C4674" t="s">
        <v>11091</v>
      </c>
      <c r="D4674">
        <v>162624</v>
      </c>
      <c r="E4674" t="s">
        <v>27</v>
      </c>
      <c r="F4674" t="s">
        <v>11092</v>
      </c>
      <c r="G4674" s="1">
        <v>45282</v>
      </c>
    </row>
    <row r="4675" spans="1:7">
      <c r="A4675" t="s">
        <v>11093</v>
      </c>
      <c r="B4675">
        <v>25</v>
      </c>
      <c r="E4675" t="s">
        <v>36</v>
      </c>
      <c r="F4675" t="s">
        <v>11094</v>
      </c>
      <c r="G4675" s="1">
        <v>45025</v>
      </c>
    </row>
    <row r="4676" spans="1:7">
      <c r="B4676">
        <v>58</v>
      </c>
      <c r="C4676" t="s">
        <v>11095</v>
      </c>
      <c r="D4676">
        <v>102573</v>
      </c>
      <c r="E4676" t="s">
        <v>294</v>
      </c>
      <c r="F4676">
        <f>1-546-166-3807</f>
        <v>-4518</v>
      </c>
      <c r="G4676" s="1">
        <v>45275</v>
      </c>
    </row>
    <row r="4677" spans="1:7">
      <c r="A4677" t="s">
        <v>11096</v>
      </c>
      <c r="B4677">
        <v>-100</v>
      </c>
      <c r="C4677" t="s">
        <v>11097</v>
      </c>
      <c r="D4677">
        <v>167844</v>
      </c>
      <c r="E4677" t="s">
        <v>12</v>
      </c>
      <c r="F4677" t="s">
        <v>11098</v>
      </c>
      <c r="G4677" s="1">
        <v>45276</v>
      </c>
    </row>
    <row r="4678" spans="1:7">
      <c r="A4678" t="s">
        <v>4872</v>
      </c>
      <c r="B4678">
        <v>56</v>
      </c>
      <c r="C4678" t="s">
        <v>11099</v>
      </c>
      <c r="D4678">
        <v>66701</v>
      </c>
      <c r="E4678" t="s">
        <v>36</v>
      </c>
      <c r="F4678" t="s">
        <v>11100</v>
      </c>
      <c r="G4678" s="1">
        <v>45097</v>
      </c>
    </row>
    <row r="4679" spans="1:7">
      <c r="A4679" t="s">
        <v>11101</v>
      </c>
      <c r="B4679">
        <v>49</v>
      </c>
      <c r="C4679" t="s">
        <v>11102</v>
      </c>
      <c r="D4679">
        <v>141426</v>
      </c>
      <c r="E4679" t="s">
        <v>27</v>
      </c>
      <c r="F4679" t="s">
        <v>11103</v>
      </c>
      <c r="G4679" s="1">
        <v>45283</v>
      </c>
    </row>
    <row r="4680" spans="1:7">
      <c r="A4680" t="s">
        <v>11104</v>
      </c>
      <c r="B4680">
        <v>46</v>
      </c>
      <c r="C4680" t="s">
        <v>11105</v>
      </c>
      <c r="D4680">
        <v>114425</v>
      </c>
      <c r="E4680" t="s">
        <v>9</v>
      </c>
      <c r="F4680" t="s">
        <v>11106</v>
      </c>
      <c r="G4680" s="1">
        <v>45130</v>
      </c>
    </row>
    <row r="4681" spans="1:7">
      <c r="A4681" t="s">
        <v>11107</v>
      </c>
      <c r="B4681">
        <v>19</v>
      </c>
      <c r="C4681" t="s">
        <v>11108</v>
      </c>
      <c r="D4681">
        <v>161827</v>
      </c>
      <c r="E4681" t="s">
        <v>9</v>
      </c>
      <c r="F4681" t="s">
        <v>11109</v>
      </c>
      <c r="G4681" s="1">
        <v>44991</v>
      </c>
    </row>
    <row r="4682" spans="1:7">
      <c r="B4682">
        <v>62</v>
      </c>
      <c r="C4682" t="s">
        <v>11110</v>
      </c>
      <c r="D4682">
        <v>148248</v>
      </c>
      <c r="E4682" t="s">
        <v>358</v>
      </c>
      <c r="G4682" s="1">
        <v>45143</v>
      </c>
    </row>
    <row r="4683" spans="1:7">
      <c r="A4683" t="s">
        <v>11111</v>
      </c>
      <c r="B4683">
        <v>29</v>
      </c>
      <c r="C4683" t="s">
        <v>11112</v>
      </c>
      <c r="D4683">
        <v>124202</v>
      </c>
      <c r="E4683" t="s">
        <v>27</v>
      </c>
      <c r="F4683" t="s">
        <v>11113</v>
      </c>
      <c r="G4683" s="1">
        <v>45205</v>
      </c>
    </row>
    <row r="4684" spans="1:7">
      <c r="A4684" t="s">
        <v>11114</v>
      </c>
      <c r="B4684">
        <v>62</v>
      </c>
      <c r="C4684" t="s">
        <v>115</v>
      </c>
      <c r="D4684">
        <v>87042</v>
      </c>
      <c r="E4684" t="s">
        <v>9</v>
      </c>
      <c r="F4684" t="s">
        <v>11115</v>
      </c>
      <c r="G4684" s="1">
        <v>45228</v>
      </c>
    </row>
    <row r="4685" spans="1:7">
      <c r="B4685">
        <v>78</v>
      </c>
      <c r="C4685" t="s">
        <v>11116</v>
      </c>
      <c r="D4685">
        <v>149415</v>
      </c>
      <c r="E4685" t="s">
        <v>12</v>
      </c>
      <c r="F4685" t="s">
        <v>11117</v>
      </c>
      <c r="G4685" s="1">
        <v>45199</v>
      </c>
    </row>
    <row r="4686" spans="1:7">
      <c r="A4686" t="s">
        <v>11118</v>
      </c>
      <c r="B4686">
        <v>18</v>
      </c>
      <c r="C4686" t="s">
        <v>11119</v>
      </c>
      <c r="D4686">
        <v>79298</v>
      </c>
      <c r="E4686" t="s">
        <v>27</v>
      </c>
      <c r="F4686">
        <f>1-916-741-6477</f>
        <v>-8133</v>
      </c>
      <c r="G4686" t="s">
        <v>81</v>
      </c>
    </row>
    <row r="4687" spans="1:7">
      <c r="A4687" t="s">
        <v>11120</v>
      </c>
      <c r="B4687">
        <v>48</v>
      </c>
      <c r="C4687" t="s">
        <v>11121</v>
      </c>
      <c r="D4687">
        <v>97708</v>
      </c>
      <c r="E4687" t="s">
        <v>27</v>
      </c>
      <c r="F4687">
        <v>9249445534</v>
      </c>
      <c r="G4687" s="1">
        <v>45127</v>
      </c>
    </row>
    <row r="4688" spans="1:7">
      <c r="A4688" t="s">
        <v>11122</v>
      </c>
      <c r="B4688">
        <v>67</v>
      </c>
      <c r="C4688" t="s">
        <v>11123</v>
      </c>
      <c r="D4688">
        <v>137357</v>
      </c>
      <c r="E4688" t="s">
        <v>9</v>
      </c>
      <c r="F4688" t="s">
        <v>11124</v>
      </c>
      <c r="G4688" s="1">
        <v>45057</v>
      </c>
    </row>
    <row r="4689" spans="1:7">
      <c r="A4689" t="s">
        <v>11125</v>
      </c>
      <c r="B4689">
        <v>58</v>
      </c>
      <c r="C4689" t="s">
        <v>11126</v>
      </c>
      <c r="D4689">
        <v>116795</v>
      </c>
      <c r="E4689" t="s">
        <v>36</v>
      </c>
      <c r="F4689" t="s">
        <v>11127</v>
      </c>
      <c r="G4689" s="1">
        <v>45135</v>
      </c>
    </row>
    <row r="4690" spans="1:7">
      <c r="A4690" t="s">
        <v>2502</v>
      </c>
      <c r="B4690">
        <v>-10</v>
      </c>
      <c r="C4690" t="s">
        <v>11128</v>
      </c>
      <c r="D4690">
        <v>84319</v>
      </c>
      <c r="E4690" t="s">
        <v>9</v>
      </c>
      <c r="F4690" t="s">
        <v>11129</v>
      </c>
      <c r="G4690" s="1">
        <v>45172</v>
      </c>
    </row>
    <row r="4691" spans="1:7">
      <c r="A4691" t="s">
        <v>11130</v>
      </c>
      <c r="B4691">
        <v>29</v>
      </c>
      <c r="C4691" t="s">
        <v>11131</v>
      </c>
      <c r="D4691">
        <v>172767</v>
      </c>
      <c r="E4691" t="s">
        <v>27</v>
      </c>
      <c r="F4691" t="s">
        <v>11132</v>
      </c>
      <c r="G4691" s="1">
        <v>44999</v>
      </c>
    </row>
    <row r="4692" spans="1:7">
      <c r="A4692" t="s">
        <v>11133</v>
      </c>
      <c r="B4692">
        <v>500</v>
      </c>
      <c r="C4692" t="s">
        <v>11134</v>
      </c>
      <c r="D4692">
        <v>109622</v>
      </c>
      <c r="E4692" t="s">
        <v>36</v>
      </c>
      <c r="F4692">
        <f>1-523-622-5149</f>
        <v>-6293</v>
      </c>
      <c r="G4692" s="1">
        <v>45151</v>
      </c>
    </row>
    <row r="4693" spans="1:7">
      <c r="A4693" t="s">
        <v>11135</v>
      </c>
      <c r="B4693">
        <v>27</v>
      </c>
      <c r="C4693" t="s">
        <v>478</v>
      </c>
      <c r="E4693" t="s">
        <v>27</v>
      </c>
      <c r="F4693" t="s">
        <v>11136</v>
      </c>
      <c r="G4693" s="1">
        <v>44990</v>
      </c>
    </row>
    <row r="4694" spans="1:7">
      <c r="A4694" t="s">
        <v>11137</v>
      </c>
      <c r="B4694">
        <v>46</v>
      </c>
      <c r="C4694" t="s">
        <v>11138</v>
      </c>
      <c r="E4694" t="s">
        <v>27</v>
      </c>
      <c r="F4694" t="s">
        <v>11139</v>
      </c>
      <c r="G4694" s="1">
        <v>45211</v>
      </c>
    </row>
    <row r="4695" spans="1:7">
      <c r="A4695" t="s">
        <v>11140</v>
      </c>
      <c r="B4695">
        <v>72</v>
      </c>
      <c r="C4695" t="s">
        <v>11141</v>
      </c>
      <c r="D4695">
        <v>130846</v>
      </c>
      <c r="E4695" t="s">
        <v>36</v>
      </c>
      <c r="F4695" t="s">
        <v>11142</v>
      </c>
      <c r="G4695" s="1">
        <v>45192</v>
      </c>
    </row>
    <row r="4696" spans="1:7">
      <c r="A4696" t="s">
        <v>11143</v>
      </c>
      <c r="B4696">
        <v>72</v>
      </c>
      <c r="C4696" t="s">
        <v>17</v>
      </c>
      <c r="D4696">
        <v>57818</v>
      </c>
      <c r="E4696" t="s">
        <v>12</v>
      </c>
      <c r="F4696">
        <v>3728973181</v>
      </c>
      <c r="G4696" s="1">
        <v>45180</v>
      </c>
    </row>
    <row r="4697" spans="1:7">
      <c r="A4697" t="s">
        <v>11144</v>
      </c>
      <c r="B4697">
        <v>30</v>
      </c>
      <c r="C4697" t="s">
        <v>11145</v>
      </c>
      <c r="D4697">
        <v>143793</v>
      </c>
      <c r="E4697" t="s">
        <v>9</v>
      </c>
      <c r="F4697">
        <f>1-554-876-6146</f>
        <v>-7575</v>
      </c>
      <c r="G4697" s="1">
        <v>45174</v>
      </c>
    </row>
    <row r="4698" spans="1:7">
      <c r="A4698" t="s">
        <v>11146</v>
      </c>
      <c r="B4698">
        <v>77</v>
      </c>
      <c r="C4698" t="s">
        <v>11147</v>
      </c>
      <c r="D4698">
        <v>161060</v>
      </c>
      <c r="E4698" t="s">
        <v>358</v>
      </c>
      <c r="F4698">
        <v>5917357577</v>
      </c>
      <c r="G4698" t="s">
        <v>483</v>
      </c>
    </row>
    <row r="4699" spans="1:7">
      <c r="A4699" t="s">
        <v>11148</v>
      </c>
      <c r="B4699">
        <v>55</v>
      </c>
      <c r="C4699" t="s">
        <v>11149</v>
      </c>
      <c r="D4699">
        <v>101576</v>
      </c>
      <c r="E4699" t="s">
        <v>18</v>
      </c>
      <c r="G4699" s="1">
        <v>45190</v>
      </c>
    </row>
    <row r="4700" spans="1:7">
      <c r="A4700" t="s">
        <v>11150</v>
      </c>
      <c r="B4700">
        <v>43</v>
      </c>
      <c r="C4700" t="s">
        <v>11151</v>
      </c>
      <c r="D4700">
        <v>83311</v>
      </c>
      <c r="E4700" t="s">
        <v>527</v>
      </c>
      <c r="F4700">
        <f>1-659-985-2179</f>
        <v>-3822</v>
      </c>
      <c r="G4700" s="1">
        <v>45218</v>
      </c>
    </row>
    <row r="4701" spans="1:7">
      <c r="A4701" t="s">
        <v>11152</v>
      </c>
      <c r="B4701">
        <v>68</v>
      </c>
      <c r="C4701" t="s">
        <v>170</v>
      </c>
      <c r="D4701">
        <v>31481</v>
      </c>
      <c r="E4701" t="s">
        <v>27</v>
      </c>
      <c r="F4701" t="s">
        <v>11153</v>
      </c>
      <c r="G4701" s="1">
        <v>45108</v>
      </c>
    </row>
    <row r="4702" spans="1:7">
      <c r="A4702" t="s">
        <v>11154</v>
      </c>
      <c r="B4702">
        <v>60</v>
      </c>
      <c r="D4702">
        <v>40400</v>
      </c>
      <c r="E4702" t="s">
        <v>27</v>
      </c>
      <c r="F4702" t="s">
        <v>11155</v>
      </c>
      <c r="G4702" s="1">
        <v>44996</v>
      </c>
    </row>
    <row r="4703" spans="1:7">
      <c r="A4703" t="s">
        <v>11156</v>
      </c>
      <c r="B4703">
        <v>66</v>
      </c>
      <c r="D4703">
        <v>75890</v>
      </c>
      <c r="E4703" t="s">
        <v>18</v>
      </c>
      <c r="F4703" t="s">
        <v>11157</v>
      </c>
      <c r="G4703" s="1">
        <v>45068</v>
      </c>
    </row>
    <row r="4704" spans="1:7">
      <c r="A4704" t="s">
        <v>11158</v>
      </c>
      <c r="B4704">
        <v>62</v>
      </c>
      <c r="C4704" t="s">
        <v>11159</v>
      </c>
      <c r="D4704">
        <v>66110</v>
      </c>
      <c r="E4704" t="s">
        <v>36</v>
      </c>
      <c r="F4704" t="s">
        <v>11160</v>
      </c>
      <c r="G4704" s="1">
        <v>44932</v>
      </c>
    </row>
    <row r="4705" spans="1:7">
      <c r="B4705">
        <v>58</v>
      </c>
      <c r="C4705" t="s">
        <v>11161</v>
      </c>
      <c r="D4705">
        <v>192246</v>
      </c>
      <c r="E4705" t="s">
        <v>36</v>
      </c>
      <c r="F4705">
        <v>5546230531</v>
      </c>
      <c r="G4705" s="1">
        <v>44928</v>
      </c>
    </row>
    <row r="4706" spans="1:7">
      <c r="A4706" t="s">
        <v>11162</v>
      </c>
      <c r="B4706">
        <v>-5</v>
      </c>
      <c r="C4706" t="s">
        <v>11163</v>
      </c>
      <c r="D4706">
        <v>41801</v>
      </c>
      <c r="E4706" t="s">
        <v>12</v>
      </c>
      <c r="F4706" t="s">
        <v>11164</v>
      </c>
      <c r="G4706" s="1">
        <v>45080</v>
      </c>
    </row>
    <row r="4707" spans="1:7">
      <c r="A4707" t="s">
        <v>2542</v>
      </c>
      <c r="B4707">
        <v>22</v>
      </c>
      <c r="C4707" t="s">
        <v>11165</v>
      </c>
      <c r="D4707">
        <v>76922</v>
      </c>
      <c r="E4707" t="s">
        <v>27</v>
      </c>
      <c r="F4707" t="s">
        <v>11166</v>
      </c>
      <c r="G4707" s="1">
        <v>45036</v>
      </c>
    </row>
    <row r="4708" spans="1:7">
      <c r="A4708" t="s">
        <v>11167</v>
      </c>
      <c r="B4708">
        <v>24</v>
      </c>
      <c r="C4708" t="s">
        <v>11168</v>
      </c>
      <c r="D4708">
        <v>167263</v>
      </c>
      <c r="E4708" t="s">
        <v>9</v>
      </c>
      <c r="F4708">
        <f>1-691-373-3157</f>
        <v>-4220</v>
      </c>
      <c r="G4708" s="1">
        <v>45109</v>
      </c>
    </row>
    <row r="4709" spans="1:7">
      <c r="A4709" t="s">
        <v>11169</v>
      </c>
      <c r="B4709">
        <v>24</v>
      </c>
      <c r="C4709" t="s">
        <v>594</v>
      </c>
      <c r="D4709">
        <v>144397</v>
      </c>
      <c r="E4709" t="s">
        <v>9</v>
      </c>
      <c r="F4709">
        <v>4309260670</v>
      </c>
      <c r="G4709" s="1">
        <v>45179</v>
      </c>
    </row>
    <row r="4710" spans="1:7">
      <c r="A4710" t="s">
        <v>11170</v>
      </c>
      <c r="B4710">
        <v>39</v>
      </c>
      <c r="C4710" t="s">
        <v>11171</v>
      </c>
      <c r="D4710">
        <v>30992</v>
      </c>
      <c r="E4710" t="s">
        <v>9</v>
      </c>
      <c r="F4710">
        <f>1-151-977-1183</f>
        <v>-2310</v>
      </c>
      <c r="G4710" s="1">
        <v>45189</v>
      </c>
    </row>
    <row r="4711" spans="1:7">
      <c r="A4711" t="s">
        <v>11172</v>
      </c>
      <c r="B4711">
        <v>40</v>
      </c>
      <c r="D4711">
        <v>83218</v>
      </c>
      <c r="E4711" t="s">
        <v>12</v>
      </c>
      <c r="F4711" t="s">
        <v>11173</v>
      </c>
      <c r="G4711" s="1">
        <v>45218</v>
      </c>
    </row>
    <row r="4712" spans="1:7">
      <c r="A4712" t="s">
        <v>11174</v>
      </c>
      <c r="B4712">
        <v>63</v>
      </c>
      <c r="C4712" t="s">
        <v>11175</v>
      </c>
      <c r="D4712">
        <v>53065</v>
      </c>
      <c r="E4712" t="s">
        <v>36</v>
      </c>
      <c r="F4712" t="s">
        <v>11176</v>
      </c>
      <c r="G4712" s="1">
        <v>45162</v>
      </c>
    </row>
    <row r="4713" spans="1:7">
      <c r="A4713" t="s">
        <v>11177</v>
      </c>
      <c r="B4713">
        <v>30</v>
      </c>
      <c r="C4713" t="s">
        <v>11178</v>
      </c>
      <c r="D4713">
        <v>87442</v>
      </c>
      <c r="F4713" t="s">
        <v>11179</v>
      </c>
      <c r="G4713" s="1">
        <v>45185</v>
      </c>
    </row>
    <row r="4714" spans="1:7">
      <c r="A4714" t="s">
        <v>4182</v>
      </c>
      <c r="B4714">
        <v>58</v>
      </c>
      <c r="C4714" t="s">
        <v>11180</v>
      </c>
      <c r="D4714">
        <v>66404</v>
      </c>
      <c r="E4714" t="s">
        <v>36</v>
      </c>
      <c r="F4714" t="s">
        <v>11181</v>
      </c>
      <c r="G4714" s="1">
        <v>45111</v>
      </c>
    </row>
    <row r="4715" spans="1:7">
      <c r="A4715" t="s">
        <v>11182</v>
      </c>
      <c r="B4715">
        <v>150</v>
      </c>
      <c r="C4715" t="s">
        <v>11183</v>
      </c>
      <c r="E4715" t="s">
        <v>36</v>
      </c>
      <c r="F4715" t="s">
        <v>11184</v>
      </c>
      <c r="G4715" s="1">
        <v>45055</v>
      </c>
    </row>
    <row r="4716" spans="1:7">
      <c r="A4716" t="s">
        <v>11185</v>
      </c>
      <c r="B4716">
        <v>70</v>
      </c>
      <c r="C4716" t="s">
        <v>11186</v>
      </c>
      <c r="D4716">
        <v>30287</v>
      </c>
      <c r="E4716" t="s">
        <v>27</v>
      </c>
      <c r="F4716" t="s">
        <v>11187</v>
      </c>
      <c r="G4716" s="1">
        <v>45123</v>
      </c>
    </row>
    <row r="4717" spans="1:7">
      <c r="A4717" t="s">
        <v>11188</v>
      </c>
      <c r="B4717">
        <v>61</v>
      </c>
      <c r="C4717" t="s">
        <v>11189</v>
      </c>
      <c r="D4717">
        <v>184692</v>
      </c>
      <c r="E4717" t="s">
        <v>12</v>
      </c>
      <c r="F4717">
        <f>1-800-762-8506</f>
        <v>-10067</v>
      </c>
      <c r="G4717" s="1">
        <v>44990</v>
      </c>
    </row>
    <row r="4718" spans="1:7">
      <c r="A4718" t="s">
        <v>11190</v>
      </c>
      <c r="B4718">
        <v>54</v>
      </c>
      <c r="C4718" t="s">
        <v>11191</v>
      </c>
      <c r="D4718">
        <v>50855</v>
      </c>
      <c r="E4718" t="s">
        <v>36</v>
      </c>
      <c r="F4718">
        <v>6752211372</v>
      </c>
      <c r="G4718" s="1">
        <v>45151</v>
      </c>
    </row>
    <row r="4719" spans="1:7">
      <c r="A4719" t="s">
        <v>11192</v>
      </c>
      <c r="B4719">
        <v>62</v>
      </c>
      <c r="C4719" t="s">
        <v>11193</v>
      </c>
      <c r="D4719">
        <v>34042</v>
      </c>
      <c r="E4719" t="s">
        <v>36</v>
      </c>
      <c r="F4719">
        <f>1-204-613-7519</f>
        <v>-8335</v>
      </c>
      <c r="G4719" s="1">
        <v>45050</v>
      </c>
    </row>
    <row r="4720" spans="1:7">
      <c r="A4720" t="s">
        <v>11194</v>
      </c>
      <c r="B4720">
        <v>58</v>
      </c>
      <c r="C4720" t="s">
        <v>11195</v>
      </c>
      <c r="D4720">
        <v>163172</v>
      </c>
      <c r="E4720" t="s">
        <v>12</v>
      </c>
      <c r="F4720">
        <v>9811640292</v>
      </c>
      <c r="G4720" s="1">
        <v>45147</v>
      </c>
    </row>
    <row r="4721" spans="1:7">
      <c r="A4721" t="s">
        <v>11196</v>
      </c>
      <c r="B4721">
        <v>38</v>
      </c>
      <c r="C4721" t="s">
        <v>11197</v>
      </c>
      <c r="D4721">
        <v>-10000</v>
      </c>
      <c r="E4721" t="s">
        <v>9</v>
      </c>
      <c r="F4721">
        <v>7933649196</v>
      </c>
      <c r="G4721" s="1">
        <v>45036</v>
      </c>
    </row>
    <row r="4722" spans="1:7">
      <c r="A4722" t="s">
        <v>11198</v>
      </c>
      <c r="B4722">
        <v>51</v>
      </c>
      <c r="C4722" t="s">
        <v>11199</v>
      </c>
      <c r="D4722">
        <v>77801</v>
      </c>
      <c r="E4722" t="s">
        <v>9</v>
      </c>
      <c r="F4722" t="s">
        <v>11200</v>
      </c>
      <c r="G4722" s="1">
        <v>45249</v>
      </c>
    </row>
    <row r="4723" spans="1:7">
      <c r="A4723" t="s">
        <v>7861</v>
      </c>
      <c r="B4723">
        <v>65</v>
      </c>
      <c r="C4723" t="s">
        <v>7862</v>
      </c>
      <c r="D4723">
        <v>108863</v>
      </c>
      <c r="E4723" t="s">
        <v>36</v>
      </c>
      <c r="F4723">
        <v>5976159420</v>
      </c>
      <c r="G4723" s="1">
        <v>45033</v>
      </c>
    </row>
    <row r="4724" spans="1:7">
      <c r="A4724" t="s">
        <v>11201</v>
      </c>
      <c r="B4724">
        <v>21</v>
      </c>
      <c r="C4724" t="s">
        <v>11202</v>
      </c>
      <c r="D4724">
        <v>138255</v>
      </c>
      <c r="E4724" t="s">
        <v>27</v>
      </c>
      <c r="F4724" t="s">
        <v>11203</v>
      </c>
      <c r="G4724" s="1">
        <v>45012</v>
      </c>
    </row>
    <row r="4725" spans="1:7">
      <c r="A4725" t="s">
        <v>11204</v>
      </c>
      <c r="B4725">
        <v>22</v>
      </c>
      <c r="C4725" t="s">
        <v>11205</v>
      </c>
      <c r="D4725">
        <v>107299</v>
      </c>
      <c r="E4725" t="s">
        <v>9</v>
      </c>
      <c r="F4725" t="s">
        <v>11206</v>
      </c>
      <c r="G4725" s="1">
        <v>45195</v>
      </c>
    </row>
    <row r="4726" spans="1:7">
      <c r="A4726" t="s">
        <v>11207</v>
      </c>
      <c r="B4726">
        <v>21</v>
      </c>
      <c r="C4726" t="s">
        <v>11208</v>
      </c>
      <c r="D4726">
        <v>134186</v>
      </c>
      <c r="E4726" t="s">
        <v>27</v>
      </c>
      <c r="F4726">
        <f>1-498-587-1205</f>
        <v>-2289</v>
      </c>
      <c r="G4726" t="s">
        <v>180</v>
      </c>
    </row>
    <row r="4727" spans="1:7">
      <c r="A4727" t="s">
        <v>356</v>
      </c>
      <c r="B4727">
        <v>77</v>
      </c>
      <c r="C4727" t="s">
        <v>11209</v>
      </c>
      <c r="D4727">
        <v>-20000</v>
      </c>
      <c r="E4727" t="s">
        <v>36</v>
      </c>
      <c r="F4727" t="s">
        <v>11210</v>
      </c>
      <c r="G4727" s="1">
        <v>45240</v>
      </c>
    </row>
    <row r="4728" spans="1:7">
      <c r="A4728" t="s">
        <v>11211</v>
      </c>
      <c r="B4728">
        <v>21</v>
      </c>
      <c r="C4728" t="s">
        <v>11212</v>
      </c>
      <c r="D4728">
        <v>49610</v>
      </c>
      <c r="E4728" t="s">
        <v>9</v>
      </c>
      <c r="G4728" s="1">
        <v>44984</v>
      </c>
    </row>
    <row r="4729" spans="1:7">
      <c r="A4729" t="s">
        <v>11213</v>
      </c>
      <c r="B4729">
        <v>20</v>
      </c>
      <c r="C4729" t="s">
        <v>11214</v>
      </c>
      <c r="D4729">
        <v>133423</v>
      </c>
      <c r="E4729" t="s">
        <v>27</v>
      </c>
      <c r="F4729" t="s">
        <v>11215</v>
      </c>
      <c r="G4729" s="1">
        <v>45112</v>
      </c>
    </row>
    <row r="4730" spans="1:7">
      <c r="A4730" t="s">
        <v>11216</v>
      </c>
      <c r="B4730">
        <v>64</v>
      </c>
      <c r="D4730">
        <v>77819</v>
      </c>
      <c r="E4730" t="s">
        <v>12</v>
      </c>
      <c r="F4730">
        <f>1-155-942-1448</f>
        <v>-2544</v>
      </c>
      <c r="G4730" s="1">
        <v>45007</v>
      </c>
    </row>
    <row r="4731" spans="1:7">
      <c r="A4731" t="s">
        <v>11217</v>
      </c>
      <c r="B4731">
        <v>75</v>
      </c>
      <c r="C4731" t="s">
        <v>11218</v>
      </c>
      <c r="D4731">
        <v>148490</v>
      </c>
      <c r="E4731" t="s">
        <v>49</v>
      </c>
      <c r="F4731" t="s">
        <v>11219</v>
      </c>
      <c r="G4731" s="1">
        <v>45131</v>
      </c>
    </row>
    <row r="4732" spans="1:7">
      <c r="A4732" t="s">
        <v>4652</v>
      </c>
      <c r="B4732">
        <v>55</v>
      </c>
      <c r="C4732" t="s">
        <v>11220</v>
      </c>
      <c r="D4732">
        <v>189876</v>
      </c>
      <c r="E4732" t="s">
        <v>27</v>
      </c>
      <c r="F4732" t="s">
        <v>11221</v>
      </c>
      <c r="G4732" s="1">
        <v>45152</v>
      </c>
    </row>
    <row r="4733" spans="1:7">
      <c r="A4733" t="s">
        <v>11222</v>
      </c>
      <c r="B4733">
        <v>49</v>
      </c>
      <c r="C4733" t="s">
        <v>389</v>
      </c>
      <c r="D4733">
        <v>114388</v>
      </c>
      <c r="F4733" t="s">
        <v>11223</v>
      </c>
      <c r="G4733" s="1">
        <v>45250</v>
      </c>
    </row>
    <row r="4734" spans="1:7">
      <c r="A4734" t="s">
        <v>11224</v>
      </c>
      <c r="B4734">
        <v>69</v>
      </c>
      <c r="C4734" t="s">
        <v>11225</v>
      </c>
      <c r="D4734">
        <v>187699</v>
      </c>
      <c r="E4734" t="s">
        <v>36</v>
      </c>
      <c r="F4734" t="s">
        <v>11226</v>
      </c>
      <c r="G4734" s="1">
        <v>44998</v>
      </c>
    </row>
    <row r="4735" spans="1:7">
      <c r="A4735" t="s">
        <v>11227</v>
      </c>
      <c r="B4735">
        <v>68</v>
      </c>
      <c r="C4735" t="s">
        <v>170</v>
      </c>
      <c r="D4735">
        <v>168562</v>
      </c>
      <c r="E4735" t="s">
        <v>9</v>
      </c>
      <c r="F4735" t="s">
        <v>11228</v>
      </c>
      <c r="G4735" s="1">
        <v>45226</v>
      </c>
    </row>
    <row r="4736" spans="1:7">
      <c r="A4736" t="s">
        <v>11229</v>
      </c>
      <c r="B4736">
        <v>67</v>
      </c>
      <c r="C4736" t="s">
        <v>11230</v>
      </c>
      <c r="D4736">
        <v>163175</v>
      </c>
      <c r="E4736" t="s">
        <v>12</v>
      </c>
      <c r="F4736" t="s">
        <v>11231</v>
      </c>
      <c r="G4736" s="1">
        <v>45031</v>
      </c>
    </row>
    <row r="4737" spans="1:7">
      <c r="A4737" t="s">
        <v>11232</v>
      </c>
      <c r="B4737">
        <v>53</v>
      </c>
      <c r="C4737" t="s">
        <v>11233</v>
      </c>
      <c r="D4737">
        <v>197516</v>
      </c>
      <c r="E4737" t="s">
        <v>9</v>
      </c>
      <c r="F4737">
        <v>3655081209</v>
      </c>
      <c r="G4737" s="1">
        <v>45034</v>
      </c>
    </row>
    <row r="4738" spans="1:7">
      <c r="A4738" t="s">
        <v>8323</v>
      </c>
      <c r="B4738">
        <v>43</v>
      </c>
      <c r="C4738" t="s">
        <v>8324</v>
      </c>
      <c r="D4738">
        <v>121328</v>
      </c>
      <c r="E4738" t="s">
        <v>36</v>
      </c>
      <c r="F4738" t="s">
        <v>8325</v>
      </c>
      <c r="G4738" t="s">
        <v>483</v>
      </c>
    </row>
    <row r="4739" spans="1:7">
      <c r="A4739" t="s">
        <v>11234</v>
      </c>
      <c r="B4739">
        <v>74</v>
      </c>
      <c r="E4739" t="s">
        <v>12</v>
      </c>
      <c r="F4739" t="s">
        <v>11235</v>
      </c>
      <c r="G4739" s="1">
        <v>45228</v>
      </c>
    </row>
    <row r="4740" spans="1:7">
      <c r="A4740" t="s">
        <v>11236</v>
      </c>
      <c r="C4740" t="s">
        <v>11237</v>
      </c>
      <c r="D4740">
        <v>168421</v>
      </c>
      <c r="E4740" t="s">
        <v>27</v>
      </c>
      <c r="F4740" t="s">
        <v>11238</v>
      </c>
      <c r="G4740" s="1">
        <v>45056</v>
      </c>
    </row>
    <row r="4741" spans="1:7">
      <c r="A4741" t="s">
        <v>11239</v>
      </c>
      <c r="B4741">
        <v>79</v>
      </c>
      <c r="C4741" t="s">
        <v>11240</v>
      </c>
      <c r="D4741">
        <v>39121</v>
      </c>
      <c r="E4741" t="s">
        <v>36</v>
      </c>
      <c r="F4741" t="s">
        <v>11241</v>
      </c>
      <c r="G4741" s="1">
        <v>45095</v>
      </c>
    </row>
    <row r="4742" spans="1:7">
      <c r="A4742" t="s">
        <v>11242</v>
      </c>
      <c r="B4742">
        <v>34</v>
      </c>
      <c r="C4742" t="s">
        <v>11243</v>
      </c>
      <c r="D4742">
        <v>74254</v>
      </c>
      <c r="E4742" t="s">
        <v>36</v>
      </c>
      <c r="F4742" t="s">
        <v>11244</v>
      </c>
      <c r="G4742" s="1">
        <v>45204</v>
      </c>
    </row>
    <row r="4743" spans="1:7">
      <c r="A4743" t="s">
        <v>11245</v>
      </c>
      <c r="B4743">
        <v>53</v>
      </c>
      <c r="C4743" t="s">
        <v>11246</v>
      </c>
      <c r="D4743">
        <v>0</v>
      </c>
      <c r="E4743" t="s">
        <v>9</v>
      </c>
      <c r="F4743">
        <f>1-443-573-7782</f>
        <v>-8797</v>
      </c>
      <c r="G4743" s="1">
        <v>45200</v>
      </c>
    </row>
    <row r="4744" spans="1:7">
      <c r="A4744" t="s">
        <v>11247</v>
      </c>
      <c r="B4744">
        <v>61</v>
      </c>
      <c r="C4744" t="s">
        <v>11248</v>
      </c>
      <c r="D4744">
        <v>51209</v>
      </c>
      <c r="E4744" t="s">
        <v>27</v>
      </c>
      <c r="F4744" t="s">
        <v>11249</v>
      </c>
      <c r="G4744" s="1">
        <v>45121</v>
      </c>
    </row>
    <row r="4745" spans="1:7">
      <c r="A4745" t="s">
        <v>11250</v>
      </c>
      <c r="B4745">
        <v>18</v>
      </c>
      <c r="C4745" t="s">
        <v>11251</v>
      </c>
      <c r="D4745">
        <v>115474</v>
      </c>
      <c r="E4745" t="s">
        <v>9</v>
      </c>
      <c r="F4745">
        <v>6686166474</v>
      </c>
      <c r="G4745" s="1">
        <v>45276</v>
      </c>
    </row>
    <row r="4746" spans="1:7">
      <c r="A4746" t="s">
        <v>11252</v>
      </c>
      <c r="B4746">
        <v>56</v>
      </c>
      <c r="C4746" t="s">
        <v>11253</v>
      </c>
      <c r="D4746">
        <v>143650</v>
      </c>
      <c r="E4746" t="s">
        <v>358</v>
      </c>
      <c r="F4746" t="s">
        <v>11254</v>
      </c>
      <c r="G4746" s="1">
        <v>45065</v>
      </c>
    </row>
    <row r="4747" spans="1:7">
      <c r="A4747" t="s">
        <v>11255</v>
      </c>
      <c r="B4747">
        <v>26</v>
      </c>
      <c r="C4747" t="s">
        <v>11256</v>
      </c>
      <c r="D4747">
        <v>109795</v>
      </c>
      <c r="E4747" t="s">
        <v>27</v>
      </c>
      <c r="F4747" t="s">
        <v>11257</v>
      </c>
      <c r="G4747" s="1">
        <v>45135</v>
      </c>
    </row>
    <row r="4748" spans="1:7">
      <c r="A4748" t="s">
        <v>11258</v>
      </c>
      <c r="B4748">
        <v>71</v>
      </c>
      <c r="C4748" t="s">
        <v>11259</v>
      </c>
      <c r="D4748">
        <v>53290</v>
      </c>
      <c r="E4748" t="s">
        <v>36</v>
      </c>
      <c r="F4748" t="s">
        <v>11260</v>
      </c>
      <c r="G4748" s="1">
        <v>44968</v>
      </c>
    </row>
    <row r="4749" spans="1:7">
      <c r="A4749" t="s">
        <v>11261</v>
      </c>
      <c r="B4749">
        <v>-25</v>
      </c>
      <c r="C4749" t="s">
        <v>11262</v>
      </c>
      <c r="D4749">
        <v>139162</v>
      </c>
      <c r="E4749" t="s">
        <v>27</v>
      </c>
      <c r="F4749">
        <v>8527472128</v>
      </c>
      <c r="G4749" s="1">
        <v>45083</v>
      </c>
    </row>
    <row r="4750" spans="1:7">
      <c r="A4750" t="s">
        <v>11263</v>
      </c>
      <c r="B4750">
        <v>61</v>
      </c>
      <c r="C4750" t="s">
        <v>11264</v>
      </c>
      <c r="D4750">
        <v>138272</v>
      </c>
      <c r="E4750" t="s">
        <v>27</v>
      </c>
      <c r="F4750" t="s">
        <v>11265</v>
      </c>
      <c r="G4750" s="1">
        <v>45032</v>
      </c>
    </row>
    <row r="4751" spans="1:7">
      <c r="A4751" t="s">
        <v>11266</v>
      </c>
      <c r="B4751">
        <v>21</v>
      </c>
      <c r="D4751">
        <v>47143</v>
      </c>
      <c r="E4751" t="s">
        <v>12</v>
      </c>
      <c r="F4751">
        <v>7935843605</v>
      </c>
      <c r="G4751" s="1">
        <v>45163</v>
      </c>
    </row>
    <row r="4752" spans="1:7">
      <c r="A4752" t="s">
        <v>11267</v>
      </c>
      <c r="B4752">
        <v>67</v>
      </c>
      <c r="C4752" t="s">
        <v>61</v>
      </c>
      <c r="D4752">
        <v>98116</v>
      </c>
      <c r="E4752" t="s">
        <v>36</v>
      </c>
      <c r="F4752" t="s">
        <v>11268</v>
      </c>
      <c r="G4752" s="1">
        <v>45211</v>
      </c>
    </row>
    <row r="4753" spans="1:7">
      <c r="A4753" t="s">
        <v>8953</v>
      </c>
      <c r="B4753">
        <v>77</v>
      </c>
      <c r="D4753">
        <v>180653</v>
      </c>
      <c r="E4753" t="s">
        <v>27</v>
      </c>
      <c r="F4753" t="s">
        <v>11269</v>
      </c>
      <c r="G4753" s="1">
        <v>45043</v>
      </c>
    </row>
    <row r="4754" spans="1:7">
      <c r="A4754" t="s">
        <v>10402</v>
      </c>
      <c r="B4754">
        <v>46</v>
      </c>
      <c r="C4754" t="s">
        <v>11270</v>
      </c>
      <c r="E4754" t="s">
        <v>27</v>
      </c>
      <c r="F4754" t="s">
        <v>11271</v>
      </c>
      <c r="G4754" s="1">
        <v>45102</v>
      </c>
    </row>
    <row r="4755" spans="1:7">
      <c r="A4755" t="s">
        <v>11272</v>
      </c>
      <c r="B4755">
        <v>25</v>
      </c>
      <c r="C4755" t="s">
        <v>11273</v>
      </c>
      <c r="D4755">
        <v>177878</v>
      </c>
      <c r="E4755" t="s">
        <v>27</v>
      </c>
      <c r="G4755" s="1">
        <v>45071</v>
      </c>
    </row>
    <row r="4756" spans="1:7">
      <c r="A4756" t="s">
        <v>11274</v>
      </c>
      <c r="B4756">
        <v>66</v>
      </c>
      <c r="C4756" t="s">
        <v>11275</v>
      </c>
      <c r="E4756" t="s">
        <v>27</v>
      </c>
      <c r="F4756" t="s">
        <v>11276</v>
      </c>
      <c r="G4756" s="1">
        <v>44947</v>
      </c>
    </row>
    <row r="4757" spans="1:7">
      <c r="A4757" t="s">
        <v>11277</v>
      </c>
      <c r="B4757">
        <v>26</v>
      </c>
      <c r="C4757" t="s">
        <v>11278</v>
      </c>
      <c r="D4757">
        <v>144938</v>
      </c>
      <c r="E4757" t="s">
        <v>12</v>
      </c>
      <c r="F4757" t="s">
        <v>11279</v>
      </c>
      <c r="G4757" s="1">
        <v>44927</v>
      </c>
    </row>
    <row r="4758" spans="1:7">
      <c r="A4758" t="s">
        <v>11280</v>
      </c>
      <c r="B4758">
        <v>70</v>
      </c>
      <c r="C4758" t="s">
        <v>11281</v>
      </c>
      <c r="E4758" t="s">
        <v>36</v>
      </c>
      <c r="F4758" t="s">
        <v>11282</v>
      </c>
      <c r="G4758" s="1">
        <v>45085</v>
      </c>
    </row>
    <row r="4759" spans="1:7">
      <c r="A4759" t="s">
        <v>10365</v>
      </c>
      <c r="B4759">
        <v>75</v>
      </c>
      <c r="C4759" t="s">
        <v>11283</v>
      </c>
      <c r="D4759">
        <v>52010</v>
      </c>
      <c r="E4759" t="s">
        <v>36</v>
      </c>
      <c r="F4759" t="s">
        <v>11284</v>
      </c>
      <c r="G4759" s="1">
        <v>44962</v>
      </c>
    </row>
    <row r="4760" spans="1:7">
      <c r="A4760" t="s">
        <v>11285</v>
      </c>
      <c r="B4760">
        <v>19</v>
      </c>
      <c r="C4760" t="s">
        <v>11286</v>
      </c>
      <c r="D4760">
        <v>39343</v>
      </c>
      <c r="E4760" t="s">
        <v>9</v>
      </c>
      <c r="F4760">
        <v>4728095498</v>
      </c>
      <c r="G4760" s="1">
        <v>45086</v>
      </c>
    </row>
    <row r="4761" spans="1:7">
      <c r="A4761" t="s">
        <v>11287</v>
      </c>
      <c r="B4761">
        <v>67</v>
      </c>
      <c r="C4761" t="s">
        <v>11288</v>
      </c>
      <c r="D4761">
        <v>92699</v>
      </c>
      <c r="E4761" t="s">
        <v>9</v>
      </c>
      <c r="F4761" t="s">
        <v>11289</v>
      </c>
      <c r="G4761" t="s">
        <v>483</v>
      </c>
    </row>
    <row r="4762" spans="1:7">
      <c r="A4762" t="s">
        <v>11290</v>
      </c>
      <c r="B4762">
        <v>22</v>
      </c>
      <c r="C4762" t="s">
        <v>11291</v>
      </c>
      <c r="D4762">
        <v>100198</v>
      </c>
      <c r="E4762" t="s">
        <v>873</v>
      </c>
      <c r="F4762" t="s">
        <v>11292</v>
      </c>
      <c r="G4762" s="1">
        <v>45168</v>
      </c>
    </row>
    <row r="4763" spans="1:7">
      <c r="A4763" t="s">
        <v>11293</v>
      </c>
      <c r="B4763">
        <v>70</v>
      </c>
      <c r="C4763" t="s">
        <v>11294</v>
      </c>
      <c r="D4763">
        <v>34782</v>
      </c>
      <c r="E4763" t="s">
        <v>12</v>
      </c>
      <c r="F4763">
        <f>1-736-586-9924</f>
        <v>-11245</v>
      </c>
      <c r="G4763" s="1">
        <v>44940</v>
      </c>
    </row>
    <row r="4764" spans="1:7">
      <c r="A4764" t="s">
        <v>11295</v>
      </c>
      <c r="B4764">
        <v>68</v>
      </c>
      <c r="C4764" t="s">
        <v>11296</v>
      </c>
      <c r="D4764">
        <v>65757</v>
      </c>
      <c r="E4764" t="s">
        <v>9</v>
      </c>
      <c r="F4764" t="s">
        <v>11297</v>
      </c>
      <c r="G4764" s="1">
        <v>45018</v>
      </c>
    </row>
    <row r="4765" spans="1:7">
      <c r="A4765" t="s">
        <v>11298</v>
      </c>
      <c r="B4765">
        <v>63</v>
      </c>
      <c r="C4765" t="s">
        <v>169</v>
      </c>
      <c r="D4765">
        <v>113014</v>
      </c>
      <c r="E4765" t="s">
        <v>9</v>
      </c>
      <c r="F4765">
        <f>1-557-919-6149</f>
        <v>-7624</v>
      </c>
      <c r="G4765" s="1">
        <v>45160</v>
      </c>
    </row>
    <row r="4766" spans="1:7">
      <c r="A4766" t="s">
        <v>11299</v>
      </c>
      <c r="B4766">
        <v>30</v>
      </c>
      <c r="C4766" t="s">
        <v>299</v>
      </c>
      <c r="E4766" t="s">
        <v>36</v>
      </c>
      <c r="F4766" t="s">
        <v>11300</v>
      </c>
      <c r="G4766" s="1">
        <v>45067</v>
      </c>
    </row>
    <row r="4767" spans="1:7">
      <c r="A4767" t="s">
        <v>11301</v>
      </c>
      <c r="B4767">
        <v>74</v>
      </c>
      <c r="C4767" t="s">
        <v>11302</v>
      </c>
      <c r="D4767">
        <v>74678</v>
      </c>
      <c r="E4767" t="s">
        <v>36</v>
      </c>
      <c r="F4767" t="s">
        <v>11303</v>
      </c>
      <c r="G4767" s="1">
        <v>45118</v>
      </c>
    </row>
    <row r="4768" spans="1:7">
      <c r="A4768" t="s">
        <v>11304</v>
      </c>
      <c r="B4768">
        <v>57</v>
      </c>
      <c r="C4768" t="s">
        <v>11305</v>
      </c>
      <c r="D4768">
        <v>61480</v>
      </c>
      <c r="E4768" t="s">
        <v>12</v>
      </c>
      <c r="F4768" t="s">
        <v>11306</v>
      </c>
      <c r="G4768" s="1">
        <v>45152</v>
      </c>
    </row>
    <row r="4769" spans="1:7">
      <c r="A4769" t="s">
        <v>11307</v>
      </c>
      <c r="B4769">
        <v>24</v>
      </c>
      <c r="C4769" t="s">
        <v>11308</v>
      </c>
      <c r="D4769">
        <v>196742</v>
      </c>
      <c r="E4769" t="s">
        <v>9</v>
      </c>
      <c r="F4769" t="s">
        <v>11309</v>
      </c>
      <c r="G4769" s="1">
        <v>45162</v>
      </c>
    </row>
    <row r="4770" spans="1:7">
      <c r="A4770" t="s">
        <v>11310</v>
      </c>
      <c r="B4770">
        <v>65</v>
      </c>
      <c r="C4770" t="s">
        <v>61</v>
      </c>
      <c r="D4770">
        <v>60431</v>
      </c>
      <c r="E4770" t="s">
        <v>9</v>
      </c>
      <c r="F4770" t="s">
        <v>11311</v>
      </c>
      <c r="G4770" s="1">
        <v>44985</v>
      </c>
    </row>
    <row r="4771" spans="1:7">
      <c r="A4771" t="s">
        <v>11312</v>
      </c>
      <c r="B4771">
        <v>38</v>
      </c>
      <c r="C4771" t="s">
        <v>11313</v>
      </c>
      <c r="D4771">
        <v>40737</v>
      </c>
      <c r="E4771" t="s">
        <v>27</v>
      </c>
      <c r="F4771" t="s">
        <v>11314</v>
      </c>
      <c r="G4771" s="1">
        <v>45017</v>
      </c>
    </row>
    <row r="4772" spans="1:7">
      <c r="A4772" t="s">
        <v>11315</v>
      </c>
      <c r="B4772">
        <v>67</v>
      </c>
      <c r="C4772" t="s">
        <v>11316</v>
      </c>
      <c r="D4772">
        <v>117923</v>
      </c>
      <c r="E4772" t="s">
        <v>9</v>
      </c>
      <c r="F4772" t="s">
        <v>11317</v>
      </c>
      <c r="G4772" s="1">
        <v>45244</v>
      </c>
    </row>
    <row r="4773" spans="1:7">
      <c r="A4773" t="s">
        <v>11318</v>
      </c>
      <c r="C4773" t="s">
        <v>11319</v>
      </c>
      <c r="D4773">
        <v>35666</v>
      </c>
      <c r="E4773" t="s">
        <v>9</v>
      </c>
      <c r="F4773">
        <v>6125551262</v>
      </c>
      <c r="G4773" s="1">
        <v>45180</v>
      </c>
    </row>
    <row r="4774" spans="1:7">
      <c r="A4774" t="s">
        <v>6542</v>
      </c>
      <c r="B4774">
        <v>77</v>
      </c>
      <c r="C4774" t="s">
        <v>11320</v>
      </c>
      <c r="D4774">
        <v>192007</v>
      </c>
      <c r="E4774" t="s">
        <v>9</v>
      </c>
      <c r="F4774" t="s">
        <v>11321</v>
      </c>
    </row>
    <row r="4775" spans="1:7">
      <c r="A4775" t="s">
        <v>11322</v>
      </c>
      <c r="B4775">
        <v>41</v>
      </c>
      <c r="C4775" t="s">
        <v>11323</v>
      </c>
      <c r="D4775">
        <v>71081</v>
      </c>
      <c r="E4775" t="s">
        <v>27</v>
      </c>
      <c r="F4775" t="s">
        <v>11324</v>
      </c>
      <c r="G4775" s="1">
        <v>45137</v>
      </c>
    </row>
    <row r="4776" spans="1:7">
      <c r="A4776" t="s">
        <v>11325</v>
      </c>
      <c r="B4776">
        <v>65</v>
      </c>
      <c r="C4776" t="s">
        <v>11326</v>
      </c>
      <c r="D4776">
        <v>114363</v>
      </c>
      <c r="E4776" t="s">
        <v>18</v>
      </c>
      <c r="F4776" t="s">
        <v>11327</v>
      </c>
      <c r="G4776" s="1">
        <v>45068</v>
      </c>
    </row>
    <row r="4777" spans="1:7">
      <c r="A4777" t="s">
        <v>5558</v>
      </c>
      <c r="B4777">
        <v>46</v>
      </c>
      <c r="C4777" t="s">
        <v>11328</v>
      </c>
      <c r="D4777">
        <v>53806</v>
      </c>
      <c r="E4777" t="s">
        <v>36</v>
      </c>
      <c r="F4777">
        <f>1-204-339-2633</f>
        <v>-3175</v>
      </c>
      <c r="G4777" s="1">
        <v>44954</v>
      </c>
    </row>
    <row r="4778" spans="1:7">
      <c r="A4778" t="s">
        <v>11329</v>
      </c>
      <c r="B4778">
        <v>44</v>
      </c>
      <c r="C4778" t="s">
        <v>11330</v>
      </c>
      <c r="D4778">
        <v>130764</v>
      </c>
      <c r="E4778" t="s">
        <v>27</v>
      </c>
      <c r="F4778">
        <f>1-874-682-1645</f>
        <v>-3200</v>
      </c>
      <c r="G4778" s="1">
        <v>45271</v>
      </c>
    </row>
    <row r="4779" spans="1:7">
      <c r="A4779" t="s">
        <v>2742</v>
      </c>
      <c r="B4779">
        <v>34</v>
      </c>
      <c r="C4779" t="s">
        <v>11331</v>
      </c>
      <c r="D4779">
        <v>52490</v>
      </c>
      <c r="E4779" t="s">
        <v>12</v>
      </c>
      <c r="F4779">
        <v>8714926942</v>
      </c>
      <c r="G4779" s="1">
        <v>45048</v>
      </c>
    </row>
    <row r="4780" spans="1:7">
      <c r="A4780" t="s">
        <v>11332</v>
      </c>
      <c r="B4780">
        <v>-50</v>
      </c>
      <c r="C4780" t="s">
        <v>11333</v>
      </c>
      <c r="D4780">
        <v>50808</v>
      </c>
      <c r="E4780" t="s">
        <v>12</v>
      </c>
      <c r="F4780">
        <v>6939036170</v>
      </c>
      <c r="G4780" s="1">
        <v>45237</v>
      </c>
    </row>
    <row r="4781" spans="1:7">
      <c r="A4781" t="s">
        <v>11334</v>
      </c>
      <c r="B4781">
        <v>30</v>
      </c>
      <c r="C4781" t="s">
        <v>11335</v>
      </c>
      <c r="D4781">
        <v>103870</v>
      </c>
      <c r="E4781" t="s">
        <v>36</v>
      </c>
      <c r="F4781">
        <f>1-286-507-9370</f>
        <v>-10162</v>
      </c>
      <c r="G4781" s="1">
        <v>45136</v>
      </c>
    </row>
    <row r="4782" spans="1:7">
      <c r="A4782" t="s">
        <v>4807</v>
      </c>
      <c r="B4782">
        <v>57</v>
      </c>
      <c r="C4782" t="s">
        <v>11336</v>
      </c>
      <c r="D4782">
        <v>180396</v>
      </c>
      <c r="E4782" t="s">
        <v>9</v>
      </c>
      <c r="F4782" t="s">
        <v>11337</v>
      </c>
      <c r="G4782" s="1">
        <v>45182</v>
      </c>
    </row>
    <row r="4783" spans="1:7">
      <c r="A4783" t="s">
        <v>11338</v>
      </c>
      <c r="B4783">
        <v>54</v>
      </c>
      <c r="C4783" t="s">
        <v>445</v>
      </c>
      <c r="D4783">
        <v>77153</v>
      </c>
      <c r="E4783" t="s">
        <v>36</v>
      </c>
      <c r="F4783" t="s">
        <v>11339</v>
      </c>
      <c r="G4783" s="1">
        <v>45237</v>
      </c>
    </row>
    <row r="4784" spans="1:7">
      <c r="A4784" t="s">
        <v>11340</v>
      </c>
      <c r="B4784">
        <v>32</v>
      </c>
      <c r="C4784" t="s">
        <v>11341</v>
      </c>
      <c r="D4784">
        <v>74377</v>
      </c>
      <c r="E4784" t="s">
        <v>36</v>
      </c>
      <c r="F4784">
        <v>4506222455</v>
      </c>
      <c r="G4784" s="1">
        <v>45114</v>
      </c>
    </row>
    <row r="4785" spans="1:7">
      <c r="A4785" t="s">
        <v>11342</v>
      </c>
      <c r="B4785">
        <v>32</v>
      </c>
      <c r="C4785" t="s">
        <v>61</v>
      </c>
      <c r="E4785" t="s">
        <v>27</v>
      </c>
      <c r="F4785" t="s">
        <v>11343</v>
      </c>
      <c r="G4785" s="1">
        <v>45095</v>
      </c>
    </row>
    <row r="4786" spans="1:7">
      <c r="A4786" t="s">
        <v>11344</v>
      </c>
      <c r="B4786">
        <v>56</v>
      </c>
      <c r="C4786" t="s">
        <v>11345</v>
      </c>
      <c r="D4786">
        <v>31051</v>
      </c>
      <c r="E4786" t="s">
        <v>12</v>
      </c>
      <c r="F4786" t="s">
        <v>11346</v>
      </c>
      <c r="G4786" s="1">
        <v>45170</v>
      </c>
    </row>
    <row r="4787" spans="1:7">
      <c r="A4787" t="s">
        <v>11347</v>
      </c>
      <c r="B4787">
        <v>47</v>
      </c>
      <c r="C4787" t="s">
        <v>11348</v>
      </c>
      <c r="D4787">
        <v>105426</v>
      </c>
      <c r="E4787" t="s">
        <v>9</v>
      </c>
      <c r="F4787" t="s">
        <v>11349</v>
      </c>
      <c r="G4787" s="1">
        <v>45110</v>
      </c>
    </row>
    <row r="4788" spans="1:7">
      <c r="A4788" t="s">
        <v>11350</v>
      </c>
      <c r="B4788">
        <v>62</v>
      </c>
      <c r="C4788" t="s">
        <v>11351</v>
      </c>
      <c r="D4788">
        <v>161841</v>
      </c>
      <c r="E4788" t="s">
        <v>27</v>
      </c>
      <c r="F4788">
        <v>8001942852</v>
      </c>
      <c r="G4788" s="1">
        <v>45165</v>
      </c>
    </row>
    <row r="4789" spans="1:7">
      <c r="A4789" t="s">
        <v>11352</v>
      </c>
      <c r="C4789" t="s">
        <v>11353</v>
      </c>
      <c r="D4789">
        <v>114085</v>
      </c>
      <c r="E4789" t="s">
        <v>9</v>
      </c>
      <c r="F4789" t="s">
        <v>11354</v>
      </c>
      <c r="G4789" s="1">
        <v>45285</v>
      </c>
    </row>
    <row r="4790" spans="1:7">
      <c r="A4790" t="s">
        <v>11355</v>
      </c>
      <c r="B4790">
        <v>33</v>
      </c>
      <c r="D4790">
        <v>96617</v>
      </c>
      <c r="E4790" t="s">
        <v>27</v>
      </c>
      <c r="F4790" t="s">
        <v>11356</v>
      </c>
      <c r="G4790" s="1">
        <v>45155</v>
      </c>
    </row>
    <row r="4791" spans="1:7">
      <c r="A4791" t="s">
        <v>11357</v>
      </c>
      <c r="B4791">
        <v>72</v>
      </c>
      <c r="C4791" t="s">
        <v>11358</v>
      </c>
      <c r="D4791">
        <v>180166</v>
      </c>
      <c r="E4791" t="s">
        <v>9</v>
      </c>
      <c r="F4791" t="s">
        <v>11359</v>
      </c>
      <c r="G4791" s="1">
        <v>45025</v>
      </c>
    </row>
    <row r="4792" spans="1:7">
      <c r="A4792" t="s">
        <v>11360</v>
      </c>
      <c r="B4792">
        <v>250</v>
      </c>
      <c r="D4792">
        <v>75689</v>
      </c>
      <c r="E4792" t="s">
        <v>12</v>
      </c>
      <c r="F4792" t="s">
        <v>11361</v>
      </c>
      <c r="G4792" s="1">
        <v>45086</v>
      </c>
    </row>
    <row r="4793" spans="1:7">
      <c r="A4793" t="s">
        <v>11362</v>
      </c>
      <c r="B4793">
        <v>62</v>
      </c>
      <c r="C4793" t="s">
        <v>11363</v>
      </c>
      <c r="D4793">
        <v>0</v>
      </c>
      <c r="E4793" t="s">
        <v>36</v>
      </c>
      <c r="F4793" t="s">
        <v>11364</v>
      </c>
      <c r="G4793" s="1">
        <v>45181</v>
      </c>
    </row>
    <row r="4794" spans="1:7">
      <c r="A4794" t="s">
        <v>4216</v>
      </c>
      <c r="B4794">
        <v>36</v>
      </c>
      <c r="D4794">
        <v>179134</v>
      </c>
      <c r="E4794" t="s">
        <v>27</v>
      </c>
      <c r="F4794">
        <v>8408939222</v>
      </c>
      <c r="G4794" s="1">
        <v>45085</v>
      </c>
    </row>
    <row r="4795" spans="1:7">
      <c r="A4795" t="s">
        <v>1292</v>
      </c>
      <c r="B4795">
        <v>200</v>
      </c>
      <c r="C4795" t="s">
        <v>11365</v>
      </c>
      <c r="E4795" t="s">
        <v>27</v>
      </c>
      <c r="F4795" t="s">
        <v>11366</v>
      </c>
      <c r="G4795" s="1">
        <v>45274</v>
      </c>
    </row>
    <row r="4796" spans="1:7">
      <c r="A4796" t="s">
        <v>11367</v>
      </c>
      <c r="B4796">
        <v>63</v>
      </c>
      <c r="C4796" t="s">
        <v>11368</v>
      </c>
      <c r="D4796">
        <v>88219</v>
      </c>
      <c r="E4796" t="s">
        <v>36</v>
      </c>
      <c r="F4796">
        <f>1-979-420-6108</f>
        <v>-7506</v>
      </c>
      <c r="G4796" s="1">
        <v>45187</v>
      </c>
    </row>
    <row r="4797" spans="1:7">
      <c r="A4797" t="s">
        <v>11369</v>
      </c>
      <c r="B4797">
        <v>25</v>
      </c>
      <c r="C4797" t="s">
        <v>11370</v>
      </c>
      <c r="D4797">
        <v>173737</v>
      </c>
      <c r="E4797" t="s">
        <v>18</v>
      </c>
      <c r="G4797" s="1">
        <v>45072</v>
      </c>
    </row>
    <row r="4798" spans="1:7">
      <c r="A4798" t="s">
        <v>11371</v>
      </c>
      <c r="B4798">
        <v>47</v>
      </c>
      <c r="C4798" t="s">
        <v>11372</v>
      </c>
      <c r="E4798" t="s">
        <v>9</v>
      </c>
      <c r="F4798" t="s">
        <v>11373</v>
      </c>
      <c r="G4798" s="1">
        <v>45102</v>
      </c>
    </row>
    <row r="4799" spans="1:7">
      <c r="A4799" t="s">
        <v>11374</v>
      </c>
      <c r="B4799">
        <v>60</v>
      </c>
      <c r="C4799" t="s">
        <v>11375</v>
      </c>
      <c r="D4799">
        <v>172003</v>
      </c>
      <c r="E4799" t="s">
        <v>9</v>
      </c>
      <c r="G4799" s="1">
        <v>45029</v>
      </c>
    </row>
    <row r="4800" spans="1:7">
      <c r="A4800" t="s">
        <v>11376</v>
      </c>
      <c r="B4800">
        <v>50</v>
      </c>
      <c r="C4800" t="s">
        <v>11377</v>
      </c>
      <c r="D4800">
        <v>109183</v>
      </c>
      <c r="E4800" t="s">
        <v>36</v>
      </c>
      <c r="F4800" t="s">
        <v>11378</v>
      </c>
      <c r="G4800" s="1">
        <v>45242</v>
      </c>
    </row>
    <row r="4801" spans="1:7">
      <c r="A4801" t="s">
        <v>11379</v>
      </c>
      <c r="B4801">
        <v>19</v>
      </c>
      <c r="C4801" t="s">
        <v>478</v>
      </c>
      <c r="D4801">
        <v>163922</v>
      </c>
      <c r="E4801" t="s">
        <v>9</v>
      </c>
      <c r="F4801">
        <f>1-195-527-6496</f>
        <v>-7217</v>
      </c>
      <c r="G4801" s="1">
        <v>44993</v>
      </c>
    </row>
    <row r="4802" spans="1:7">
      <c r="A4802" t="s">
        <v>11380</v>
      </c>
      <c r="B4802">
        <v>54</v>
      </c>
      <c r="D4802">
        <v>118578</v>
      </c>
      <c r="E4802" t="s">
        <v>36</v>
      </c>
      <c r="G4802" s="1">
        <v>45076</v>
      </c>
    </row>
    <row r="4803" spans="1:7">
      <c r="A4803" t="s">
        <v>11381</v>
      </c>
      <c r="B4803">
        <v>74</v>
      </c>
      <c r="C4803" t="s">
        <v>11382</v>
      </c>
      <c r="D4803">
        <v>70542</v>
      </c>
      <c r="E4803" t="s">
        <v>12</v>
      </c>
      <c r="F4803" t="s">
        <v>11383</v>
      </c>
      <c r="G4803" s="1">
        <v>45090</v>
      </c>
    </row>
    <row r="4804" spans="1:7">
      <c r="A4804" t="s">
        <v>11384</v>
      </c>
      <c r="B4804">
        <v>78</v>
      </c>
      <c r="C4804" t="s">
        <v>11385</v>
      </c>
      <c r="D4804">
        <v>106208</v>
      </c>
      <c r="E4804" t="s">
        <v>27</v>
      </c>
      <c r="F4804">
        <v>1969449751</v>
      </c>
      <c r="G4804" s="1">
        <v>44992</v>
      </c>
    </row>
    <row r="4805" spans="1:7">
      <c r="A4805" t="s">
        <v>11386</v>
      </c>
      <c r="B4805">
        <v>62</v>
      </c>
      <c r="C4805" t="s">
        <v>11387</v>
      </c>
      <c r="D4805">
        <v>178199</v>
      </c>
      <c r="E4805" t="s">
        <v>36</v>
      </c>
      <c r="F4805" t="s">
        <v>11388</v>
      </c>
      <c r="G4805" s="1">
        <v>44977</v>
      </c>
    </row>
    <row r="4806" spans="1:7">
      <c r="A4806" t="s">
        <v>11389</v>
      </c>
      <c r="B4806">
        <v>22</v>
      </c>
      <c r="C4806" t="s">
        <v>11390</v>
      </c>
      <c r="D4806">
        <v>98136</v>
      </c>
      <c r="E4806" t="s">
        <v>9</v>
      </c>
      <c r="G4806" s="1">
        <v>44947</v>
      </c>
    </row>
    <row r="4807" spans="1:7">
      <c r="A4807" t="s">
        <v>11391</v>
      </c>
      <c r="B4807">
        <v>-5</v>
      </c>
      <c r="C4807" t="s">
        <v>11392</v>
      </c>
      <c r="D4807">
        <v>61279</v>
      </c>
      <c r="E4807" t="s">
        <v>36</v>
      </c>
      <c r="F4807">
        <f>1-666-975-4763</f>
        <v>-6403</v>
      </c>
      <c r="G4807" s="1">
        <v>45055</v>
      </c>
    </row>
    <row r="4808" spans="1:7">
      <c r="A4808" t="s">
        <v>11393</v>
      </c>
      <c r="B4808">
        <v>67</v>
      </c>
      <c r="C4808" t="s">
        <v>299</v>
      </c>
      <c r="D4808">
        <v>-20000</v>
      </c>
      <c r="E4808" t="s">
        <v>9</v>
      </c>
      <c r="F4808" t="s">
        <v>11394</v>
      </c>
      <c r="G4808" s="1">
        <v>45285</v>
      </c>
    </row>
    <row r="4809" spans="1:7">
      <c r="A4809" t="s">
        <v>11395</v>
      </c>
      <c r="B4809">
        <v>180</v>
      </c>
      <c r="C4809" t="s">
        <v>11396</v>
      </c>
      <c r="D4809">
        <v>62334</v>
      </c>
      <c r="E4809" t="s">
        <v>27</v>
      </c>
      <c r="F4809" t="s">
        <v>11397</v>
      </c>
      <c r="G4809" s="1">
        <v>45275</v>
      </c>
    </row>
    <row r="4810" spans="1:7">
      <c r="A4810" t="s">
        <v>11398</v>
      </c>
      <c r="B4810">
        <v>62</v>
      </c>
      <c r="C4810" t="s">
        <v>11399</v>
      </c>
      <c r="D4810">
        <v>152778</v>
      </c>
      <c r="E4810" t="s">
        <v>9</v>
      </c>
      <c r="F4810" t="s">
        <v>11400</v>
      </c>
      <c r="G4810" s="1">
        <v>45183</v>
      </c>
    </row>
    <row r="4811" spans="1:7">
      <c r="A4811" t="s">
        <v>11401</v>
      </c>
      <c r="B4811">
        <v>76</v>
      </c>
      <c r="C4811" t="s">
        <v>11402</v>
      </c>
      <c r="D4811">
        <v>180534</v>
      </c>
      <c r="E4811" t="s">
        <v>9</v>
      </c>
      <c r="G4811" s="1">
        <v>45207</v>
      </c>
    </row>
    <row r="4812" spans="1:7">
      <c r="A4812" t="s">
        <v>1657</v>
      </c>
      <c r="B4812">
        <v>57</v>
      </c>
      <c r="C4812" t="s">
        <v>1658</v>
      </c>
      <c r="D4812">
        <v>115469</v>
      </c>
      <c r="E4812" t="s">
        <v>27</v>
      </c>
      <c r="F4812" t="s">
        <v>1659</v>
      </c>
      <c r="G4812" s="1">
        <v>45259</v>
      </c>
    </row>
    <row r="4813" spans="1:7">
      <c r="A4813" t="s">
        <v>11403</v>
      </c>
      <c r="B4813">
        <v>200</v>
      </c>
      <c r="C4813" t="s">
        <v>11404</v>
      </c>
      <c r="D4813">
        <v>162151</v>
      </c>
      <c r="E4813" t="s">
        <v>9</v>
      </c>
      <c r="F4813">
        <v>5583579348</v>
      </c>
      <c r="G4813" s="1">
        <v>45278</v>
      </c>
    </row>
    <row r="4814" spans="1:7">
      <c r="A4814" t="s">
        <v>11405</v>
      </c>
      <c r="B4814">
        <v>-50</v>
      </c>
      <c r="C4814" t="s">
        <v>389</v>
      </c>
      <c r="D4814">
        <v>73169</v>
      </c>
      <c r="E4814" t="s">
        <v>27</v>
      </c>
      <c r="F4814" t="s">
        <v>11406</v>
      </c>
      <c r="G4814" s="1">
        <v>45140</v>
      </c>
    </row>
    <row r="4815" spans="1:7">
      <c r="A4815" t="s">
        <v>11407</v>
      </c>
      <c r="B4815">
        <v>150</v>
      </c>
      <c r="C4815" t="s">
        <v>11408</v>
      </c>
      <c r="E4815" t="s">
        <v>9</v>
      </c>
      <c r="F4815" t="s">
        <v>11409</v>
      </c>
      <c r="G4815" s="1">
        <v>45259</v>
      </c>
    </row>
    <row r="4816" spans="1:7">
      <c r="A4816" t="s">
        <v>11410</v>
      </c>
      <c r="B4816">
        <v>42</v>
      </c>
      <c r="C4816" t="s">
        <v>11411</v>
      </c>
      <c r="D4816">
        <v>92021</v>
      </c>
      <c r="E4816" t="s">
        <v>18</v>
      </c>
      <c r="F4816">
        <v>7614024489</v>
      </c>
      <c r="G4816" s="1">
        <v>45258</v>
      </c>
    </row>
    <row r="4817" spans="1:7">
      <c r="A4817" t="s">
        <v>11412</v>
      </c>
      <c r="B4817">
        <v>45</v>
      </c>
      <c r="D4817">
        <v>154954</v>
      </c>
      <c r="E4817" t="s">
        <v>36</v>
      </c>
      <c r="F4817" t="s">
        <v>11413</v>
      </c>
      <c r="G4817" s="1">
        <v>45196</v>
      </c>
    </row>
    <row r="4818" spans="1:7">
      <c r="A4818" t="s">
        <v>11414</v>
      </c>
      <c r="B4818">
        <v>-1</v>
      </c>
      <c r="C4818" t="s">
        <v>11415</v>
      </c>
      <c r="D4818">
        <v>-10000</v>
      </c>
      <c r="E4818" t="s">
        <v>27</v>
      </c>
      <c r="F4818" t="s">
        <v>11416</v>
      </c>
      <c r="G4818" s="1">
        <v>45109</v>
      </c>
    </row>
    <row r="4819" spans="1:7">
      <c r="A4819" t="s">
        <v>11417</v>
      </c>
      <c r="B4819">
        <v>70</v>
      </c>
      <c r="C4819" t="s">
        <v>11418</v>
      </c>
      <c r="D4819">
        <v>34011</v>
      </c>
      <c r="E4819" t="s">
        <v>12</v>
      </c>
      <c r="F4819" t="s">
        <v>11419</v>
      </c>
      <c r="G4819" s="1">
        <v>45281</v>
      </c>
    </row>
    <row r="4820" spans="1:7">
      <c r="A4820" t="s">
        <v>11420</v>
      </c>
      <c r="B4820">
        <v>28</v>
      </c>
      <c r="C4820" t="s">
        <v>11421</v>
      </c>
      <c r="D4820">
        <v>170399</v>
      </c>
      <c r="E4820" t="s">
        <v>36</v>
      </c>
      <c r="F4820" t="s">
        <v>11422</v>
      </c>
      <c r="G4820" s="1">
        <v>45278</v>
      </c>
    </row>
    <row r="4821" spans="1:7">
      <c r="A4821" t="s">
        <v>11423</v>
      </c>
      <c r="B4821">
        <v>50</v>
      </c>
      <c r="C4821" t="s">
        <v>11424</v>
      </c>
      <c r="D4821">
        <v>106240</v>
      </c>
      <c r="E4821" t="s">
        <v>27</v>
      </c>
      <c r="F4821" t="s">
        <v>11425</v>
      </c>
      <c r="G4821" s="1">
        <v>45046</v>
      </c>
    </row>
    <row r="4822" spans="1:7">
      <c r="A4822" t="s">
        <v>11426</v>
      </c>
      <c r="B4822">
        <v>52</v>
      </c>
      <c r="C4822" t="s">
        <v>11427</v>
      </c>
      <c r="D4822">
        <v>49053</v>
      </c>
      <c r="E4822" t="s">
        <v>36</v>
      </c>
      <c r="F4822">
        <v>1359873139</v>
      </c>
      <c r="G4822" s="1">
        <v>45085</v>
      </c>
    </row>
    <row r="4823" spans="1:7">
      <c r="A4823" t="s">
        <v>11428</v>
      </c>
      <c r="B4823">
        <v>34</v>
      </c>
      <c r="C4823" t="s">
        <v>11429</v>
      </c>
      <c r="D4823">
        <v>99504</v>
      </c>
      <c r="E4823" t="s">
        <v>12</v>
      </c>
      <c r="F4823" t="s">
        <v>11430</v>
      </c>
      <c r="G4823" s="1">
        <v>45197</v>
      </c>
    </row>
    <row r="4824" spans="1:7">
      <c r="A4824" t="s">
        <v>11431</v>
      </c>
      <c r="B4824">
        <v>34</v>
      </c>
      <c r="C4824" t="s">
        <v>11432</v>
      </c>
      <c r="D4824">
        <v>58229</v>
      </c>
      <c r="E4824" t="s">
        <v>9</v>
      </c>
      <c r="F4824">
        <v>9294666194</v>
      </c>
      <c r="G4824" s="1">
        <v>45051</v>
      </c>
    </row>
    <row r="4825" spans="1:7">
      <c r="A4825" t="s">
        <v>11433</v>
      </c>
      <c r="B4825">
        <v>75</v>
      </c>
      <c r="C4825" t="s">
        <v>11434</v>
      </c>
      <c r="D4825">
        <v>71243</v>
      </c>
      <c r="E4825" t="s">
        <v>9</v>
      </c>
      <c r="F4825" t="s">
        <v>11435</v>
      </c>
      <c r="G4825" s="1">
        <v>44945</v>
      </c>
    </row>
    <row r="4826" spans="1:7">
      <c r="A4826" t="s">
        <v>11436</v>
      </c>
      <c r="B4826">
        <v>71</v>
      </c>
      <c r="C4826" t="s">
        <v>11437</v>
      </c>
      <c r="E4826" t="s">
        <v>27</v>
      </c>
      <c r="F4826" t="s">
        <v>11438</v>
      </c>
      <c r="G4826" s="1">
        <v>45121</v>
      </c>
    </row>
    <row r="4827" spans="1:7">
      <c r="A4827" t="s">
        <v>11439</v>
      </c>
      <c r="B4827">
        <v>61</v>
      </c>
      <c r="C4827" t="s">
        <v>11440</v>
      </c>
      <c r="D4827">
        <v>80210</v>
      </c>
      <c r="E4827" t="s">
        <v>49</v>
      </c>
      <c r="F4827" t="s">
        <v>11441</v>
      </c>
      <c r="G4827" s="1">
        <v>45040</v>
      </c>
    </row>
    <row r="4828" spans="1:7">
      <c r="A4828" t="s">
        <v>6120</v>
      </c>
      <c r="B4828">
        <v>-50</v>
      </c>
      <c r="D4828">
        <v>-20000</v>
      </c>
      <c r="E4828" t="s">
        <v>27</v>
      </c>
      <c r="F4828">
        <f>1-356-842-1298</f>
        <v>-2495</v>
      </c>
      <c r="G4828" s="1">
        <v>45233</v>
      </c>
    </row>
    <row r="4829" spans="1:7">
      <c r="A4829" t="s">
        <v>11442</v>
      </c>
      <c r="B4829">
        <v>63</v>
      </c>
      <c r="C4829" t="s">
        <v>11443</v>
      </c>
      <c r="D4829">
        <v>173377</v>
      </c>
      <c r="E4829" t="s">
        <v>27</v>
      </c>
      <c r="F4829">
        <v>1460219219</v>
      </c>
      <c r="G4829" s="1">
        <v>45071</v>
      </c>
    </row>
    <row r="4830" spans="1:7">
      <c r="A4830" t="s">
        <v>2837</v>
      </c>
      <c r="B4830">
        <v>44</v>
      </c>
      <c r="C4830" t="s">
        <v>11444</v>
      </c>
      <c r="D4830">
        <v>190949</v>
      </c>
      <c r="E4830" t="s">
        <v>90</v>
      </c>
      <c r="F4830" t="s">
        <v>11445</v>
      </c>
      <c r="G4830" s="1">
        <v>45278</v>
      </c>
    </row>
    <row r="4831" spans="1:7">
      <c r="A4831" t="s">
        <v>11446</v>
      </c>
      <c r="B4831">
        <v>42</v>
      </c>
      <c r="C4831" t="s">
        <v>11447</v>
      </c>
      <c r="D4831">
        <v>67706</v>
      </c>
      <c r="E4831" t="s">
        <v>9</v>
      </c>
      <c r="F4831">
        <f>1-226-548-8987</f>
        <v>-9760</v>
      </c>
      <c r="G4831" s="1">
        <v>44986</v>
      </c>
    </row>
    <row r="4832" spans="1:7">
      <c r="A4832" t="s">
        <v>11448</v>
      </c>
      <c r="B4832">
        <v>18</v>
      </c>
      <c r="C4832" t="s">
        <v>11449</v>
      </c>
      <c r="D4832">
        <v>0</v>
      </c>
      <c r="E4832" t="s">
        <v>9</v>
      </c>
      <c r="F4832" t="s">
        <v>11450</v>
      </c>
      <c r="G4832" s="1">
        <v>45211</v>
      </c>
    </row>
    <row r="4833" spans="1:7">
      <c r="B4833">
        <v>47</v>
      </c>
      <c r="C4833" t="s">
        <v>11451</v>
      </c>
      <c r="D4833">
        <v>180953</v>
      </c>
      <c r="E4833" t="s">
        <v>27</v>
      </c>
      <c r="G4833" s="1">
        <v>45246</v>
      </c>
    </row>
    <row r="4834" spans="1:7">
      <c r="A4834" t="s">
        <v>11452</v>
      </c>
      <c r="B4834">
        <v>66</v>
      </c>
      <c r="D4834">
        <v>163609</v>
      </c>
      <c r="E4834" t="s">
        <v>27</v>
      </c>
      <c r="F4834">
        <f>1-771-150-4812</f>
        <v>-5732</v>
      </c>
      <c r="G4834" s="1">
        <v>45125</v>
      </c>
    </row>
    <row r="4835" spans="1:7">
      <c r="A4835" t="s">
        <v>11318</v>
      </c>
      <c r="B4835">
        <v>78</v>
      </c>
      <c r="C4835" t="s">
        <v>11453</v>
      </c>
      <c r="D4835">
        <v>104707</v>
      </c>
      <c r="E4835" t="s">
        <v>9</v>
      </c>
      <c r="F4835">
        <v>1813743830</v>
      </c>
      <c r="G4835" s="1">
        <v>45150</v>
      </c>
    </row>
    <row r="4836" spans="1:7">
      <c r="A4836" t="s">
        <v>11454</v>
      </c>
      <c r="B4836">
        <v>76</v>
      </c>
      <c r="C4836" t="s">
        <v>11455</v>
      </c>
      <c r="D4836">
        <v>192002</v>
      </c>
      <c r="E4836" t="s">
        <v>36</v>
      </c>
      <c r="F4836" t="s">
        <v>11456</v>
      </c>
      <c r="G4836" s="1">
        <v>44975</v>
      </c>
    </row>
    <row r="4837" spans="1:7">
      <c r="A4837" t="s">
        <v>11457</v>
      </c>
      <c r="B4837">
        <v>28</v>
      </c>
      <c r="C4837" t="s">
        <v>11458</v>
      </c>
      <c r="E4837" t="s">
        <v>12</v>
      </c>
      <c r="F4837" t="s">
        <v>11459</v>
      </c>
      <c r="G4837" s="1">
        <v>44938</v>
      </c>
    </row>
    <row r="4838" spans="1:7">
      <c r="A4838" t="s">
        <v>11460</v>
      </c>
      <c r="B4838">
        <v>68</v>
      </c>
      <c r="D4838">
        <v>146116</v>
      </c>
      <c r="E4838" t="s">
        <v>27</v>
      </c>
      <c r="F4838" t="s">
        <v>11461</v>
      </c>
      <c r="G4838" s="1">
        <v>45218</v>
      </c>
    </row>
    <row r="4839" spans="1:7">
      <c r="A4839" t="s">
        <v>11462</v>
      </c>
      <c r="B4839">
        <v>42</v>
      </c>
      <c r="C4839" t="s">
        <v>170</v>
      </c>
      <c r="D4839">
        <v>61707</v>
      </c>
      <c r="E4839" t="s">
        <v>36</v>
      </c>
      <c r="F4839">
        <v>9696467331</v>
      </c>
      <c r="G4839" s="1">
        <v>45012</v>
      </c>
    </row>
    <row r="4840" spans="1:7">
      <c r="A4840" t="s">
        <v>11463</v>
      </c>
      <c r="B4840">
        <v>25</v>
      </c>
      <c r="C4840" t="s">
        <v>11464</v>
      </c>
      <c r="D4840">
        <v>190259</v>
      </c>
      <c r="E4840" t="s">
        <v>36</v>
      </c>
      <c r="F4840" t="s">
        <v>11465</v>
      </c>
      <c r="G4840" s="1">
        <v>45047</v>
      </c>
    </row>
    <row r="4841" spans="1:7">
      <c r="A4841" t="s">
        <v>11466</v>
      </c>
      <c r="B4841">
        <v>18</v>
      </c>
      <c r="C4841" t="s">
        <v>11467</v>
      </c>
      <c r="D4841">
        <v>129189</v>
      </c>
      <c r="E4841" t="s">
        <v>36</v>
      </c>
      <c r="F4841" t="s">
        <v>11468</v>
      </c>
      <c r="G4841" s="1">
        <v>44978</v>
      </c>
    </row>
    <row r="4842" spans="1:7">
      <c r="A4842" t="s">
        <v>11469</v>
      </c>
      <c r="B4842">
        <v>69</v>
      </c>
      <c r="C4842" t="s">
        <v>11470</v>
      </c>
      <c r="E4842" t="s">
        <v>36</v>
      </c>
      <c r="F4842" t="s">
        <v>11471</v>
      </c>
      <c r="G4842" s="1">
        <v>45183</v>
      </c>
    </row>
    <row r="4843" spans="1:7">
      <c r="A4843" t="s">
        <v>11472</v>
      </c>
      <c r="B4843">
        <v>40</v>
      </c>
      <c r="C4843" t="s">
        <v>11473</v>
      </c>
      <c r="D4843">
        <v>199530</v>
      </c>
      <c r="E4843" t="s">
        <v>294</v>
      </c>
      <c r="F4843" t="s">
        <v>11474</v>
      </c>
      <c r="G4843" s="1">
        <v>45232</v>
      </c>
    </row>
    <row r="4844" spans="1:7">
      <c r="A4844" t="s">
        <v>11475</v>
      </c>
      <c r="B4844">
        <v>68</v>
      </c>
      <c r="C4844" t="s">
        <v>11476</v>
      </c>
      <c r="D4844">
        <v>187732</v>
      </c>
      <c r="E4844" t="s">
        <v>36</v>
      </c>
      <c r="F4844" t="s">
        <v>11477</v>
      </c>
      <c r="G4844" s="1">
        <v>44989</v>
      </c>
    </row>
    <row r="4845" spans="1:7">
      <c r="A4845" t="s">
        <v>11478</v>
      </c>
      <c r="B4845">
        <v>24</v>
      </c>
      <c r="C4845" t="s">
        <v>11479</v>
      </c>
      <c r="D4845">
        <v>192793</v>
      </c>
      <c r="E4845" t="s">
        <v>9</v>
      </c>
      <c r="F4845">
        <v>5269571438</v>
      </c>
      <c r="G4845" s="1">
        <v>45068</v>
      </c>
    </row>
    <row r="4846" spans="1:7">
      <c r="A4846" t="s">
        <v>11480</v>
      </c>
      <c r="B4846">
        <v>55</v>
      </c>
      <c r="C4846" t="s">
        <v>11481</v>
      </c>
      <c r="D4846">
        <v>118388</v>
      </c>
      <c r="E4846" t="s">
        <v>9</v>
      </c>
      <c r="G4846" s="1">
        <v>45028</v>
      </c>
    </row>
    <row r="4847" spans="1:7">
      <c r="A4847" t="s">
        <v>11482</v>
      </c>
      <c r="B4847">
        <v>20</v>
      </c>
      <c r="C4847" t="s">
        <v>11483</v>
      </c>
      <c r="D4847">
        <v>180673</v>
      </c>
      <c r="E4847" t="s">
        <v>36</v>
      </c>
      <c r="F4847" t="s">
        <v>11484</v>
      </c>
      <c r="G4847" s="1">
        <v>45268</v>
      </c>
    </row>
    <row r="4848" spans="1:7">
      <c r="A4848" t="s">
        <v>11485</v>
      </c>
      <c r="B4848">
        <v>62</v>
      </c>
      <c r="C4848" t="s">
        <v>11486</v>
      </c>
      <c r="D4848">
        <v>121186</v>
      </c>
      <c r="E4848" t="s">
        <v>12</v>
      </c>
      <c r="F4848" t="s">
        <v>11487</v>
      </c>
      <c r="G4848" s="1">
        <v>45032</v>
      </c>
    </row>
    <row r="4849" spans="1:7">
      <c r="A4849" t="s">
        <v>11488</v>
      </c>
      <c r="B4849">
        <v>39</v>
      </c>
      <c r="C4849" t="s">
        <v>11489</v>
      </c>
      <c r="D4849">
        <v>74942</v>
      </c>
      <c r="E4849" t="s">
        <v>12</v>
      </c>
      <c r="F4849" t="s">
        <v>11490</v>
      </c>
      <c r="G4849" s="1">
        <v>45244</v>
      </c>
    </row>
    <row r="4850" spans="1:7">
      <c r="A4850" t="s">
        <v>11491</v>
      </c>
      <c r="B4850">
        <v>40</v>
      </c>
      <c r="C4850" t="s">
        <v>11492</v>
      </c>
      <c r="D4850">
        <v>90030</v>
      </c>
      <c r="E4850" t="s">
        <v>12</v>
      </c>
      <c r="G4850" s="1">
        <v>44977</v>
      </c>
    </row>
    <row r="4851" spans="1:7">
      <c r="A4851" t="s">
        <v>11493</v>
      </c>
      <c r="B4851">
        <v>25</v>
      </c>
      <c r="C4851" t="s">
        <v>11494</v>
      </c>
      <c r="E4851" t="s">
        <v>9</v>
      </c>
      <c r="F4851" t="s">
        <v>11495</v>
      </c>
      <c r="G4851" s="1">
        <v>45204</v>
      </c>
    </row>
    <row r="4852" spans="1:7">
      <c r="A4852" t="s">
        <v>11496</v>
      </c>
      <c r="B4852">
        <v>51</v>
      </c>
      <c r="C4852" t="s">
        <v>11497</v>
      </c>
      <c r="D4852">
        <v>0</v>
      </c>
      <c r="E4852" t="s">
        <v>9</v>
      </c>
      <c r="F4852" t="s">
        <v>11498</v>
      </c>
      <c r="G4852" s="1">
        <v>45224</v>
      </c>
    </row>
    <row r="4853" spans="1:7">
      <c r="A4853" t="s">
        <v>11499</v>
      </c>
      <c r="B4853">
        <v>29</v>
      </c>
      <c r="C4853" t="s">
        <v>11500</v>
      </c>
      <c r="D4853">
        <v>84318</v>
      </c>
      <c r="E4853" t="s">
        <v>36</v>
      </c>
      <c r="F4853" t="s">
        <v>11501</v>
      </c>
      <c r="G4853" s="1">
        <v>45191</v>
      </c>
    </row>
    <row r="4854" spans="1:7">
      <c r="A4854" t="s">
        <v>11502</v>
      </c>
      <c r="B4854">
        <v>19</v>
      </c>
      <c r="C4854" t="s">
        <v>11503</v>
      </c>
      <c r="D4854">
        <v>68744</v>
      </c>
      <c r="E4854" t="s">
        <v>27</v>
      </c>
      <c r="G4854" s="1">
        <v>45142</v>
      </c>
    </row>
    <row r="4855" spans="1:7">
      <c r="A4855" t="s">
        <v>11504</v>
      </c>
      <c r="C4855" t="s">
        <v>11505</v>
      </c>
      <c r="D4855">
        <v>182049</v>
      </c>
      <c r="E4855" t="s">
        <v>36</v>
      </c>
      <c r="F4855" t="s">
        <v>11506</v>
      </c>
      <c r="G4855" s="1">
        <v>44947</v>
      </c>
    </row>
    <row r="4856" spans="1:7">
      <c r="A4856" t="s">
        <v>11507</v>
      </c>
      <c r="B4856">
        <v>31</v>
      </c>
      <c r="C4856" t="s">
        <v>11508</v>
      </c>
      <c r="E4856" t="s">
        <v>873</v>
      </c>
      <c r="F4856" t="s">
        <v>11509</v>
      </c>
      <c r="G4856" s="1">
        <v>45194</v>
      </c>
    </row>
    <row r="4857" spans="1:7">
      <c r="A4857" t="s">
        <v>11510</v>
      </c>
      <c r="B4857">
        <v>24</v>
      </c>
      <c r="C4857" t="s">
        <v>11511</v>
      </c>
      <c r="D4857">
        <v>59227</v>
      </c>
      <c r="E4857" t="s">
        <v>36</v>
      </c>
      <c r="F4857" t="s">
        <v>11512</v>
      </c>
      <c r="G4857" s="1">
        <v>45274</v>
      </c>
    </row>
    <row r="4858" spans="1:7">
      <c r="A4858" t="s">
        <v>11513</v>
      </c>
      <c r="B4858">
        <v>77</v>
      </c>
      <c r="C4858" t="s">
        <v>11514</v>
      </c>
      <c r="E4858" t="s">
        <v>27</v>
      </c>
      <c r="F4858" t="s">
        <v>11515</v>
      </c>
      <c r="G4858" s="1">
        <v>45259</v>
      </c>
    </row>
    <row r="4859" spans="1:7">
      <c r="A4859" t="s">
        <v>4360</v>
      </c>
      <c r="B4859">
        <v>69</v>
      </c>
      <c r="C4859" t="s">
        <v>11516</v>
      </c>
      <c r="D4859">
        <v>178866</v>
      </c>
      <c r="E4859" t="s">
        <v>12</v>
      </c>
      <c r="F4859" t="s">
        <v>11517</v>
      </c>
      <c r="G4859" s="1">
        <v>45010</v>
      </c>
    </row>
    <row r="4860" spans="1:7">
      <c r="A4860" t="s">
        <v>11518</v>
      </c>
      <c r="B4860">
        <v>47</v>
      </c>
      <c r="C4860" t="s">
        <v>11519</v>
      </c>
      <c r="D4860">
        <v>84353</v>
      </c>
      <c r="E4860" t="s">
        <v>36</v>
      </c>
      <c r="F4860" t="s">
        <v>11520</v>
      </c>
      <c r="G4860" s="1">
        <v>44987</v>
      </c>
    </row>
    <row r="4861" spans="1:7">
      <c r="A4861" t="s">
        <v>11521</v>
      </c>
      <c r="B4861">
        <v>66</v>
      </c>
      <c r="C4861" t="s">
        <v>11522</v>
      </c>
      <c r="D4861">
        <v>92257</v>
      </c>
      <c r="E4861" t="s">
        <v>36</v>
      </c>
      <c r="F4861" t="s">
        <v>11523</v>
      </c>
      <c r="G4861" s="1">
        <v>44948</v>
      </c>
    </row>
    <row r="4862" spans="1:7">
      <c r="A4862" t="s">
        <v>11524</v>
      </c>
      <c r="B4862">
        <v>70</v>
      </c>
      <c r="C4862" t="s">
        <v>61</v>
      </c>
      <c r="D4862">
        <v>-50000</v>
      </c>
      <c r="E4862" t="s">
        <v>27</v>
      </c>
      <c r="F4862" t="s">
        <v>11525</v>
      </c>
      <c r="G4862" t="s">
        <v>371</v>
      </c>
    </row>
    <row r="4863" spans="1:7">
      <c r="A4863" t="s">
        <v>11526</v>
      </c>
      <c r="B4863">
        <v>66</v>
      </c>
      <c r="C4863" t="s">
        <v>11527</v>
      </c>
      <c r="D4863">
        <v>33832</v>
      </c>
      <c r="E4863" t="s">
        <v>36</v>
      </c>
      <c r="F4863" t="s">
        <v>11528</v>
      </c>
      <c r="G4863" s="1">
        <v>44997</v>
      </c>
    </row>
    <row r="4864" spans="1:7">
      <c r="A4864" t="s">
        <v>11529</v>
      </c>
      <c r="B4864">
        <v>49</v>
      </c>
      <c r="C4864" t="s">
        <v>11530</v>
      </c>
      <c r="D4864">
        <v>129246</v>
      </c>
      <c r="E4864" t="s">
        <v>12</v>
      </c>
      <c r="F4864" t="s">
        <v>11531</v>
      </c>
      <c r="G4864" s="1">
        <v>45104</v>
      </c>
    </row>
    <row r="4865" spans="1:7">
      <c r="A4865" t="s">
        <v>11532</v>
      </c>
      <c r="B4865">
        <v>26</v>
      </c>
      <c r="C4865" t="s">
        <v>11533</v>
      </c>
      <c r="D4865">
        <v>141030</v>
      </c>
      <c r="E4865" t="s">
        <v>527</v>
      </c>
      <c r="F4865" t="s">
        <v>11534</v>
      </c>
      <c r="G4865" s="1">
        <v>44963</v>
      </c>
    </row>
    <row r="4866" spans="1:7">
      <c r="A4866" t="s">
        <v>11535</v>
      </c>
      <c r="B4866">
        <v>31</v>
      </c>
      <c r="C4866" t="s">
        <v>11536</v>
      </c>
      <c r="D4866">
        <v>96490</v>
      </c>
      <c r="E4866" t="s">
        <v>12</v>
      </c>
      <c r="F4866">
        <f>1-306-176-2330</f>
        <v>-2811</v>
      </c>
      <c r="G4866" s="1">
        <v>45002</v>
      </c>
    </row>
    <row r="4867" spans="1:7">
      <c r="A4867" t="s">
        <v>11537</v>
      </c>
      <c r="B4867">
        <v>73</v>
      </c>
      <c r="C4867" t="s">
        <v>11538</v>
      </c>
      <c r="D4867">
        <v>114335</v>
      </c>
      <c r="E4867" t="s">
        <v>12</v>
      </c>
      <c r="F4867" t="s">
        <v>11539</v>
      </c>
      <c r="G4867" s="1">
        <v>45208</v>
      </c>
    </row>
    <row r="4868" spans="1:7">
      <c r="A4868" t="s">
        <v>11540</v>
      </c>
      <c r="B4868">
        <v>62</v>
      </c>
      <c r="C4868" t="s">
        <v>11541</v>
      </c>
      <c r="D4868">
        <v>168261</v>
      </c>
      <c r="E4868" t="s">
        <v>36</v>
      </c>
      <c r="F4868" t="s">
        <v>11542</v>
      </c>
      <c r="G4868" s="1">
        <v>45013</v>
      </c>
    </row>
    <row r="4869" spans="1:7">
      <c r="A4869" t="s">
        <v>11543</v>
      </c>
      <c r="B4869">
        <v>53</v>
      </c>
      <c r="D4869">
        <v>136121</v>
      </c>
      <c r="E4869" t="s">
        <v>527</v>
      </c>
      <c r="F4869">
        <f>1-165-374-7834</f>
        <v>-8372</v>
      </c>
      <c r="G4869" s="1">
        <v>45167</v>
      </c>
    </row>
    <row r="4870" spans="1:7">
      <c r="A4870" t="s">
        <v>11544</v>
      </c>
      <c r="B4870">
        <v>56</v>
      </c>
      <c r="C4870" t="s">
        <v>11545</v>
      </c>
      <c r="D4870">
        <v>78114</v>
      </c>
      <c r="E4870" t="s">
        <v>9</v>
      </c>
      <c r="F4870" t="s">
        <v>11546</v>
      </c>
      <c r="G4870" s="1">
        <v>45005</v>
      </c>
    </row>
    <row r="4871" spans="1:7">
      <c r="A4871" t="s">
        <v>11547</v>
      </c>
      <c r="B4871">
        <v>75</v>
      </c>
      <c r="C4871" t="s">
        <v>11548</v>
      </c>
      <c r="D4871">
        <v>110674</v>
      </c>
      <c r="E4871" t="s">
        <v>12</v>
      </c>
      <c r="F4871">
        <v>2380371508</v>
      </c>
      <c r="G4871" s="1">
        <v>44939</v>
      </c>
    </row>
    <row r="4872" spans="1:7">
      <c r="A4872" t="s">
        <v>6490</v>
      </c>
      <c r="B4872">
        <v>18</v>
      </c>
      <c r="C4872" t="s">
        <v>11549</v>
      </c>
      <c r="E4872" t="s">
        <v>9</v>
      </c>
      <c r="F4872" t="s">
        <v>11550</v>
      </c>
      <c r="G4872" s="1">
        <v>45231</v>
      </c>
    </row>
    <row r="4873" spans="1:7">
      <c r="A4873" t="s">
        <v>11551</v>
      </c>
      <c r="B4873">
        <v>68</v>
      </c>
      <c r="C4873" t="s">
        <v>11552</v>
      </c>
      <c r="D4873">
        <v>165653</v>
      </c>
      <c r="E4873" t="s">
        <v>12</v>
      </c>
      <c r="F4873" t="s">
        <v>11553</v>
      </c>
      <c r="G4873" s="1">
        <v>45169</v>
      </c>
    </row>
    <row r="4874" spans="1:7">
      <c r="A4874" t="s">
        <v>11554</v>
      </c>
      <c r="B4874">
        <v>48</v>
      </c>
      <c r="C4874" t="s">
        <v>11555</v>
      </c>
      <c r="D4874">
        <v>57586</v>
      </c>
      <c r="E4874" t="s">
        <v>9</v>
      </c>
      <c r="F4874" t="s">
        <v>11556</v>
      </c>
      <c r="G4874" s="1">
        <v>44976</v>
      </c>
    </row>
    <row r="4875" spans="1:7">
      <c r="A4875" t="s">
        <v>11557</v>
      </c>
      <c r="B4875">
        <v>23</v>
      </c>
      <c r="C4875" t="s">
        <v>11558</v>
      </c>
      <c r="D4875">
        <v>170558</v>
      </c>
      <c r="E4875" t="s">
        <v>358</v>
      </c>
      <c r="F4875" t="s">
        <v>11559</v>
      </c>
      <c r="G4875" t="s">
        <v>1627</v>
      </c>
    </row>
    <row r="4876" spans="1:7">
      <c r="A4876" t="s">
        <v>8414</v>
      </c>
      <c r="B4876">
        <v>76</v>
      </c>
      <c r="C4876" t="s">
        <v>11560</v>
      </c>
      <c r="E4876" t="s">
        <v>27</v>
      </c>
      <c r="F4876">
        <f>1-892-877-3938</f>
        <v>-5706</v>
      </c>
      <c r="G4876" s="1">
        <v>44939</v>
      </c>
    </row>
    <row r="4877" spans="1:7">
      <c r="A4877" t="s">
        <v>11561</v>
      </c>
      <c r="B4877">
        <v>57</v>
      </c>
      <c r="C4877" t="s">
        <v>518</v>
      </c>
      <c r="D4877">
        <v>80711</v>
      </c>
      <c r="E4877" t="s">
        <v>27</v>
      </c>
      <c r="F4877" t="s">
        <v>11562</v>
      </c>
      <c r="G4877" s="1">
        <v>45153</v>
      </c>
    </row>
    <row r="4878" spans="1:7">
      <c r="A4878" t="s">
        <v>11563</v>
      </c>
      <c r="B4878">
        <v>19</v>
      </c>
      <c r="C4878" t="s">
        <v>11564</v>
      </c>
      <c r="D4878">
        <v>139373</v>
      </c>
      <c r="E4878" t="s">
        <v>27</v>
      </c>
      <c r="F4878" t="s">
        <v>11565</v>
      </c>
      <c r="G4878" s="1">
        <v>45228</v>
      </c>
    </row>
    <row r="4879" spans="1:7">
      <c r="A4879" t="s">
        <v>1124</v>
      </c>
      <c r="B4879">
        <v>55</v>
      </c>
      <c r="C4879" t="s">
        <v>11566</v>
      </c>
      <c r="D4879">
        <v>143181</v>
      </c>
      <c r="E4879" t="s">
        <v>36</v>
      </c>
      <c r="F4879">
        <v>5602730904</v>
      </c>
      <c r="G4879" t="s">
        <v>87</v>
      </c>
    </row>
    <row r="4880" spans="1:7">
      <c r="A4880" t="s">
        <v>11567</v>
      </c>
      <c r="B4880">
        <v>77</v>
      </c>
      <c r="C4880" t="s">
        <v>11568</v>
      </c>
      <c r="D4880">
        <v>115155</v>
      </c>
      <c r="E4880" t="s">
        <v>36</v>
      </c>
      <c r="F4880" t="s">
        <v>11569</v>
      </c>
      <c r="G4880" s="1">
        <v>45040</v>
      </c>
    </row>
    <row r="4881" spans="1:7">
      <c r="A4881" t="s">
        <v>11570</v>
      </c>
      <c r="B4881">
        <v>76</v>
      </c>
      <c r="D4881">
        <v>182027</v>
      </c>
      <c r="E4881" t="s">
        <v>36</v>
      </c>
      <c r="F4881" t="s">
        <v>11571</v>
      </c>
      <c r="G4881" s="1">
        <v>45216</v>
      </c>
    </row>
    <row r="4882" spans="1:7">
      <c r="A4882" t="s">
        <v>11572</v>
      </c>
      <c r="B4882">
        <v>79</v>
      </c>
      <c r="C4882" t="s">
        <v>478</v>
      </c>
      <c r="D4882">
        <v>46260</v>
      </c>
      <c r="E4882" t="s">
        <v>12</v>
      </c>
      <c r="F4882" t="s">
        <v>11573</v>
      </c>
      <c r="G4882" s="1">
        <v>45290</v>
      </c>
    </row>
    <row r="4883" spans="1:7">
      <c r="A4883" t="s">
        <v>11285</v>
      </c>
      <c r="B4883">
        <v>19</v>
      </c>
      <c r="C4883" t="s">
        <v>11286</v>
      </c>
      <c r="D4883">
        <v>39343</v>
      </c>
      <c r="E4883" t="s">
        <v>9</v>
      </c>
      <c r="F4883">
        <v>4728095498</v>
      </c>
      <c r="G4883" s="1">
        <v>45086</v>
      </c>
    </row>
    <row r="4884" spans="1:7">
      <c r="C4884" t="s">
        <v>11574</v>
      </c>
      <c r="D4884">
        <v>189599</v>
      </c>
      <c r="E4884" t="s">
        <v>12</v>
      </c>
      <c r="F4884">
        <f>1-891-982-2833</f>
        <v>-4705</v>
      </c>
      <c r="G4884" s="1">
        <v>45247</v>
      </c>
    </row>
    <row r="4885" spans="1:7">
      <c r="A4885" t="s">
        <v>11575</v>
      </c>
      <c r="B4885">
        <v>77</v>
      </c>
      <c r="C4885" t="s">
        <v>11576</v>
      </c>
      <c r="E4885" t="s">
        <v>36</v>
      </c>
      <c r="F4885" t="s">
        <v>11577</v>
      </c>
      <c r="G4885" s="1">
        <v>45038</v>
      </c>
    </row>
    <row r="4886" spans="1:7">
      <c r="A4886" t="s">
        <v>11578</v>
      </c>
      <c r="B4886">
        <v>46</v>
      </c>
      <c r="C4886" t="s">
        <v>11579</v>
      </c>
      <c r="D4886">
        <v>141825</v>
      </c>
      <c r="E4886" t="s">
        <v>9</v>
      </c>
      <c r="F4886" t="s">
        <v>11580</v>
      </c>
      <c r="G4886" s="1">
        <v>45244</v>
      </c>
    </row>
    <row r="4887" spans="1:7">
      <c r="A4887" t="s">
        <v>11581</v>
      </c>
      <c r="C4887" t="s">
        <v>11582</v>
      </c>
      <c r="E4887" t="s">
        <v>9</v>
      </c>
      <c r="F4887" t="s">
        <v>11583</v>
      </c>
      <c r="G4887" s="1">
        <v>45248</v>
      </c>
    </row>
    <row r="4888" spans="1:7">
      <c r="A4888" t="s">
        <v>2527</v>
      </c>
      <c r="B4888">
        <v>32</v>
      </c>
      <c r="E4888" t="s">
        <v>9</v>
      </c>
      <c r="F4888">
        <v>5757968510</v>
      </c>
      <c r="G4888" s="1">
        <v>45269</v>
      </c>
    </row>
    <row r="4889" spans="1:7">
      <c r="A4889" t="s">
        <v>11584</v>
      </c>
      <c r="B4889">
        <v>44</v>
      </c>
      <c r="C4889" t="s">
        <v>11585</v>
      </c>
      <c r="D4889">
        <v>77111</v>
      </c>
      <c r="E4889" t="s">
        <v>27</v>
      </c>
      <c r="F4889">
        <v>4723474875</v>
      </c>
      <c r="G4889" s="1">
        <v>45200</v>
      </c>
    </row>
    <row r="4890" spans="1:7">
      <c r="A4890" t="s">
        <v>11586</v>
      </c>
      <c r="B4890">
        <v>32</v>
      </c>
      <c r="C4890" t="s">
        <v>11587</v>
      </c>
      <c r="D4890">
        <v>97443</v>
      </c>
      <c r="E4890" t="s">
        <v>9</v>
      </c>
      <c r="F4890" t="s">
        <v>11588</v>
      </c>
      <c r="G4890" s="1">
        <v>45086</v>
      </c>
    </row>
    <row r="4891" spans="1:7">
      <c r="A4891" t="s">
        <v>11589</v>
      </c>
      <c r="B4891">
        <v>51</v>
      </c>
      <c r="C4891" t="s">
        <v>11590</v>
      </c>
      <c r="D4891">
        <v>90430</v>
      </c>
      <c r="E4891" t="s">
        <v>873</v>
      </c>
      <c r="F4891">
        <v>9978339137</v>
      </c>
      <c r="G4891" s="1">
        <v>45237</v>
      </c>
    </row>
    <row r="4892" spans="1:7">
      <c r="A4892" t="s">
        <v>4807</v>
      </c>
      <c r="B4892">
        <v>74</v>
      </c>
      <c r="C4892" t="s">
        <v>11591</v>
      </c>
      <c r="E4892" t="s">
        <v>9</v>
      </c>
      <c r="F4892">
        <v>2060973449</v>
      </c>
      <c r="G4892" s="1">
        <v>45032</v>
      </c>
    </row>
    <row r="4893" spans="1:7">
      <c r="A4893" t="s">
        <v>11592</v>
      </c>
      <c r="B4893">
        <v>23</v>
      </c>
      <c r="C4893" t="s">
        <v>11593</v>
      </c>
      <c r="E4893" t="s">
        <v>36</v>
      </c>
      <c r="F4893" t="s">
        <v>11594</v>
      </c>
      <c r="G4893" s="1">
        <v>45065</v>
      </c>
    </row>
    <row r="4894" spans="1:7">
      <c r="A4894" t="s">
        <v>11595</v>
      </c>
      <c r="B4894">
        <v>33</v>
      </c>
      <c r="D4894">
        <v>194648</v>
      </c>
      <c r="E4894" t="s">
        <v>36</v>
      </c>
      <c r="F4894">
        <f>1-796-397-4740</f>
        <v>-5932</v>
      </c>
      <c r="G4894" s="1">
        <v>45093</v>
      </c>
    </row>
    <row r="4895" spans="1:7">
      <c r="A4895" t="s">
        <v>480</v>
      </c>
      <c r="B4895">
        <v>76</v>
      </c>
      <c r="D4895">
        <v>158216</v>
      </c>
      <c r="E4895" t="s">
        <v>36</v>
      </c>
      <c r="F4895" t="s">
        <v>11596</v>
      </c>
      <c r="G4895" s="1">
        <v>44949</v>
      </c>
    </row>
    <row r="4896" spans="1:7">
      <c r="A4896" t="s">
        <v>8558</v>
      </c>
      <c r="B4896">
        <v>54</v>
      </c>
      <c r="C4896" t="s">
        <v>11597</v>
      </c>
      <c r="D4896">
        <v>147174</v>
      </c>
      <c r="E4896" t="s">
        <v>36</v>
      </c>
      <c r="F4896">
        <v>5144099828</v>
      </c>
      <c r="G4896" s="1">
        <v>45052</v>
      </c>
    </row>
    <row r="4897" spans="1:7">
      <c r="A4897" t="s">
        <v>11598</v>
      </c>
      <c r="B4897">
        <v>55</v>
      </c>
      <c r="C4897" t="s">
        <v>11599</v>
      </c>
      <c r="D4897">
        <v>191323</v>
      </c>
      <c r="E4897" t="s">
        <v>9</v>
      </c>
      <c r="F4897">
        <f>1-654-843-7617</f>
        <v>-9113</v>
      </c>
      <c r="G4897" s="1">
        <v>45257</v>
      </c>
    </row>
    <row r="4898" spans="1:7">
      <c r="A4898" t="s">
        <v>11600</v>
      </c>
      <c r="B4898">
        <v>49</v>
      </c>
      <c r="C4898" t="s">
        <v>11601</v>
      </c>
      <c r="D4898">
        <v>33558</v>
      </c>
      <c r="E4898" t="s">
        <v>294</v>
      </c>
      <c r="F4898" t="s">
        <v>11602</v>
      </c>
      <c r="G4898" s="1">
        <v>45133</v>
      </c>
    </row>
    <row r="4899" spans="1:7">
      <c r="A4899" t="s">
        <v>11042</v>
      </c>
      <c r="B4899">
        <v>500</v>
      </c>
      <c r="C4899" t="s">
        <v>11603</v>
      </c>
      <c r="D4899">
        <v>96253</v>
      </c>
      <c r="E4899" t="s">
        <v>36</v>
      </c>
      <c r="F4899" t="s">
        <v>11604</v>
      </c>
      <c r="G4899" s="1">
        <v>44969</v>
      </c>
    </row>
    <row r="4900" spans="1:7">
      <c r="A4900" t="s">
        <v>11605</v>
      </c>
      <c r="B4900">
        <v>40</v>
      </c>
      <c r="C4900" t="s">
        <v>11606</v>
      </c>
      <c r="D4900">
        <v>182131</v>
      </c>
      <c r="E4900" t="s">
        <v>12</v>
      </c>
      <c r="F4900" t="s">
        <v>11607</v>
      </c>
      <c r="G4900" s="1">
        <v>45220</v>
      </c>
    </row>
    <row r="4901" spans="1:7">
      <c r="A4901" t="s">
        <v>11608</v>
      </c>
      <c r="B4901">
        <v>54</v>
      </c>
      <c r="C4901" t="s">
        <v>11609</v>
      </c>
      <c r="D4901">
        <v>-1000</v>
      </c>
      <c r="E4901" t="s">
        <v>36</v>
      </c>
      <c r="F4901" t="s">
        <v>11610</v>
      </c>
      <c r="G4901" s="1">
        <v>45190</v>
      </c>
    </row>
    <row r="4902" spans="1:7">
      <c r="B4902">
        <v>38</v>
      </c>
      <c r="C4902" t="s">
        <v>11611</v>
      </c>
      <c r="D4902">
        <v>154342</v>
      </c>
      <c r="E4902" t="s">
        <v>9</v>
      </c>
      <c r="F4902" t="s">
        <v>11612</v>
      </c>
      <c r="G4902" s="1">
        <v>45035</v>
      </c>
    </row>
    <row r="4903" spans="1:7">
      <c r="A4903" t="s">
        <v>11613</v>
      </c>
      <c r="B4903">
        <v>180</v>
      </c>
      <c r="C4903" t="s">
        <v>11614</v>
      </c>
      <c r="D4903">
        <v>79170</v>
      </c>
      <c r="E4903" t="s">
        <v>12</v>
      </c>
      <c r="F4903" t="s">
        <v>11615</v>
      </c>
      <c r="G4903" s="1">
        <v>45158</v>
      </c>
    </row>
    <row r="4904" spans="1:7">
      <c r="A4904" t="s">
        <v>11616</v>
      </c>
      <c r="B4904">
        <v>30</v>
      </c>
      <c r="C4904" t="s">
        <v>11617</v>
      </c>
      <c r="D4904">
        <v>38002</v>
      </c>
      <c r="E4904" t="s">
        <v>36</v>
      </c>
      <c r="F4904" t="s">
        <v>11618</v>
      </c>
      <c r="G4904" s="1">
        <v>45135</v>
      </c>
    </row>
    <row r="4905" spans="1:7">
      <c r="A4905" t="s">
        <v>11619</v>
      </c>
      <c r="B4905">
        <v>60</v>
      </c>
      <c r="D4905">
        <v>143688</v>
      </c>
      <c r="E4905" t="s">
        <v>36</v>
      </c>
      <c r="F4905" t="s">
        <v>11620</v>
      </c>
      <c r="G4905" s="1">
        <v>45148</v>
      </c>
    </row>
    <row r="4906" spans="1:7">
      <c r="A4906" t="s">
        <v>11621</v>
      </c>
      <c r="B4906">
        <v>63</v>
      </c>
      <c r="E4906" t="s">
        <v>36</v>
      </c>
      <c r="F4906">
        <f>1-360-288-2001</f>
        <v>-2648</v>
      </c>
      <c r="G4906" s="1">
        <v>45173</v>
      </c>
    </row>
    <row r="4907" spans="1:7">
      <c r="A4907" t="s">
        <v>3579</v>
      </c>
      <c r="B4907">
        <v>44</v>
      </c>
      <c r="C4907" t="s">
        <v>11622</v>
      </c>
      <c r="D4907">
        <v>-50000</v>
      </c>
      <c r="E4907" t="s">
        <v>27</v>
      </c>
      <c r="F4907" t="s">
        <v>11623</v>
      </c>
      <c r="G4907" s="1">
        <v>45174</v>
      </c>
    </row>
    <row r="4908" spans="1:7">
      <c r="A4908" t="s">
        <v>11624</v>
      </c>
      <c r="B4908">
        <v>36</v>
      </c>
      <c r="C4908" t="s">
        <v>11625</v>
      </c>
      <c r="D4908">
        <v>166496</v>
      </c>
      <c r="E4908" t="s">
        <v>9</v>
      </c>
      <c r="F4908">
        <v>5494231664</v>
      </c>
      <c r="G4908" s="1">
        <v>45118</v>
      </c>
    </row>
    <row r="4909" spans="1:7">
      <c r="A4909" t="s">
        <v>11626</v>
      </c>
      <c r="B4909">
        <v>19</v>
      </c>
      <c r="C4909" t="s">
        <v>11627</v>
      </c>
      <c r="D4909">
        <v>105225</v>
      </c>
      <c r="E4909" t="s">
        <v>36</v>
      </c>
      <c r="F4909" t="s">
        <v>11628</v>
      </c>
      <c r="G4909" s="1">
        <v>45289</v>
      </c>
    </row>
    <row r="4910" spans="1:7">
      <c r="A4910" t="s">
        <v>11629</v>
      </c>
      <c r="B4910">
        <v>70</v>
      </c>
      <c r="C4910" t="s">
        <v>11630</v>
      </c>
      <c r="D4910">
        <v>67019</v>
      </c>
      <c r="E4910" t="s">
        <v>9</v>
      </c>
      <c r="F4910" t="s">
        <v>11631</v>
      </c>
      <c r="G4910" s="1">
        <v>45226</v>
      </c>
    </row>
    <row r="4911" spans="1:7">
      <c r="A4911" t="s">
        <v>11632</v>
      </c>
      <c r="B4911">
        <v>68</v>
      </c>
      <c r="C4911" t="s">
        <v>11633</v>
      </c>
      <c r="D4911">
        <v>86677</v>
      </c>
      <c r="E4911" t="s">
        <v>27</v>
      </c>
      <c r="G4911" s="1">
        <v>44933</v>
      </c>
    </row>
    <row r="4912" spans="1:7">
      <c r="A4912" t="s">
        <v>11634</v>
      </c>
      <c r="B4912">
        <v>64</v>
      </c>
      <c r="D4912">
        <v>98694</v>
      </c>
      <c r="E4912" t="s">
        <v>9</v>
      </c>
      <c r="F4912" t="s">
        <v>11635</v>
      </c>
      <c r="G4912" s="1">
        <v>45208</v>
      </c>
    </row>
    <row r="4913" spans="1:7">
      <c r="A4913" t="s">
        <v>11636</v>
      </c>
      <c r="B4913">
        <v>74</v>
      </c>
      <c r="D4913">
        <v>195465</v>
      </c>
      <c r="E4913" t="s">
        <v>873</v>
      </c>
      <c r="F4913">
        <f>1-390-374-5333</f>
        <v>-6096</v>
      </c>
      <c r="G4913" s="1">
        <v>45044</v>
      </c>
    </row>
    <row r="4914" spans="1:7">
      <c r="A4914" t="s">
        <v>11637</v>
      </c>
      <c r="B4914">
        <v>60</v>
      </c>
      <c r="C4914" t="s">
        <v>11638</v>
      </c>
      <c r="D4914">
        <v>167126</v>
      </c>
      <c r="E4914" t="s">
        <v>9</v>
      </c>
      <c r="G4914" s="1">
        <v>45143</v>
      </c>
    </row>
    <row r="4915" spans="1:7">
      <c r="A4915" t="s">
        <v>11639</v>
      </c>
      <c r="B4915">
        <v>61</v>
      </c>
      <c r="C4915" t="s">
        <v>11640</v>
      </c>
      <c r="D4915">
        <v>118844</v>
      </c>
      <c r="E4915" t="s">
        <v>36</v>
      </c>
      <c r="F4915" t="s">
        <v>11641</v>
      </c>
      <c r="G4915" s="1">
        <v>44991</v>
      </c>
    </row>
    <row r="4916" spans="1:7">
      <c r="A4916" t="s">
        <v>11642</v>
      </c>
      <c r="B4916">
        <v>130</v>
      </c>
      <c r="C4916" t="s">
        <v>11643</v>
      </c>
      <c r="D4916">
        <v>121683</v>
      </c>
      <c r="E4916" t="s">
        <v>36</v>
      </c>
      <c r="F4916" t="s">
        <v>11644</v>
      </c>
      <c r="G4916" s="1">
        <v>44933</v>
      </c>
    </row>
    <row r="4917" spans="1:7">
      <c r="A4917" t="s">
        <v>11645</v>
      </c>
      <c r="B4917">
        <v>73</v>
      </c>
      <c r="C4917" t="s">
        <v>11646</v>
      </c>
      <c r="D4917">
        <v>125377</v>
      </c>
      <c r="E4917" t="s">
        <v>12</v>
      </c>
      <c r="F4917" t="s">
        <v>11647</v>
      </c>
      <c r="G4917" s="1">
        <v>44961</v>
      </c>
    </row>
    <row r="4918" spans="1:7">
      <c r="B4918">
        <v>48</v>
      </c>
      <c r="C4918" t="s">
        <v>11648</v>
      </c>
      <c r="E4918" t="s">
        <v>27</v>
      </c>
      <c r="F4918" t="s">
        <v>11649</v>
      </c>
      <c r="G4918" s="1">
        <v>45260</v>
      </c>
    </row>
    <row r="4919" spans="1:7">
      <c r="A4919" t="s">
        <v>11650</v>
      </c>
      <c r="B4919">
        <v>60</v>
      </c>
      <c r="C4919" t="s">
        <v>11651</v>
      </c>
      <c r="D4919">
        <v>123650</v>
      </c>
      <c r="E4919" t="s">
        <v>36</v>
      </c>
      <c r="G4919" s="1">
        <v>45288</v>
      </c>
    </row>
    <row r="4920" spans="1:7">
      <c r="A4920" t="s">
        <v>11652</v>
      </c>
      <c r="B4920">
        <v>53</v>
      </c>
      <c r="C4920" t="s">
        <v>11653</v>
      </c>
      <c r="D4920">
        <v>165654</v>
      </c>
      <c r="E4920" t="s">
        <v>36</v>
      </c>
      <c r="F4920" t="s">
        <v>11654</v>
      </c>
      <c r="G4920" s="1">
        <v>45251</v>
      </c>
    </row>
    <row r="4921" spans="1:7">
      <c r="A4921" t="s">
        <v>11655</v>
      </c>
      <c r="B4921">
        <v>130</v>
      </c>
      <c r="C4921" t="s">
        <v>11656</v>
      </c>
      <c r="D4921">
        <v>66613</v>
      </c>
      <c r="E4921" t="s">
        <v>36</v>
      </c>
      <c r="F4921">
        <v>5612511036</v>
      </c>
      <c r="G4921" t="s">
        <v>87</v>
      </c>
    </row>
    <row r="4922" spans="1:7">
      <c r="A4922" t="s">
        <v>11657</v>
      </c>
      <c r="B4922">
        <v>47</v>
      </c>
      <c r="C4922" t="s">
        <v>11658</v>
      </c>
      <c r="D4922">
        <v>112152</v>
      </c>
      <c r="E4922" t="s">
        <v>12</v>
      </c>
      <c r="F4922">
        <v>6616661361</v>
      </c>
      <c r="G4922" s="1">
        <v>44937</v>
      </c>
    </row>
    <row r="4923" spans="1:7">
      <c r="A4923" t="s">
        <v>11659</v>
      </c>
      <c r="B4923">
        <v>63</v>
      </c>
      <c r="C4923" t="s">
        <v>11660</v>
      </c>
      <c r="D4923">
        <v>119353</v>
      </c>
      <c r="E4923" t="s">
        <v>12</v>
      </c>
      <c r="F4923">
        <v>5396664414</v>
      </c>
      <c r="G4923" s="1">
        <v>44950</v>
      </c>
    </row>
    <row r="4924" spans="1:7">
      <c r="A4924" t="s">
        <v>11661</v>
      </c>
      <c r="B4924">
        <v>52</v>
      </c>
      <c r="C4924" t="s">
        <v>11662</v>
      </c>
      <c r="D4924">
        <v>141361</v>
      </c>
      <c r="E4924" t="s">
        <v>36</v>
      </c>
      <c r="F4924">
        <v>7739096956</v>
      </c>
      <c r="G4924" s="1">
        <v>45019</v>
      </c>
    </row>
    <row r="4925" spans="1:7">
      <c r="A4925" t="s">
        <v>11663</v>
      </c>
      <c r="B4925">
        <v>49</v>
      </c>
      <c r="C4925" t="s">
        <v>11664</v>
      </c>
      <c r="D4925">
        <v>84144</v>
      </c>
      <c r="E4925" t="s">
        <v>27</v>
      </c>
      <c r="F4925">
        <f>1-251-739-8247</f>
        <v>-9236</v>
      </c>
      <c r="G4925" s="1">
        <v>44979</v>
      </c>
    </row>
    <row r="4926" spans="1:7">
      <c r="A4926" t="s">
        <v>11665</v>
      </c>
      <c r="B4926">
        <v>41</v>
      </c>
      <c r="C4926" t="s">
        <v>11666</v>
      </c>
      <c r="D4926">
        <v>127247</v>
      </c>
      <c r="E4926" t="s">
        <v>36</v>
      </c>
      <c r="F4926">
        <f>1-538-944-9970</f>
        <v>-11451</v>
      </c>
      <c r="G4926" s="1">
        <v>45283</v>
      </c>
    </row>
    <row r="4927" spans="1:7">
      <c r="A4927" t="s">
        <v>11667</v>
      </c>
      <c r="B4927">
        <v>40</v>
      </c>
      <c r="C4927" t="s">
        <v>11668</v>
      </c>
      <c r="D4927">
        <v>128256</v>
      </c>
      <c r="E4927" t="s">
        <v>27</v>
      </c>
      <c r="F4927" t="s">
        <v>11669</v>
      </c>
      <c r="G4927" s="1">
        <v>45184</v>
      </c>
    </row>
    <row r="4928" spans="1:7">
      <c r="A4928" t="s">
        <v>11670</v>
      </c>
      <c r="B4928">
        <v>25</v>
      </c>
      <c r="D4928">
        <v>139850</v>
      </c>
      <c r="E4928" t="s">
        <v>27</v>
      </c>
      <c r="F4928" t="s">
        <v>11671</v>
      </c>
      <c r="G4928" s="1">
        <v>44965</v>
      </c>
    </row>
    <row r="4929" spans="1:7">
      <c r="A4929" t="s">
        <v>11672</v>
      </c>
      <c r="B4929">
        <v>22</v>
      </c>
      <c r="C4929" t="s">
        <v>11673</v>
      </c>
      <c r="D4929">
        <v>109534</v>
      </c>
      <c r="E4929" t="s">
        <v>12</v>
      </c>
      <c r="F4929" t="s">
        <v>11674</v>
      </c>
      <c r="G4929" s="1">
        <v>45017</v>
      </c>
    </row>
    <row r="4930" spans="1:7">
      <c r="A4930" t="s">
        <v>11675</v>
      </c>
      <c r="C4930" t="s">
        <v>11676</v>
      </c>
      <c r="D4930">
        <v>64980</v>
      </c>
      <c r="E4930" t="s">
        <v>36</v>
      </c>
      <c r="F4930" t="s">
        <v>11677</v>
      </c>
      <c r="G4930" s="1">
        <v>45227</v>
      </c>
    </row>
    <row r="4931" spans="1:7">
      <c r="A4931" t="s">
        <v>11678</v>
      </c>
      <c r="B4931">
        <v>59</v>
      </c>
      <c r="C4931" t="s">
        <v>11679</v>
      </c>
      <c r="D4931">
        <v>63377</v>
      </c>
      <c r="E4931" t="s">
        <v>12</v>
      </c>
      <c r="F4931" t="s">
        <v>11680</v>
      </c>
      <c r="G4931" s="1">
        <v>45216</v>
      </c>
    </row>
    <row r="4932" spans="1:7">
      <c r="A4932" t="s">
        <v>11681</v>
      </c>
      <c r="B4932">
        <v>46</v>
      </c>
      <c r="C4932" t="s">
        <v>11682</v>
      </c>
      <c r="D4932">
        <v>35033</v>
      </c>
      <c r="E4932" t="s">
        <v>9</v>
      </c>
      <c r="G4932" s="1">
        <v>44937</v>
      </c>
    </row>
    <row r="4933" spans="1:7">
      <c r="A4933" t="s">
        <v>5799</v>
      </c>
      <c r="B4933">
        <v>77</v>
      </c>
      <c r="C4933" t="s">
        <v>11683</v>
      </c>
      <c r="D4933">
        <v>59796</v>
      </c>
      <c r="E4933" t="s">
        <v>12</v>
      </c>
      <c r="F4933">
        <f>1-364-472-7423</f>
        <v>-8258</v>
      </c>
      <c r="G4933" s="1">
        <v>45064</v>
      </c>
    </row>
    <row r="4934" spans="1:7">
      <c r="A4934" t="s">
        <v>11684</v>
      </c>
      <c r="B4934">
        <v>52</v>
      </c>
      <c r="C4934" t="s">
        <v>445</v>
      </c>
      <c r="E4934" t="s">
        <v>36</v>
      </c>
      <c r="F4934" t="s">
        <v>11685</v>
      </c>
      <c r="G4934" s="1">
        <v>45194</v>
      </c>
    </row>
    <row r="4935" spans="1:7">
      <c r="A4935" t="s">
        <v>11686</v>
      </c>
      <c r="C4935" t="s">
        <v>11687</v>
      </c>
      <c r="D4935">
        <v>77014</v>
      </c>
      <c r="E4935" t="s">
        <v>36</v>
      </c>
      <c r="F4935" t="s">
        <v>11688</v>
      </c>
      <c r="G4935" s="1">
        <v>45158</v>
      </c>
    </row>
    <row r="4936" spans="1:7">
      <c r="A4936" t="s">
        <v>11689</v>
      </c>
      <c r="B4936">
        <v>75</v>
      </c>
      <c r="C4936" t="s">
        <v>478</v>
      </c>
      <c r="D4936">
        <v>162610</v>
      </c>
      <c r="E4936" t="s">
        <v>36</v>
      </c>
      <c r="F4936" t="s">
        <v>11690</v>
      </c>
      <c r="G4936" s="1">
        <v>44927</v>
      </c>
    </row>
    <row r="4937" spans="1:7">
      <c r="A4937" t="s">
        <v>29</v>
      </c>
      <c r="B4937">
        <v>-10</v>
      </c>
      <c r="C4937" t="s">
        <v>11691</v>
      </c>
      <c r="D4937">
        <v>169347</v>
      </c>
      <c r="E4937" t="s">
        <v>12</v>
      </c>
      <c r="F4937">
        <f>1-430-993-6180</f>
        <v>-7602</v>
      </c>
      <c r="G4937" s="1">
        <v>45243</v>
      </c>
    </row>
    <row r="4938" spans="1:7">
      <c r="A4938" t="s">
        <v>11692</v>
      </c>
      <c r="B4938">
        <v>50</v>
      </c>
      <c r="C4938" t="s">
        <v>169</v>
      </c>
      <c r="D4938">
        <v>179374</v>
      </c>
      <c r="E4938" t="s">
        <v>27</v>
      </c>
      <c r="F4938" t="s">
        <v>11693</v>
      </c>
      <c r="G4938" s="1">
        <v>44935</v>
      </c>
    </row>
    <row r="4939" spans="1:7">
      <c r="A4939" t="s">
        <v>11694</v>
      </c>
      <c r="B4939">
        <v>68</v>
      </c>
      <c r="C4939" t="s">
        <v>11695</v>
      </c>
      <c r="D4939">
        <v>147569</v>
      </c>
      <c r="E4939" t="s">
        <v>9</v>
      </c>
      <c r="F4939" t="s">
        <v>11696</v>
      </c>
      <c r="G4939" s="1">
        <v>45113</v>
      </c>
    </row>
    <row r="4940" spans="1:7">
      <c r="A4940" t="s">
        <v>11697</v>
      </c>
      <c r="B4940">
        <v>29</v>
      </c>
      <c r="C4940" t="s">
        <v>11698</v>
      </c>
      <c r="E4940" t="s">
        <v>90</v>
      </c>
      <c r="F4940" t="s">
        <v>11699</v>
      </c>
      <c r="G4940" s="1">
        <v>44997</v>
      </c>
    </row>
    <row r="4941" spans="1:7">
      <c r="A4941" t="s">
        <v>11700</v>
      </c>
      <c r="B4941">
        <v>38</v>
      </c>
      <c r="C4941" t="s">
        <v>11701</v>
      </c>
      <c r="D4941">
        <v>194796</v>
      </c>
      <c r="E4941" t="s">
        <v>27</v>
      </c>
      <c r="F4941" t="s">
        <v>11702</v>
      </c>
      <c r="G4941" s="1">
        <v>45018</v>
      </c>
    </row>
    <row r="4942" spans="1:7">
      <c r="A4942" t="s">
        <v>994</v>
      </c>
      <c r="B4942">
        <v>30</v>
      </c>
      <c r="C4942" t="s">
        <v>11703</v>
      </c>
      <c r="E4942" t="s">
        <v>9</v>
      </c>
      <c r="F4942">
        <f>1-767-872-6861</f>
        <v>-8499</v>
      </c>
      <c r="G4942" s="1">
        <v>45244</v>
      </c>
    </row>
    <row r="4943" spans="1:7">
      <c r="A4943" t="s">
        <v>11704</v>
      </c>
      <c r="B4943">
        <v>24</v>
      </c>
      <c r="C4943" t="s">
        <v>11705</v>
      </c>
      <c r="D4943">
        <v>33696</v>
      </c>
      <c r="E4943" t="s">
        <v>12</v>
      </c>
      <c r="F4943" t="s">
        <v>11706</v>
      </c>
      <c r="G4943" s="1">
        <v>45030</v>
      </c>
    </row>
    <row r="4944" spans="1:7">
      <c r="A4944" t="s">
        <v>11707</v>
      </c>
      <c r="B4944">
        <v>72</v>
      </c>
      <c r="C4944" t="s">
        <v>11708</v>
      </c>
      <c r="D4944">
        <v>165958</v>
      </c>
      <c r="E4944" t="s">
        <v>9</v>
      </c>
      <c r="F4944" t="s">
        <v>11709</v>
      </c>
      <c r="G4944" s="1">
        <v>45219</v>
      </c>
    </row>
    <row r="4945" spans="1:7">
      <c r="A4945" t="s">
        <v>11710</v>
      </c>
      <c r="B4945">
        <v>23</v>
      </c>
      <c r="C4945" t="s">
        <v>11711</v>
      </c>
      <c r="E4945" t="s">
        <v>36</v>
      </c>
      <c r="F4945" t="s">
        <v>11712</v>
      </c>
      <c r="G4945" s="1">
        <v>45276</v>
      </c>
    </row>
    <row r="4946" spans="1:7">
      <c r="A4946" t="s">
        <v>11713</v>
      </c>
      <c r="B4946">
        <v>34</v>
      </c>
      <c r="C4946" t="s">
        <v>11714</v>
      </c>
      <c r="D4946">
        <v>130468</v>
      </c>
      <c r="E4946" t="s">
        <v>27</v>
      </c>
      <c r="F4946" t="s">
        <v>11715</v>
      </c>
      <c r="G4946" s="1">
        <v>45108</v>
      </c>
    </row>
    <row r="4947" spans="1:7">
      <c r="A4947" t="s">
        <v>11716</v>
      </c>
      <c r="C4947" t="s">
        <v>11717</v>
      </c>
      <c r="D4947">
        <v>136410</v>
      </c>
      <c r="E4947" t="s">
        <v>12</v>
      </c>
      <c r="F4947" t="s">
        <v>11718</v>
      </c>
      <c r="G4947" s="1">
        <v>44978</v>
      </c>
    </row>
    <row r="4948" spans="1:7">
      <c r="A4948" t="s">
        <v>11719</v>
      </c>
      <c r="B4948">
        <v>52</v>
      </c>
      <c r="D4948">
        <v>101695</v>
      </c>
      <c r="E4948" t="s">
        <v>12</v>
      </c>
      <c r="F4948" t="s">
        <v>11720</v>
      </c>
      <c r="G4948" s="1">
        <v>44997</v>
      </c>
    </row>
    <row r="4949" spans="1:7">
      <c r="A4949" t="s">
        <v>11721</v>
      </c>
      <c r="B4949">
        <v>54</v>
      </c>
      <c r="C4949" t="s">
        <v>11722</v>
      </c>
      <c r="D4949">
        <v>56336</v>
      </c>
      <c r="E4949" t="s">
        <v>12</v>
      </c>
      <c r="F4949">
        <f>1-392-219-2168</f>
        <v>-2778</v>
      </c>
      <c r="G4949" s="1">
        <v>44987</v>
      </c>
    </row>
    <row r="4950" spans="1:7">
      <c r="A4950" t="s">
        <v>11723</v>
      </c>
      <c r="B4950">
        <v>18</v>
      </c>
      <c r="C4950" t="s">
        <v>11724</v>
      </c>
      <c r="D4950">
        <v>111471</v>
      </c>
      <c r="F4950" t="s">
        <v>11725</v>
      </c>
      <c r="G4950" s="1">
        <v>45269</v>
      </c>
    </row>
    <row r="4951" spans="1:7">
      <c r="A4951" t="s">
        <v>8969</v>
      </c>
      <c r="B4951">
        <v>-100</v>
      </c>
      <c r="C4951" t="s">
        <v>11726</v>
      </c>
      <c r="D4951">
        <v>62083</v>
      </c>
      <c r="E4951" t="s">
        <v>9</v>
      </c>
      <c r="F4951">
        <v>1194294443</v>
      </c>
      <c r="G4951" s="1">
        <v>45084</v>
      </c>
    </row>
    <row r="4952" spans="1:7">
      <c r="A4952" t="s">
        <v>11727</v>
      </c>
      <c r="B4952">
        <v>74</v>
      </c>
      <c r="C4952" t="s">
        <v>11728</v>
      </c>
      <c r="D4952">
        <v>116673</v>
      </c>
      <c r="E4952" t="s">
        <v>36</v>
      </c>
      <c r="F4952">
        <f>1-560-266-9543</f>
        <v>-10368</v>
      </c>
      <c r="G4952" s="1">
        <v>45054</v>
      </c>
    </row>
    <row r="4953" spans="1:7">
      <c r="A4953" t="s">
        <v>11729</v>
      </c>
      <c r="B4953">
        <v>72</v>
      </c>
      <c r="C4953" t="s">
        <v>11730</v>
      </c>
      <c r="D4953">
        <v>178980</v>
      </c>
      <c r="E4953" t="s">
        <v>27</v>
      </c>
      <c r="F4953">
        <f>1-194-158-4552</f>
        <v>-4903</v>
      </c>
      <c r="G4953" s="1">
        <v>45034</v>
      </c>
    </row>
    <row r="4954" spans="1:7">
      <c r="A4954" t="s">
        <v>11731</v>
      </c>
      <c r="B4954">
        <v>38</v>
      </c>
      <c r="C4954" t="s">
        <v>170</v>
      </c>
      <c r="D4954">
        <v>140186</v>
      </c>
      <c r="E4954" t="s">
        <v>12</v>
      </c>
      <c r="F4954" t="s">
        <v>11732</v>
      </c>
      <c r="G4954" s="1">
        <v>45251</v>
      </c>
    </row>
    <row r="4955" spans="1:7">
      <c r="A4955" t="s">
        <v>3727</v>
      </c>
      <c r="B4955">
        <v>-999</v>
      </c>
      <c r="C4955" t="s">
        <v>531</v>
      </c>
      <c r="D4955">
        <v>-1</v>
      </c>
      <c r="E4955" t="s">
        <v>532</v>
      </c>
      <c r="G4955" t="s">
        <v>493</v>
      </c>
    </row>
    <row r="4956" spans="1:7">
      <c r="A4956" t="s">
        <v>11733</v>
      </c>
      <c r="B4956">
        <v>54</v>
      </c>
      <c r="C4956" t="s">
        <v>11734</v>
      </c>
      <c r="D4956">
        <v>143153</v>
      </c>
      <c r="E4956" t="s">
        <v>36</v>
      </c>
      <c r="F4956" t="s">
        <v>11735</v>
      </c>
      <c r="G4956" s="1">
        <v>45002</v>
      </c>
    </row>
    <row r="4957" spans="1:7">
      <c r="A4957" t="s">
        <v>11736</v>
      </c>
      <c r="B4957">
        <v>67</v>
      </c>
      <c r="C4957" t="s">
        <v>11737</v>
      </c>
      <c r="D4957">
        <v>98469</v>
      </c>
      <c r="E4957" t="s">
        <v>36</v>
      </c>
      <c r="F4957" t="s">
        <v>11738</v>
      </c>
      <c r="G4957" s="1">
        <v>45073</v>
      </c>
    </row>
    <row r="4958" spans="1:7">
      <c r="A4958" t="s">
        <v>11739</v>
      </c>
      <c r="B4958">
        <v>-100</v>
      </c>
      <c r="C4958" t="s">
        <v>299</v>
      </c>
      <c r="D4958">
        <v>161907</v>
      </c>
      <c r="E4958" t="s">
        <v>9</v>
      </c>
      <c r="F4958" t="s">
        <v>11740</v>
      </c>
      <c r="G4958" s="1">
        <v>44959</v>
      </c>
    </row>
    <row r="4959" spans="1:7">
      <c r="A4959" t="s">
        <v>11741</v>
      </c>
      <c r="B4959">
        <v>500</v>
      </c>
      <c r="D4959">
        <v>142701</v>
      </c>
      <c r="E4959" t="s">
        <v>9</v>
      </c>
      <c r="F4959" t="s">
        <v>11742</v>
      </c>
      <c r="G4959" t="s">
        <v>81</v>
      </c>
    </row>
    <row r="4960" spans="1:7">
      <c r="A4960" t="s">
        <v>11743</v>
      </c>
      <c r="B4960">
        <v>42</v>
      </c>
      <c r="D4960">
        <v>42379</v>
      </c>
      <c r="E4960" t="s">
        <v>36</v>
      </c>
      <c r="F4960" t="s">
        <v>11744</v>
      </c>
      <c r="G4960" s="1">
        <v>45211</v>
      </c>
    </row>
    <row r="4961" spans="1:7">
      <c r="A4961" t="s">
        <v>11745</v>
      </c>
      <c r="B4961">
        <v>66</v>
      </c>
      <c r="C4961" t="s">
        <v>11746</v>
      </c>
      <c r="D4961">
        <v>164821</v>
      </c>
      <c r="E4961" t="s">
        <v>27</v>
      </c>
      <c r="F4961">
        <v>3013362475</v>
      </c>
      <c r="G4961" s="1">
        <v>45268</v>
      </c>
    </row>
    <row r="4962" spans="1:7">
      <c r="A4962" t="s">
        <v>11747</v>
      </c>
      <c r="B4962">
        <v>70</v>
      </c>
      <c r="C4962" t="s">
        <v>11748</v>
      </c>
      <c r="D4962">
        <v>145584</v>
      </c>
      <c r="E4962" t="s">
        <v>9</v>
      </c>
      <c r="F4962">
        <f>1-262-430-4338</f>
        <v>-5029</v>
      </c>
      <c r="G4962" s="1">
        <v>45061</v>
      </c>
    </row>
    <row r="4963" spans="1:7">
      <c r="A4963" t="s">
        <v>11749</v>
      </c>
      <c r="B4963">
        <v>-1</v>
      </c>
      <c r="C4963" t="s">
        <v>11750</v>
      </c>
      <c r="D4963">
        <v>89754</v>
      </c>
      <c r="E4963" t="s">
        <v>36</v>
      </c>
      <c r="F4963">
        <f>1-850-224-9646</f>
        <v>-10719</v>
      </c>
      <c r="G4963" s="1">
        <v>44943</v>
      </c>
    </row>
    <row r="4964" spans="1:7">
      <c r="A4964" t="s">
        <v>11751</v>
      </c>
      <c r="B4964">
        <v>22</v>
      </c>
      <c r="D4964">
        <v>50659</v>
      </c>
      <c r="E4964" t="s">
        <v>12</v>
      </c>
      <c r="F4964">
        <f>1-905-242-5833</f>
        <v>-6979</v>
      </c>
      <c r="G4964" s="1">
        <v>45091</v>
      </c>
    </row>
    <row r="4965" spans="1:7">
      <c r="A4965" t="s">
        <v>11752</v>
      </c>
      <c r="B4965">
        <v>78</v>
      </c>
      <c r="C4965" t="s">
        <v>11753</v>
      </c>
      <c r="D4965">
        <v>183808</v>
      </c>
      <c r="E4965" t="s">
        <v>36</v>
      </c>
      <c r="F4965">
        <v>2405905813</v>
      </c>
      <c r="G4965" s="1">
        <v>45209</v>
      </c>
    </row>
    <row r="4966" spans="1:7">
      <c r="A4966" t="s">
        <v>11754</v>
      </c>
      <c r="B4966">
        <v>63</v>
      </c>
      <c r="C4966" t="s">
        <v>11755</v>
      </c>
      <c r="D4966">
        <v>42224</v>
      </c>
      <c r="F4966" t="s">
        <v>11756</v>
      </c>
      <c r="G4966" t="s">
        <v>1627</v>
      </c>
    </row>
    <row r="4967" spans="1:7">
      <c r="A4967" t="s">
        <v>11757</v>
      </c>
      <c r="B4967">
        <v>42</v>
      </c>
      <c r="D4967">
        <v>61781</v>
      </c>
      <c r="E4967" t="s">
        <v>9</v>
      </c>
      <c r="F4967" t="s">
        <v>11758</v>
      </c>
      <c r="G4967" s="1">
        <v>45280</v>
      </c>
    </row>
    <row r="4968" spans="1:7">
      <c r="A4968" t="s">
        <v>11759</v>
      </c>
      <c r="B4968">
        <v>29</v>
      </c>
      <c r="C4968" t="s">
        <v>11760</v>
      </c>
      <c r="D4968">
        <v>57856</v>
      </c>
      <c r="E4968" t="s">
        <v>9</v>
      </c>
      <c r="F4968" t="s">
        <v>11761</v>
      </c>
      <c r="G4968" s="1">
        <v>45019</v>
      </c>
    </row>
    <row r="4969" spans="1:7">
      <c r="A4969" t="s">
        <v>11762</v>
      </c>
      <c r="B4969">
        <v>22</v>
      </c>
      <c r="C4969" t="s">
        <v>11763</v>
      </c>
      <c r="D4969">
        <v>192421</v>
      </c>
      <c r="E4969" t="s">
        <v>27</v>
      </c>
      <c r="F4969" t="s">
        <v>11764</v>
      </c>
      <c r="G4969" s="1">
        <v>45122</v>
      </c>
    </row>
    <row r="4970" spans="1:7">
      <c r="A4970" t="s">
        <v>11765</v>
      </c>
      <c r="B4970">
        <v>0</v>
      </c>
      <c r="C4970" t="s">
        <v>11766</v>
      </c>
      <c r="E4970" t="s">
        <v>36</v>
      </c>
      <c r="F4970" t="s">
        <v>11767</v>
      </c>
      <c r="G4970" s="1">
        <v>45207</v>
      </c>
    </row>
    <row r="4971" spans="1:7">
      <c r="A4971" t="s">
        <v>11768</v>
      </c>
      <c r="B4971">
        <v>41</v>
      </c>
      <c r="C4971" t="s">
        <v>11769</v>
      </c>
      <c r="D4971">
        <v>-50000</v>
      </c>
      <c r="E4971" t="s">
        <v>27</v>
      </c>
      <c r="F4971">
        <v>4900179544</v>
      </c>
      <c r="G4971" s="1">
        <v>45192</v>
      </c>
    </row>
    <row r="4972" spans="1:7">
      <c r="A4972" t="s">
        <v>11770</v>
      </c>
      <c r="B4972">
        <v>18</v>
      </c>
      <c r="C4972" t="s">
        <v>11771</v>
      </c>
      <c r="D4972">
        <v>63686</v>
      </c>
      <c r="E4972" t="s">
        <v>9</v>
      </c>
      <c r="F4972">
        <f>1-665-743-8693</f>
        <v>-10100</v>
      </c>
      <c r="G4972" s="1">
        <v>45076</v>
      </c>
    </row>
    <row r="4973" spans="1:7">
      <c r="A4973" t="s">
        <v>11772</v>
      </c>
      <c r="B4973">
        <v>69</v>
      </c>
      <c r="C4973" t="s">
        <v>11773</v>
      </c>
      <c r="D4973">
        <v>111845</v>
      </c>
      <c r="E4973" t="s">
        <v>18</v>
      </c>
      <c r="F4973" t="s">
        <v>11774</v>
      </c>
      <c r="G4973" s="1">
        <v>45126</v>
      </c>
    </row>
    <row r="4974" spans="1:7">
      <c r="A4974" t="s">
        <v>11775</v>
      </c>
      <c r="B4974">
        <v>79</v>
      </c>
      <c r="C4974" t="s">
        <v>11776</v>
      </c>
      <c r="D4974">
        <v>73309</v>
      </c>
      <c r="E4974" t="s">
        <v>27</v>
      </c>
      <c r="F4974" t="s">
        <v>11777</v>
      </c>
      <c r="G4974" s="1">
        <v>45103</v>
      </c>
    </row>
    <row r="4975" spans="1:7">
      <c r="A4975" t="s">
        <v>11778</v>
      </c>
      <c r="B4975">
        <v>18</v>
      </c>
      <c r="C4975" t="s">
        <v>11779</v>
      </c>
      <c r="E4975" t="s">
        <v>90</v>
      </c>
      <c r="F4975">
        <v>6279951345</v>
      </c>
      <c r="G4975" s="1">
        <v>45276</v>
      </c>
    </row>
    <row r="4976" spans="1:7">
      <c r="A4976" t="s">
        <v>11780</v>
      </c>
      <c r="B4976">
        <v>34</v>
      </c>
      <c r="C4976" t="s">
        <v>11781</v>
      </c>
      <c r="D4976">
        <v>197896</v>
      </c>
      <c r="E4976" t="s">
        <v>9</v>
      </c>
      <c r="F4976" t="s">
        <v>11782</v>
      </c>
      <c r="G4976" s="1">
        <v>45083</v>
      </c>
    </row>
    <row r="4977" spans="1:7">
      <c r="A4977" t="s">
        <v>7922</v>
      </c>
      <c r="B4977">
        <v>79</v>
      </c>
      <c r="C4977" t="s">
        <v>11783</v>
      </c>
      <c r="D4977">
        <v>186989</v>
      </c>
      <c r="E4977" t="s">
        <v>9</v>
      </c>
      <c r="G4977" s="1">
        <v>45236</v>
      </c>
    </row>
    <row r="4978" spans="1:7">
      <c r="A4978" t="s">
        <v>5707</v>
      </c>
      <c r="B4978">
        <v>74</v>
      </c>
      <c r="D4978">
        <v>175817</v>
      </c>
      <c r="E4978" t="s">
        <v>36</v>
      </c>
      <c r="G4978" s="1">
        <v>44938</v>
      </c>
    </row>
    <row r="4979" spans="1:7">
      <c r="A4979" t="s">
        <v>11784</v>
      </c>
      <c r="B4979">
        <v>49</v>
      </c>
      <c r="C4979" t="s">
        <v>11785</v>
      </c>
      <c r="D4979">
        <v>90892</v>
      </c>
      <c r="E4979" t="s">
        <v>12</v>
      </c>
      <c r="F4979">
        <f>1-873-937-8046</f>
        <v>-9855</v>
      </c>
      <c r="G4979" s="1">
        <v>45178</v>
      </c>
    </row>
    <row r="4980" spans="1:7">
      <c r="A4980" t="s">
        <v>11786</v>
      </c>
      <c r="B4980">
        <v>29</v>
      </c>
      <c r="C4980" t="s">
        <v>11787</v>
      </c>
      <c r="D4980">
        <v>72137</v>
      </c>
      <c r="E4980" t="s">
        <v>12</v>
      </c>
      <c r="F4980" t="s">
        <v>11788</v>
      </c>
      <c r="G4980" s="1">
        <v>44931</v>
      </c>
    </row>
    <row r="4981" spans="1:7">
      <c r="A4981" t="s">
        <v>11789</v>
      </c>
      <c r="B4981">
        <v>33</v>
      </c>
      <c r="C4981" t="s">
        <v>11790</v>
      </c>
      <c r="D4981">
        <v>67201</v>
      </c>
      <c r="E4981" t="s">
        <v>12</v>
      </c>
      <c r="F4981">
        <f>1-671-977-6706</f>
        <v>-8353</v>
      </c>
      <c r="G4981" s="1">
        <v>44952</v>
      </c>
    </row>
    <row r="4982" spans="1:7">
      <c r="A4982" t="s">
        <v>11791</v>
      </c>
      <c r="B4982">
        <v>-5</v>
      </c>
      <c r="C4982" t="s">
        <v>11792</v>
      </c>
      <c r="E4982" t="s">
        <v>27</v>
      </c>
      <c r="F4982">
        <f>1-650-195-5254</f>
        <v>-6098</v>
      </c>
      <c r="G4982" s="1">
        <v>45202</v>
      </c>
    </row>
    <row r="4983" spans="1:7">
      <c r="A4983" t="s">
        <v>11793</v>
      </c>
      <c r="B4983">
        <v>69</v>
      </c>
      <c r="C4983" t="s">
        <v>11794</v>
      </c>
      <c r="D4983">
        <v>164275</v>
      </c>
      <c r="E4983" t="s">
        <v>36</v>
      </c>
      <c r="F4983" t="s">
        <v>11795</v>
      </c>
      <c r="G4983" s="1">
        <v>45186</v>
      </c>
    </row>
    <row r="4984" spans="1:7">
      <c r="A4984" t="s">
        <v>11796</v>
      </c>
      <c r="B4984">
        <v>57</v>
      </c>
      <c r="C4984" t="s">
        <v>11797</v>
      </c>
      <c r="D4984">
        <v>55464</v>
      </c>
      <c r="E4984" t="s">
        <v>36</v>
      </c>
      <c r="F4984" t="s">
        <v>11798</v>
      </c>
      <c r="G4984" s="1">
        <v>45241</v>
      </c>
    </row>
    <row r="4985" spans="1:7">
      <c r="A4985" t="s">
        <v>11799</v>
      </c>
      <c r="B4985">
        <v>-5</v>
      </c>
      <c r="C4985" t="s">
        <v>11800</v>
      </c>
      <c r="D4985">
        <v>180592</v>
      </c>
      <c r="E4985" t="s">
        <v>9</v>
      </c>
      <c r="F4985">
        <f>1-393-382-8008</f>
        <v>-8782</v>
      </c>
      <c r="G4985" s="1">
        <v>45227</v>
      </c>
    </row>
    <row r="4986" spans="1:7">
      <c r="A4986" t="s">
        <v>11801</v>
      </c>
      <c r="B4986">
        <v>34</v>
      </c>
      <c r="C4986" t="s">
        <v>11802</v>
      </c>
      <c r="D4986">
        <v>130667</v>
      </c>
      <c r="E4986" t="s">
        <v>9</v>
      </c>
      <c r="F4986" t="s">
        <v>11803</v>
      </c>
      <c r="G4986" s="1">
        <v>45239</v>
      </c>
    </row>
    <row r="4987" spans="1:7">
      <c r="A4987" t="s">
        <v>11804</v>
      </c>
      <c r="B4987">
        <v>66</v>
      </c>
      <c r="C4987" t="s">
        <v>11805</v>
      </c>
      <c r="D4987">
        <v>150811</v>
      </c>
      <c r="E4987" t="s">
        <v>36</v>
      </c>
      <c r="F4987" t="s">
        <v>11806</v>
      </c>
      <c r="G4987" s="1">
        <v>45057</v>
      </c>
    </row>
    <row r="4988" spans="1:7">
      <c r="A4988" t="s">
        <v>11807</v>
      </c>
      <c r="B4988">
        <v>64</v>
      </c>
      <c r="C4988" t="s">
        <v>11808</v>
      </c>
      <c r="D4988">
        <v>168454</v>
      </c>
      <c r="E4988" t="s">
        <v>12</v>
      </c>
      <c r="F4988" t="s">
        <v>11809</v>
      </c>
      <c r="G4988" s="1">
        <v>45125</v>
      </c>
    </row>
    <row r="4989" spans="1:7">
      <c r="A4989" t="s">
        <v>11810</v>
      </c>
      <c r="B4989">
        <v>37</v>
      </c>
      <c r="C4989" t="s">
        <v>11811</v>
      </c>
      <c r="D4989">
        <v>132478</v>
      </c>
      <c r="E4989" t="s">
        <v>27</v>
      </c>
      <c r="F4989" t="s">
        <v>11812</v>
      </c>
      <c r="G4989" s="1">
        <v>44982</v>
      </c>
    </row>
    <row r="4990" spans="1:7">
      <c r="A4990" t="s">
        <v>11813</v>
      </c>
      <c r="B4990">
        <v>59</v>
      </c>
      <c r="C4990" t="s">
        <v>11814</v>
      </c>
      <c r="D4990">
        <v>133547</v>
      </c>
      <c r="E4990" t="s">
        <v>36</v>
      </c>
      <c r="F4990" t="s">
        <v>11815</v>
      </c>
      <c r="G4990" s="1">
        <v>45004</v>
      </c>
    </row>
    <row r="4991" spans="1:7">
      <c r="A4991" t="s">
        <v>11816</v>
      </c>
      <c r="B4991">
        <v>28</v>
      </c>
      <c r="D4991">
        <v>62006</v>
      </c>
      <c r="E4991" t="s">
        <v>12</v>
      </c>
      <c r="F4991" t="s">
        <v>11817</v>
      </c>
      <c r="G4991" s="1">
        <v>45225</v>
      </c>
    </row>
    <row r="4992" spans="1:7">
      <c r="A4992" t="s">
        <v>2600</v>
      </c>
      <c r="B4992">
        <v>52</v>
      </c>
      <c r="D4992">
        <v>195732</v>
      </c>
      <c r="F4992">
        <f>1-528-589-2126</f>
        <v>-3242</v>
      </c>
      <c r="G4992" s="1">
        <v>45244</v>
      </c>
    </row>
    <row r="4993" spans="1:7">
      <c r="A4993" t="s">
        <v>11818</v>
      </c>
      <c r="B4993">
        <v>54</v>
      </c>
      <c r="C4993" t="s">
        <v>11819</v>
      </c>
      <c r="D4993">
        <v>51029</v>
      </c>
      <c r="E4993" t="s">
        <v>9</v>
      </c>
      <c r="F4993" t="s">
        <v>11820</v>
      </c>
      <c r="G4993" s="1">
        <v>44927</v>
      </c>
    </row>
    <row r="4994" spans="1:7">
      <c r="A4994" t="s">
        <v>8346</v>
      </c>
      <c r="B4994">
        <v>70</v>
      </c>
      <c r="C4994" t="s">
        <v>11821</v>
      </c>
      <c r="D4994">
        <v>177781</v>
      </c>
      <c r="E4994" t="s">
        <v>12</v>
      </c>
      <c r="F4994" t="s">
        <v>11822</v>
      </c>
      <c r="G4994" s="1">
        <v>45113</v>
      </c>
    </row>
    <row r="4995" spans="1:7">
      <c r="A4995" t="s">
        <v>11823</v>
      </c>
      <c r="B4995">
        <v>42</v>
      </c>
      <c r="C4995" t="s">
        <v>11824</v>
      </c>
      <c r="D4995">
        <v>185234</v>
      </c>
      <c r="E4995" t="s">
        <v>36</v>
      </c>
      <c r="F4995" t="s">
        <v>11825</v>
      </c>
      <c r="G4995" s="1">
        <v>45277</v>
      </c>
    </row>
    <row r="4996" spans="1:7">
      <c r="A4996" t="s">
        <v>11826</v>
      </c>
      <c r="B4996">
        <v>55</v>
      </c>
      <c r="C4996" t="s">
        <v>11827</v>
      </c>
      <c r="D4996">
        <v>53386</v>
      </c>
      <c r="E4996" t="s">
        <v>36</v>
      </c>
      <c r="F4996" t="s">
        <v>11828</v>
      </c>
      <c r="G4996" s="1">
        <v>44948</v>
      </c>
    </row>
    <row r="4997" spans="1:7">
      <c r="A4997" t="s">
        <v>11829</v>
      </c>
      <c r="B4997">
        <v>63</v>
      </c>
      <c r="D4997">
        <v>168335</v>
      </c>
      <c r="E4997" t="s">
        <v>36</v>
      </c>
      <c r="F4997" t="s">
        <v>11830</v>
      </c>
      <c r="G4997" s="1">
        <v>45197</v>
      </c>
    </row>
    <row r="4998" spans="1:7">
      <c r="C4998" t="s">
        <v>11831</v>
      </c>
      <c r="D4998">
        <v>173424</v>
      </c>
      <c r="E4998" t="s">
        <v>9</v>
      </c>
      <c r="F4998" t="s">
        <v>11832</v>
      </c>
      <c r="G4998" s="1">
        <v>45096</v>
      </c>
    </row>
    <row r="4999" spans="1:7">
      <c r="A4999" t="s">
        <v>11833</v>
      </c>
      <c r="B4999">
        <v>45</v>
      </c>
      <c r="C4999" t="s">
        <v>11834</v>
      </c>
      <c r="D4999">
        <v>89055</v>
      </c>
      <c r="E4999" t="s">
        <v>12</v>
      </c>
      <c r="F4999" t="s">
        <v>11835</v>
      </c>
      <c r="G4999" s="1">
        <v>45010</v>
      </c>
    </row>
    <row r="5000" spans="1:7">
      <c r="A5000" t="s">
        <v>11836</v>
      </c>
      <c r="B5000">
        <v>18</v>
      </c>
      <c r="C5000" t="s">
        <v>11837</v>
      </c>
      <c r="D5000">
        <v>171267</v>
      </c>
      <c r="E5000" t="s">
        <v>36</v>
      </c>
      <c r="F5000" t="s">
        <v>11838</v>
      </c>
      <c r="G5000" s="1">
        <v>45281</v>
      </c>
    </row>
    <row r="5001" spans="1:7">
      <c r="A5001" t="s">
        <v>11839</v>
      </c>
      <c r="B5001">
        <v>79</v>
      </c>
      <c r="C5001" t="s">
        <v>11840</v>
      </c>
      <c r="D5001">
        <v>187403</v>
      </c>
      <c r="E5001" t="s">
        <v>36</v>
      </c>
      <c r="F5001" t="s">
        <v>11841</v>
      </c>
      <c r="G5001" s="1">
        <v>45274</v>
      </c>
    </row>
    <row r="5002" spans="1:7">
      <c r="A5002" t="s">
        <v>11842</v>
      </c>
      <c r="B5002">
        <v>68</v>
      </c>
      <c r="C5002" t="s">
        <v>11843</v>
      </c>
      <c r="E5002" t="s">
        <v>9</v>
      </c>
      <c r="G5002" s="1">
        <v>45159</v>
      </c>
    </row>
    <row r="5003" spans="1:7">
      <c r="A5003" t="s">
        <v>11844</v>
      </c>
      <c r="B5003">
        <v>47</v>
      </c>
      <c r="C5003" t="s">
        <v>11845</v>
      </c>
      <c r="D5003">
        <v>119049</v>
      </c>
      <c r="E5003" t="s">
        <v>9</v>
      </c>
      <c r="F5003">
        <v>6510614294</v>
      </c>
      <c r="G5003" s="1">
        <v>45256</v>
      </c>
    </row>
    <row r="5004" spans="1:7">
      <c r="A5004" t="s">
        <v>11846</v>
      </c>
      <c r="B5004">
        <v>55</v>
      </c>
      <c r="C5004" t="s">
        <v>11847</v>
      </c>
      <c r="E5004" t="s">
        <v>36</v>
      </c>
      <c r="F5004">
        <v>8373053113</v>
      </c>
      <c r="G5004" s="1">
        <v>45094</v>
      </c>
    </row>
    <row r="5005" spans="1:7">
      <c r="A5005" t="s">
        <v>11848</v>
      </c>
      <c r="B5005">
        <v>41</v>
      </c>
      <c r="C5005" t="s">
        <v>11849</v>
      </c>
      <c r="D5005">
        <v>155659</v>
      </c>
      <c r="E5005" t="s">
        <v>12</v>
      </c>
      <c r="F5005" t="s">
        <v>11850</v>
      </c>
      <c r="G5005" s="1">
        <v>44947</v>
      </c>
    </row>
    <row r="5006" spans="1:7">
      <c r="A5006" t="s">
        <v>11851</v>
      </c>
      <c r="B5006">
        <v>47</v>
      </c>
      <c r="C5006" t="s">
        <v>11852</v>
      </c>
      <c r="E5006" t="s">
        <v>12</v>
      </c>
      <c r="F5006" t="s">
        <v>11853</v>
      </c>
      <c r="G5006" s="1">
        <v>45046</v>
      </c>
    </row>
    <row r="5007" spans="1:7">
      <c r="A5007" t="s">
        <v>11854</v>
      </c>
      <c r="B5007">
        <v>200</v>
      </c>
      <c r="C5007" t="s">
        <v>11855</v>
      </c>
      <c r="D5007">
        <v>194841</v>
      </c>
      <c r="E5007" t="s">
        <v>9</v>
      </c>
      <c r="F5007" t="s">
        <v>11856</v>
      </c>
      <c r="G5007" s="1">
        <v>45158</v>
      </c>
    </row>
    <row r="5008" spans="1:7">
      <c r="A5008" t="s">
        <v>2198</v>
      </c>
      <c r="C5008" t="s">
        <v>11857</v>
      </c>
      <c r="D5008">
        <v>48199</v>
      </c>
      <c r="E5008" t="s">
        <v>36</v>
      </c>
      <c r="G5008" s="1">
        <v>45134</v>
      </c>
    </row>
    <row r="5009" spans="1:7">
      <c r="A5009" t="s">
        <v>11858</v>
      </c>
      <c r="B5009">
        <v>54</v>
      </c>
      <c r="C5009" t="s">
        <v>11859</v>
      </c>
      <c r="D5009">
        <v>153206</v>
      </c>
      <c r="E5009" t="s">
        <v>36</v>
      </c>
      <c r="F5009">
        <v>7951319487</v>
      </c>
      <c r="G5009" s="1">
        <v>44954</v>
      </c>
    </row>
    <row r="5010" spans="1:7">
      <c r="A5010" t="s">
        <v>8404</v>
      </c>
      <c r="B5010">
        <v>300</v>
      </c>
      <c r="C5010" t="s">
        <v>11860</v>
      </c>
      <c r="D5010">
        <v>30534</v>
      </c>
      <c r="E5010" t="s">
        <v>9</v>
      </c>
      <c r="F5010" t="s">
        <v>11861</v>
      </c>
      <c r="G5010" s="1">
        <v>44967</v>
      </c>
    </row>
    <row r="5011" spans="1:7">
      <c r="A5011" t="s">
        <v>11862</v>
      </c>
      <c r="B5011">
        <v>34</v>
      </c>
      <c r="D5011">
        <v>87104</v>
      </c>
      <c r="E5011" t="s">
        <v>36</v>
      </c>
      <c r="G5011" s="1">
        <v>45029</v>
      </c>
    </row>
    <row r="5012" spans="1:7">
      <c r="A5012" t="s">
        <v>11863</v>
      </c>
      <c r="B5012">
        <v>44</v>
      </c>
      <c r="C5012" t="s">
        <v>11864</v>
      </c>
      <c r="D5012">
        <v>86321</v>
      </c>
      <c r="E5012" t="s">
        <v>36</v>
      </c>
      <c r="F5012" t="s">
        <v>11865</v>
      </c>
      <c r="G5012" t="s">
        <v>180</v>
      </c>
    </row>
    <row r="5013" spans="1:7">
      <c r="A5013" t="s">
        <v>11866</v>
      </c>
      <c r="B5013">
        <v>23</v>
      </c>
      <c r="C5013" t="s">
        <v>11867</v>
      </c>
      <c r="E5013" t="s">
        <v>9</v>
      </c>
      <c r="F5013" t="s">
        <v>11868</v>
      </c>
      <c r="G5013" s="1">
        <v>45248</v>
      </c>
    </row>
    <row r="5014" spans="1:7">
      <c r="A5014" t="s">
        <v>11869</v>
      </c>
      <c r="B5014">
        <v>21</v>
      </c>
      <c r="C5014" t="s">
        <v>11870</v>
      </c>
      <c r="D5014">
        <v>87204</v>
      </c>
      <c r="E5014" t="s">
        <v>12</v>
      </c>
      <c r="F5014" t="s">
        <v>11871</v>
      </c>
      <c r="G5014" s="1">
        <v>45151</v>
      </c>
    </row>
    <row r="5015" spans="1:7">
      <c r="A5015" t="s">
        <v>11872</v>
      </c>
      <c r="B5015">
        <v>55</v>
      </c>
      <c r="C5015" t="s">
        <v>11873</v>
      </c>
      <c r="D5015">
        <v>105118</v>
      </c>
      <c r="E5015" t="s">
        <v>27</v>
      </c>
      <c r="F5015">
        <f>1-267-100-7223</f>
        <v>-7589</v>
      </c>
      <c r="G5015" s="1">
        <v>45056</v>
      </c>
    </row>
    <row r="5016" spans="1:7">
      <c r="A5016" t="s">
        <v>11874</v>
      </c>
      <c r="B5016">
        <v>21</v>
      </c>
      <c r="C5016" t="s">
        <v>11875</v>
      </c>
      <c r="D5016">
        <v>45534</v>
      </c>
      <c r="E5016" t="s">
        <v>12</v>
      </c>
      <c r="F5016" t="s">
        <v>11876</v>
      </c>
      <c r="G5016" s="1">
        <v>45258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2026-06-22T15:19:26Z</dcterms:created>
  <dcterms:modified xsi:type="dcterms:W3CDTF">2026-06-22T15:19:35Z</dcterms:modified>
  <cp:category/>
  <cp:contentStatus/>
</cp:coreProperties>
</file>